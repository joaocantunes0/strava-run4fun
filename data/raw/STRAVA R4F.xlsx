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micloud-my.sharepoint.com/personal/jantunes2_pmintl_net/Documents/Desktop/"/>
    </mc:Choice>
  </mc:AlternateContent>
  <xr:revisionPtr revIDLastSave="1601" documentId="8_{5A4E9016-A491-4A17-BAFD-63ABF8F1469F}" xr6:coauthVersionLast="47" xr6:coauthVersionMax="47" xr10:uidLastSave="{4F674F95-5620-4583-AF61-0B96973B5F85}"/>
  <bookViews>
    <workbookView xWindow="-108" yWindow="-108" windowWidth="23256" windowHeight="13896" xr2:uid="{F288C4C0-1614-4357-B4B5-D8D8377FBE54}"/>
  </bookViews>
  <sheets>
    <sheet name="TOTAL" sheetId="2" r:id="rId1"/>
    <sheet name="w1" sheetId="1" r:id="rId2"/>
    <sheet name="w2" sheetId="3" r:id="rId3"/>
    <sheet name="w3" sheetId="4" r:id="rId4"/>
    <sheet name="w4" sheetId="5" r:id="rId5"/>
    <sheet name="w5" sheetId="7" r:id="rId6"/>
    <sheet name="w6" sheetId="6" r:id="rId7"/>
    <sheet name="w7" sheetId="8" r:id="rId8"/>
    <sheet name="w8" sheetId="10" r:id="rId9"/>
    <sheet name="w9" sheetId="11" r:id="rId10"/>
    <sheet name="w10" sheetId="12" r:id="rId11"/>
    <sheet name="w11" sheetId="13" r:id="rId12"/>
    <sheet name="w12" sheetId="14" r:id="rId13"/>
    <sheet name="w13" sheetId="15" r:id="rId14"/>
    <sheet name="w14" sheetId="16" r:id="rId15"/>
    <sheet name="example" sheetId="9" r:id="rId16"/>
  </sheets>
  <definedNames>
    <definedName name="_xlnm._FilterDatabase" localSheetId="0" hidden="1">TOTAL!$A$2:$DA$108</definedName>
    <definedName name="_xlnm._FilterDatabase" localSheetId="1" hidden="1">'w1'!$A$1:$H$80</definedName>
    <definedName name="_xlnm._FilterDatabase" localSheetId="10" hidden="1">'w10'!$A$1:$I$77</definedName>
    <definedName name="_xlnm._FilterDatabase" localSheetId="11" hidden="1">'w11'!$A$1:$I$77</definedName>
    <definedName name="_xlnm._FilterDatabase" localSheetId="12" hidden="1">'w12'!$A$1:$I$76</definedName>
    <definedName name="_xlnm._FilterDatabase" localSheetId="13" hidden="1">'w13'!$A$1:$I$78</definedName>
    <definedName name="_xlnm._FilterDatabase" localSheetId="14" hidden="1">'w14'!$A$1:$I$69</definedName>
    <definedName name="_xlnm._FilterDatabase" localSheetId="2" hidden="1">'w2'!$A$1:$H$73</definedName>
    <definedName name="_xlnm._FilterDatabase" localSheetId="3" hidden="1">'w3'!$A$1:$H$84</definedName>
    <definedName name="_xlnm._FilterDatabase" localSheetId="4" hidden="1">'w4'!$A$1:$H$76</definedName>
    <definedName name="_xlnm._FilterDatabase" localSheetId="5" hidden="1">'w5'!$A$1:$H$78</definedName>
    <definedName name="_xlnm._FilterDatabase" localSheetId="6" hidden="1">'w6'!$A$1:$I$65</definedName>
    <definedName name="_xlnm._FilterDatabase" localSheetId="7" hidden="1">'w7'!$A$1:$I$72</definedName>
    <definedName name="_xlnm._FilterDatabase" localSheetId="8" hidden="1">'w8'!$A$1:$I$73</definedName>
    <definedName name="_xlnm._FilterDatabase" localSheetId="9" hidden="1">'w9'!$A$1:$I$75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9" i="16" l="1"/>
  <c r="H68" i="16"/>
  <c r="H67" i="16"/>
  <c r="H66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H4" i="16"/>
  <c r="H3" i="16"/>
  <c r="H2" i="16"/>
  <c r="H65" i="16"/>
  <c r="CI108" i="2"/>
  <c r="CG108" i="2"/>
  <c r="CE108" i="2"/>
  <c r="CC108" i="2"/>
  <c r="CA108" i="2"/>
  <c r="BY108" i="2"/>
  <c r="BW108" i="2"/>
  <c r="BU108" i="2"/>
  <c r="BS108" i="2"/>
  <c r="BQ108" i="2"/>
  <c r="BO108" i="2"/>
  <c r="BM108" i="2"/>
  <c r="BK108" i="2"/>
  <c r="BI108" i="2"/>
  <c r="BG108" i="2"/>
  <c r="BE108" i="2"/>
  <c r="BC108" i="2"/>
  <c r="BA108" i="2"/>
  <c r="AY108" i="2"/>
  <c r="AW108" i="2"/>
  <c r="AU108" i="2"/>
  <c r="AS108" i="2"/>
  <c r="AQ108" i="2"/>
  <c r="AO108" i="2"/>
  <c r="AM108" i="2"/>
  <c r="AK108" i="2"/>
  <c r="AI108" i="2"/>
  <c r="AG108" i="2"/>
  <c r="AE108" i="2"/>
  <c r="AC108" i="2"/>
  <c r="AA108" i="2"/>
  <c r="Y108" i="2"/>
  <c r="W108" i="2"/>
  <c r="U108" i="2"/>
  <c r="S108" i="2"/>
  <c r="Q108" i="2"/>
  <c r="O108" i="2"/>
  <c r="M108" i="2"/>
  <c r="K108" i="2"/>
  <c r="I108" i="2"/>
  <c r="G108" i="2"/>
  <c r="E108" i="2"/>
  <c r="CI107" i="2"/>
  <c r="CG107" i="2"/>
  <c r="CE107" i="2"/>
  <c r="CC107" i="2"/>
  <c r="CA107" i="2"/>
  <c r="BY107" i="2"/>
  <c r="BW107" i="2"/>
  <c r="BU107" i="2"/>
  <c r="BS107" i="2"/>
  <c r="BQ107" i="2"/>
  <c r="BO107" i="2"/>
  <c r="BM107" i="2"/>
  <c r="BK107" i="2"/>
  <c r="BI107" i="2"/>
  <c r="BG107" i="2"/>
  <c r="BE107" i="2"/>
  <c r="BC107" i="2"/>
  <c r="BA107" i="2"/>
  <c r="AY107" i="2"/>
  <c r="AW107" i="2"/>
  <c r="AU107" i="2"/>
  <c r="AS107" i="2"/>
  <c r="AQ107" i="2"/>
  <c r="AO107" i="2"/>
  <c r="AM107" i="2"/>
  <c r="AK107" i="2"/>
  <c r="AI107" i="2"/>
  <c r="AG107" i="2"/>
  <c r="AE107" i="2"/>
  <c r="AC107" i="2"/>
  <c r="AA107" i="2"/>
  <c r="Y107" i="2"/>
  <c r="W107" i="2"/>
  <c r="U107" i="2"/>
  <c r="S107" i="2"/>
  <c r="Q107" i="2"/>
  <c r="O107" i="2"/>
  <c r="M107" i="2"/>
  <c r="K107" i="2"/>
  <c r="I107" i="2"/>
  <c r="G107" i="2"/>
  <c r="E107" i="2"/>
  <c r="CG3" i="2"/>
  <c r="CE3" i="2"/>
  <c r="CI106" i="2"/>
  <c r="CG106" i="2"/>
  <c r="CE106" i="2"/>
  <c r="CI105" i="2"/>
  <c r="CG105" i="2"/>
  <c r="CE105" i="2"/>
  <c r="CI104" i="2"/>
  <c r="CG104" i="2"/>
  <c r="CE104" i="2"/>
  <c r="CI103" i="2"/>
  <c r="CG103" i="2"/>
  <c r="CE103" i="2"/>
  <c r="CI96" i="2"/>
  <c r="CG96" i="2"/>
  <c r="CE96" i="2"/>
  <c r="CI102" i="2"/>
  <c r="CG102" i="2"/>
  <c r="CE102" i="2"/>
  <c r="CI101" i="2"/>
  <c r="CG101" i="2"/>
  <c r="CE101" i="2"/>
  <c r="CI100" i="2"/>
  <c r="CG100" i="2"/>
  <c r="CE100" i="2"/>
  <c r="CI99" i="2"/>
  <c r="CG99" i="2"/>
  <c r="CE99" i="2"/>
  <c r="CI97" i="2"/>
  <c r="CG97" i="2"/>
  <c r="CE97" i="2"/>
  <c r="CI98" i="2"/>
  <c r="CG98" i="2"/>
  <c r="CE98" i="2"/>
  <c r="CI95" i="2"/>
  <c r="CG95" i="2"/>
  <c r="CE95" i="2"/>
  <c r="CI94" i="2"/>
  <c r="CG94" i="2"/>
  <c r="CE94" i="2"/>
  <c r="CI93" i="2"/>
  <c r="CG93" i="2"/>
  <c r="CE93" i="2"/>
  <c r="CI92" i="2"/>
  <c r="CG92" i="2"/>
  <c r="CE92" i="2"/>
  <c r="CI91" i="2"/>
  <c r="CG91" i="2"/>
  <c r="CE91" i="2"/>
  <c r="CI90" i="2"/>
  <c r="CG90" i="2"/>
  <c r="CE90" i="2"/>
  <c r="CI89" i="2"/>
  <c r="CG89" i="2"/>
  <c r="CE89" i="2"/>
  <c r="CI88" i="2"/>
  <c r="CG88" i="2"/>
  <c r="CE88" i="2"/>
  <c r="CI87" i="2"/>
  <c r="CG87" i="2"/>
  <c r="CE87" i="2"/>
  <c r="CI84" i="2"/>
  <c r="CG84" i="2"/>
  <c r="CE84" i="2"/>
  <c r="CI86" i="2"/>
  <c r="CG86" i="2"/>
  <c r="CE86" i="2"/>
  <c r="CI85" i="2"/>
  <c r="CG85" i="2"/>
  <c r="CE85" i="2"/>
  <c r="CI80" i="2"/>
  <c r="CG80" i="2"/>
  <c r="CE80" i="2"/>
  <c r="CI83" i="2"/>
  <c r="CG83" i="2"/>
  <c r="CE83" i="2"/>
  <c r="CI82" i="2"/>
  <c r="CG82" i="2"/>
  <c r="CE82" i="2"/>
  <c r="CI79" i="2"/>
  <c r="CG79" i="2"/>
  <c r="CE79" i="2"/>
  <c r="CI81" i="2"/>
  <c r="CG81" i="2"/>
  <c r="CE81" i="2"/>
  <c r="CI78" i="2"/>
  <c r="CG78" i="2"/>
  <c r="CE78" i="2"/>
  <c r="CI76" i="2"/>
  <c r="CG76" i="2"/>
  <c r="CE76" i="2"/>
  <c r="CI77" i="2"/>
  <c r="CG77" i="2"/>
  <c r="CE77" i="2"/>
  <c r="CI71" i="2"/>
  <c r="CG71" i="2"/>
  <c r="CE71" i="2"/>
  <c r="CI75" i="2"/>
  <c r="CG75" i="2"/>
  <c r="CE75" i="2"/>
  <c r="CI74" i="2"/>
  <c r="CG74" i="2"/>
  <c r="CE74" i="2"/>
  <c r="CI69" i="2"/>
  <c r="CG69" i="2"/>
  <c r="CE69" i="2"/>
  <c r="CI72" i="2"/>
  <c r="CG72" i="2"/>
  <c r="CE72" i="2"/>
  <c r="CI70" i="2"/>
  <c r="CG70" i="2"/>
  <c r="CE70" i="2"/>
  <c r="CI66" i="2"/>
  <c r="CG66" i="2"/>
  <c r="CE66" i="2"/>
  <c r="CI73" i="2"/>
  <c r="CG73" i="2"/>
  <c r="CE73" i="2"/>
  <c r="CI68" i="2"/>
  <c r="CG68" i="2"/>
  <c r="CE68" i="2"/>
  <c r="CI67" i="2"/>
  <c r="CG67" i="2"/>
  <c r="CE67" i="2"/>
  <c r="CI65" i="2"/>
  <c r="CG65" i="2"/>
  <c r="CE65" i="2"/>
  <c r="CI64" i="2"/>
  <c r="CG64" i="2"/>
  <c r="CE64" i="2"/>
  <c r="CI62" i="2"/>
  <c r="CG62" i="2"/>
  <c r="CE62" i="2"/>
  <c r="CI57" i="2"/>
  <c r="CG57" i="2"/>
  <c r="CE57" i="2"/>
  <c r="CI61" i="2"/>
  <c r="CG61" i="2"/>
  <c r="CE61" i="2"/>
  <c r="CI63" i="2"/>
  <c r="CG63" i="2"/>
  <c r="CE63" i="2"/>
  <c r="CI58" i="2"/>
  <c r="CG58" i="2"/>
  <c r="CE58" i="2"/>
  <c r="CI60" i="2"/>
  <c r="CG60" i="2"/>
  <c r="CE60" i="2"/>
  <c r="CI59" i="2"/>
  <c r="CG59" i="2"/>
  <c r="CE59" i="2"/>
  <c r="CI53" i="2"/>
  <c r="CG53" i="2"/>
  <c r="CE53" i="2"/>
  <c r="CI55" i="2"/>
  <c r="CG55" i="2"/>
  <c r="CE55" i="2"/>
  <c r="CI56" i="2"/>
  <c r="CG56" i="2"/>
  <c r="CE56" i="2"/>
  <c r="CI54" i="2"/>
  <c r="CG54" i="2"/>
  <c r="CE54" i="2"/>
  <c r="CI48" i="2"/>
  <c r="CG48" i="2"/>
  <c r="CE48" i="2"/>
  <c r="CI52" i="2"/>
  <c r="CG52" i="2"/>
  <c r="CE52" i="2"/>
  <c r="CI50" i="2"/>
  <c r="CG50" i="2"/>
  <c r="CE50" i="2"/>
  <c r="CI51" i="2"/>
  <c r="CG51" i="2"/>
  <c r="CE51" i="2"/>
  <c r="CI43" i="2"/>
  <c r="CG43" i="2"/>
  <c r="CE43" i="2"/>
  <c r="CI39" i="2"/>
  <c r="CG39" i="2"/>
  <c r="CE39" i="2"/>
  <c r="CI41" i="2"/>
  <c r="CG41" i="2"/>
  <c r="CE41" i="2"/>
  <c r="CI42" i="2"/>
  <c r="CG42" i="2"/>
  <c r="CE42" i="2"/>
  <c r="CI49" i="2"/>
  <c r="CG49" i="2"/>
  <c r="CE49" i="2"/>
  <c r="CI45" i="2"/>
  <c r="CG45" i="2"/>
  <c r="CE45" i="2"/>
  <c r="CI44" i="2"/>
  <c r="CG44" i="2"/>
  <c r="CE44" i="2"/>
  <c r="CI47" i="2"/>
  <c r="CG47" i="2"/>
  <c r="CE47" i="2"/>
  <c r="CI46" i="2"/>
  <c r="CG46" i="2"/>
  <c r="CE46" i="2"/>
  <c r="CI38" i="2"/>
  <c r="CG38" i="2"/>
  <c r="CE38" i="2"/>
  <c r="CI36" i="2"/>
  <c r="CG36" i="2"/>
  <c r="CE36" i="2"/>
  <c r="CI40" i="2"/>
  <c r="CG40" i="2"/>
  <c r="CE40" i="2"/>
  <c r="CI37" i="2"/>
  <c r="CG37" i="2"/>
  <c r="CE37" i="2"/>
  <c r="CI33" i="2"/>
  <c r="CG33" i="2"/>
  <c r="CE33" i="2"/>
  <c r="CI35" i="2"/>
  <c r="CG35" i="2"/>
  <c r="CE35" i="2"/>
  <c r="CI32" i="2"/>
  <c r="CG32" i="2"/>
  <c r="CE32" i="2"/>
  <c r="CI34" i="2"/>
  <c r="CG34" i="2"/>
  <c r="CE34" i="2"/>
  <c r="CI28" i="2"/>
  <c r="CG28" i="2"/>
  <c r="CE28" i="2"/>
  <c r="CI30" i="2"/>
  <c r="CG30" i="2"/>
  <c r="CE30" i="2"/>
  <c r="CI29" i="2"/>
  <c r="CG29" i="2"/>
  <c r="CE29" i="2"/>
  <c r="CI31" i="2"/>
  <c r="CG31" i="2"/>
  <c r="CE31" i="2"/>
  <c r="CI26" i="2"/>
  <c r="CG26" i="2"/>
  <c r="CE26" i="2"/>
  <c r="CI24" i="2"/>
  <c r="CG24" i="2"/>
  <c r="CE24" i="2"/>
  <c r="CI27" i="2"/>
  <c r="CG27" i="2"/>
  <c r="CE27" i="2"/>
  <c r="CI23" i="2"/>
  <c r="CG23" i="2"/>
  <c r="CE23" i="2"/>
  <c r="CI25" i="2"/>
  <c r="CG25" i="2"/>
  <c r="CE25" i="2"/>
  <c r="CI22" i="2"/>
  <c r="CG22" i="2"/>
  <c r="CE22" i="2"/>
  <c r="CI21" i="2"/>
  <c r="CG21" i="2"/>
  <c r="CE21" i="2"/>
  <c r="CI20" i="2"/>
  <c r="CG20" i="2"/>
  <c r="CE20" i="2"/>
  <c r="CI15" i="2"/>
  <c r="CG15" i="2"/>
  <c r="CE15" i="2"/>
  <c r="CI19" i="2"/>
  <c r="CG19" i="2"/>
  <c r="CE19" i="2"/>
  <c r="CI16" i="2"/>
  <c r="CG16" i="2"/>
  <c r="CE16" i="2"/>
  <c r="CI17" i="2"/>
  <c r="CG17" i="2"/>
  <c r="CE17" i="2"/>
  <c r="CI18" i="2"/>
  <c r="CG18" i="2"/>
  <c r="CE18" i="2"/>
  <c r="CI13" i="2"/>
  <c r="CG13" i="2"/>
  <c r="CE13" i="2"/>
  <c r="CI14" i="2"/>
  <c r="CG14" i="2"/>
  <c r="CE14" i="2"/>
  <c r="CI12" i="2"/>
  <c r="CG12" i="2"/>
  <c r="CE12" i="2"/>
  <c r="CI10" i="2"/>
  <c r="CG10" i="2"/>
  <c r="CE10" i="2"/>
  <c r="CI9" i="2"/>
  <c r="CG9" i="2"/>
  <c r="CE9" i="2"/>
  <c r="CI8" i="2"/>
  <c r="CG8" i="2"/>
  <c r="CE8" i="2"/>
  <c r="CI11" i="2"/>
  <c r="CG11" i="2"/>
  <c r="CE11" i="2"/>
  <c r="CI6" i="2"/>
  <c r="CG6" i="2"/>
  <c r="CE6" i="2"/>
  <c r="CI7" i="2"/>
  <c r="CG7" i="2"/>
  <c r="CE7" i="2"/>
  <c r="CI5" i="2"/>
  <c r="CG5" i="2"/>
  <c r="CE5" i="2"/>
  <c r="CI4" i="2"/>
  <c r="CG4" i="2"/>
  <c r="CE4" i="2"/>
  <c r="CI3" i="2"/>
  <c r="G6" i="15"/>
  <c r="CC8" i="2" s="1"/>
  <c r="CC101" i="2"/>
  <c r="CA101" i="2"/>
  <c r="BY101" i="2"/>
  <c r="CC96" i="2"/>
  <c r="CA96" i="2"/>
  <c r="BY96" i="2"/>
  <c r="CC106" i="2"/>
  <c r="CA106" i="2"/>
  <c r="BY106" i="2"/>
  <c r="CC105" i="2"/>
  <c r="CA105" i="2"/>
  <c r="BY105" i="2"/>
  <c r="CC104" i="2"/>
  <c r="CA104" i="2"/>
  <c r="BY104" i="2"/>
  <c r="CC103" i="2"/>
  <c r="CA103" i="2"/>
  <c r="BY103" i="2"/>
  <c r="CC102" i="2"/>
  <c r="CA102" i="2"/>
  <c r="BY102" i="2"/>
  <c r="CC97" i="2"/>
  <c r="CA97" i="2"/>
  <c r="BY97" i="2"/>
  <c r="CC99" i="2"/>
  <c r="CA99" i="2"/>
  <c r="BY99" i="2"/>
  <c r="CC100" i="2"/>
  <c r="CA100" i="2"/>
  <c r="BY100" i="2"/>
  <c r="CC98" i="2"/>
  <c r="CA98" i="2"/>
  <c r="BY98" i="2"/>
  <c r="CC95" i="2"/>
  <c r="CA95" i="2"/>
  <c r="BY95" i="2"/>
  <c r="CC94" i="2"/>
  <c r="CA94" i="2"/>
  <c r="BY94" i="2"/>
  <c r="CC90" i="2"/>
  <c r="CA90" i="2"/>
  <c r="BY90" i="2"/>
  <c r="CC93" i="2"/>
  <c r="CA93" i="2"/>
  <c r="BY93" i="2"/>
  <c r="CC92" i="2"/>
  <c r="CA92" i="2"/>
  <c r="BY92" i="2"/>
  <c r="CC91" i="2"/>
  <c r="CA91" i="2"/>
  <c r="BY91" i="2"/>
  <c r="CC87" i="2"/>
  <c r="CA87" i="2"/>
  <c r="BY87" i="2"/>
  <c r="CC89" i="2"/>
  <c r="CA89" i="2"/>
  <c r="BY89" i="2"/>
  <c r="CC88" i="2"/>
  <c r="CA88" i="2"/>
  <c r="BY88" i="2"/>
  <c r="CC82" i="2"/>
  <c r="CA82" i="2"/>
  <c r="BY82" i="2"/>
  <c r="CC84" i="2"/>
  <c r="CA84" i="2"/>
  <c r="BY84" i="2"/>
  <c r="CC86" i="2"/>
  <c r="CA86" i="2"/>
  <c r="BY86" i="2"/>
  <c r="CC79" i="2"/>
  <c r="CA79" i="2"/>
  <c r="BY79" i="2"/>
  <c r="CC80" i="2"/>
  <c r="CA80" i="2"/>
  <c r="BY80" i="2"/>
  <c r="CC83" i="2"/>
  <c r="CA83" i="2"/>
  <c r="BY83" i="2"/>
  <c r="CC85" i="2"/>
  <c r="CA85" i="2"/>
  <c r="BY85" i="2"/>
  <c r="CC81" i="2"/>
  <c r="CA81" i="2"/>
  <c r="BY81" i="2"/>
  <c r="CC76" i="2"/>
  <c r="CA76" i="2"/>
  <c r="BY76" i="2"/>
  <c r="CC71" i="2"/>
  <c r="CA71" i="2"/>
  <c r="BY71" i="2"/>
  <c r="CC75" i="2"/>
  <c r="CA75" i="2"/>
  <c r="BY75" i="2"/>
  <c r="CC74" i="2"/>
  <c r="CA74" i="2"/>
  <c r="BY74" i="2"/>
  <c r="CC78" i="2"/>
  <c r="CA78" i="2"/>
  <c r="BY78" i="2"/>
  <c r="CC70" i="2"/>
  <c r="CA70" i="2"/>
  <c r="BY70" i="2"/>
  <c r="CC69" i="2"/>
  <c r="CA69" i="2"/>
  <c r="BY69" i="2"/>
  <c r="CC77" i="2"/>
  <c r="CA77" i="2"/>
  <c r="BY77" i="2"/>
  <c r="CC72" i="2"/>
  <c r="CA72" i="2"/>
  <c r="BY72" i="2"/>
  <c r="CC66" i="2"/>
  <c r="CA66" i="2"/>
  <c r="BY66" i="2"/>
  <c r="CC73" i="2"/>
  <c r="CA73" i="2"/>
  <c r="BY73" i="2"/>
  <c r="CC64" i="2"/>
  <c r="CA64" i="2"/>
  <c r="BY64" i="2"/>
  <c r="CC65" i="2"/>
  <c r="CA65" i="2"/>
  <c r="BY65" i="2"/>
  <c r="CC68" i="2"/>
  <c r="CA68" i="2"/>
  <c r="BY68" i="2"/>
  <c r="CC67" i="2"/>
  <c r="CA67" i="2"/>
  <c r="BY67" i="2"/>
  <c r="CC62" i="2"/>
  <c r="CA62" i="2"/>
  <c r="BY62" i="2"/>
  <c r="CC61" i="2"/>
  <c r="CA61" i="2"/>
  <c r="BY61" i="2"/>
  <c r="CC57" i="2"/>
  <c r="CA57" i="2"/>
  <c r="BY57" i="2"/>
  <c r="CC53" i="2"/>
  <c r="CA53" i="2"/>
  <c r="BY53" i="2"/>
  <c r="CC63" i="2"/>
  <c r="CA63" i="2"/>
  <c r="BY63" i="2"/>
  <c r="CC58" i="2"/>
  <c r="CA58" i="2"/>
  <c r="BY58" i="2"/>
  <c r="CC60" i="2"/>
  <c r="CA60" i="2"/>
  <c r="BY60" i="2"/>
  <c r="CC59" i="2"/>
  <c r="CA59" i="2"/>
  <c r="BY59" i="2"/>
  <c r="CC56" i="2"/>
  <c r="CA56" i="2"/>
  <c r="BY56" i="2"/>
  <c r="CC48" i="2"/>
  <c r="CA48" i="2"/>
  <c r="BY48" i="2"/>
  <c r="CC54" i="2"/>
  <c r="CA54" i="2"/>
  <c r="BY54" i="2"/>
  <c r="CC55" i="2"/>
  <c r="CA55" i="2"/>
  <c r="BY55" i="2"/>
  <c r="CC52" i="2"/>
  <c r="CA52" i="2"/>
  <c r="BY52" i="2"/>
  <c r="CC50" i="2"/>
  <c r="CA50" i="2"/>
  <c r="BY50" i="2"/>
  <c r="CC43" i="2"/>
  <c r="CA43" i="2"/>
  <c r="BY43" i="2"/>
  <c r="CC39" i="2"/>
  <c r="CA39" i="2"/>
  <c r="BY39" i="2"/>
  <c r="CC51" i="2"/>
  <c r="CA51" i="2"/>
  <c r="BY51" i="2"/>
  <c r="CC41" i="2"/>
  <c r="CA41" i="2"/>
  <c r="BY41" i="2"/>
  <c r="CC46" i="2"/>
  <c r="CA46" i="2"/>
  <c r="BY46" i="2"/>
  <c r="CC42" i="2"/>
  <c r="CA42" i="2"/>
  <c r="BY42" i="2"/>
  <c r="CC44" i="2"/>
  <c r="CA44" i="2"/>
  <c r="BY44" i="2"/>
  <c r="CC49" i="2"/>
  <c r="CA49" i="2"/>
  <c r="BY49" i="2"/>
  <c r="CC45" i="2"/>
  <c r="CA45" i="2"/>
  <c r="BY45" i="2"/>
  <c r="CC35" i="2"/>
  <c r="CA35" i="2"/>
  <c r="BY35" i="2"/>
  <c r="CC40" i="2"/>
  <c r="CA40" i="2"/>
  <c r="BY40" i="2"/>
  <c r="CC33" i="2"/>
  <c r="CA33" i="2"/>
  <c r="BY33" i="2"/>
  <c r="CC37" i="2"/>
  <c r="CA37" i="2"/>
  <c r="BY37" i="2"/>
  <c r="CC36" i="2"/>
  <c r="CA36" i="2"/>
  <c r="BY36" i="2"/>
  <c r="CC47" i="2"/>
  <c r="CA47" i="2"/>
  <c r="BY47" i="2"/>
  <c r="CC28" i="2"/>
  <c r="CA28" i="2"/>
  <c r="BY28" i="2"/>
  <c r="CC38" i="2"/>
  <c r="CA38" i="2"/>
  <c r="BY38" i="2"/>
  <c r="CC32" i="2"/>
  <c r="CA32" i="2"/>
  <c r="BY32" i="2"/>
  <c r="CC34" i="2"/>
  <c r="CA34" i="2"/>
  <c r="BY34" i="2"/>
  <c r="CC30" i="2"/>
  <c r="CA30" i="2"/>
  <c r="BY30" i="2"/>
  <c r="CC29" i="2"/>
  <c r="CA29" i="2"/>
  <c r="BY29" i="2"/>
  <c r="CC31" i="2"/>
  <c r="CA31" i="2"/>
  <c r="BY31" i="2"/>
  <c r="CC26" i="2"/>
  <c r="CA26" i="2"/>
  <c r="BY26" i="2"/>
  <c r="CC22" i="2"/>
  <c r="CA22" i="2"/>
  <c r="BY22" i="2"/>
  <c r="CC27" i="2"/>
  <c r="CA27" i="2"/>
  <c r="BY27" i="2"/>
  <c r="CC25" i="2"/>
  <c r="CA25" i="2"/>
  <c r="BY25" i="2"/>
  <c r="CC23" i="2"/>
  <c r="CA23" i="2"/>
  <c r="BY23" i="2"/>
  <c r="CC24" i="2"/>
  <c r="CA24" i="2"/>
  <c r="BY24" i="2"/>
  <c r="CC21" i="2"/>
  <c r="CA21" i="2"/>
  <c r="BY21" i="2"/>
  <c r="CC20" i="2"/>
  <c r="CA20" i="2"/>
  <c r="BY20" i="2"/>
  <c r="CC16" i="2"/>
  <c r="CA16" i="2"/>
  <c r="BY16" i="2"/>
  <c r="CC19" i="2"/>
  <c r="CA19" i="2"/>
  <c r="BY19" i="2"/>
  <c r="CC15" i="2"/>
  <c r="CA15" i="2"/>
  <c r="BY15" i="2"/>
  <c r="CC14" i="2"/>
  <c r="CA14" i="2"/>
  <c r="BY14" i="2"/>
  <c r="CC18" i="2"/>
  <c r="CA18" i="2"/>
  <c r="BY18" i="2"/>
  <c r="CC17" i="2"/>
  <c r="CA17" i="2"/>
  <c r="BY17" i="2"/>
  <c r="CC13" i="2"/>
  <c r="CA13" i="2"/>
  <c r="BY13" i="2"/>
  <c r="CC12" i="2"/>
  <c r="CA12" i="2"/>
  <c r="BY12" i="2"/>
  <c r="CC10" i="2"/>
  <c r="CA10" i="2"/>
  <c r="BY10" i="2"/>
  <c r="CA8" i="2"/>
  <c r="BY8" i="2"/>
  <c r="CC9" i="2"/>
  <c r="CA9" i="2"/>
  <c r="BY9" i="2"/>
  <c r="CC7" i="2"/>
  <c r="CA7" i="2"/>
  <c r="BY7" i="2"/>
  <c r="CC11" i="2"/>
  <c r="CA11" i="2"/>
  <c r="BY11" i="2"/>
  <c r="CC6" i="2"/>
  <c r="CA6" i="2"/>
  <c r="BY6" i="2"/>
  <c r="CC5" i="2"/>
  <c r="CA5" i="2"/>
  <c r="BY5" i="2"/>
  <c r="CC4" i="2"/>
  <c r="CA4" i="2"/>
  <c r="BY4" i="2"/>
  <c r="CC3" i="2"/>
  <c r="CA3" i="2"/>
  <c r="BY3" i="2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H4" i="15"/>
  <c r="H3" i="15"/>
  <c r="H2" i="15"/>
  <c r="H62" i="15"/>
  <c r="BW4" i="2"/>
  <c r="BW7" i="2"/>
  <c r="BW11" i="2"/>
  <c r="BW5" i="2"/>
  <c r="BW6" i="2"/>
  <c r="BW8" i="2"/>
  <c r="BW9" i="2"/>
  <c r="BW12" i="2"/>
  <c r="BW10" i="2"/>
  <c r="BW14" i="2"/>
  <c r="BW17" i="2"/>
  <c r="BW15" i="2"/>
  <c r="BW13" i="2"/>
  <c r="BW18" i="2"/>
  <c r="BW16" i="2"/>
  <c r="BW21" i="2"/>
  <c r="BW19" i="2"/>
  <c r="BW20" i="2"/>
  <c r="BW22" i="2"/>
  <c r="BW27" i="2"/>
  <c r="BW24" i="2"/>
  <c r="BW25" i="2"/>
  <c r="BW23" i="2"/>
  <c r="BW26" i="2"/>
  <c r="BW29" i="2"/>
  <c r="BW30" i="2"/>
  <c r="BW31" i="2"/>
  <c r="BW38" i="2"/>
  <c r="BW34" i="2"/>
  <c r="BW36" i="2"/>
  <c r="BW32" i="2"/>
  <c r="BW40" i="2"/>
  <c r="BW28" i="2"/>
  <c r="BW47" i="2"/>
  <c r="BW33" i="2"/>
  <c r="BW37" i="2"/>
  <c r="BW45" i="2"/>
  <c r="BW35" i="2"/>
  <c r="BW49" i="2"/>
  <c r="BW44" i="2"/>
  <c r="BW39" i="2"/>
  <c r="BW46" i="2"/>
  <c r="BW41" i="2"/>
  <c r="BW43" i="2"/>
  <c r="BW50" i="2"/>
  <c r="BW42" i="2"/>
  <c r="BW51" i="2"/>
  <c r="BW52" i="2"/>
  <c r="BW55" i="2"/>
  <c r="BW54" i="2"/>
  <c r="BW56" i="2"/>
  <c r="BW59" i="2"/>
  <c r="BW60" i="2"/>
  <c r="BW58" i="2"/>
  <c r="BW48" i="2"/>
  <c r="BW53" i="2"/>
  <c r="BW63" i="2"/>
  <c r="BW57" i="2"/>
  <c r="BW68" i="2"/>
  <c r="BW62" i="2"/>
  <c r="BW61" i="2"/>
  <c r="BW65" i="2"/>
  <c r="BW67" i="2"/>
  <c r="BW73" i="2"/>
  <c r="BW64" i="2"/>
  <c r="BW66" i="2"/>
  <c r="BW78" i="2"/>
  <c r="BW77" i="2"/>
  <c r="BW81" i="2"/>
  <c r="BW72" i="2"/>
  <c r="BW75" i="2"/>
  <c r="BW76" i="2"/>
  <c r="BW74" i="2"/>
  <c r="BW71" i="2"/>
  <c r="BW70" i="2"/>
  <c r="BW69" i="2"/>
  <c r="BW80" i="2"/>
  <c r="BW84" i="2"/>
  <c r="BW85" i="2"/>
  <c r="BW79" i="2"/>
  <c r="BW82" i="2"/>
  <c r="BW86" i="2"/>
  <c r="BW83" i="2"/>
  <c r="BW88" i="2"/>
  <c r="BW89" i="2"/>
  <c r="BW87" i="2"/>
  <c r="BW92" i="2"/>
  <c r="BW93" i="2"/>
  <c r="BW90" i="2"/>
  <c r="BW94" i="2"/>
  <c r="BW95" i="2"/>
  <c r="BW91" i="2"/>
  <c r="BW100" i="2"/>
  <c r="BW98" i="2"/>
  <c r="BW97" i="2"/>
  <c r="BW102" i="2"/>
  <c r="BW99" i="2"/>
  <c r="BW103" i="2"/>
  <c r="BW104" i="2"/>
  <c r="BW106" i="2"/>
  <c r="BW105" i="2"/>
  <c r="BW101" i="2"/>
  <c r="BW96" i="2"/>
  <c r="BU4" i="2"/>
  <c r="BU7" i="2"/>
  <c r="BU11" i="2"/>
  <c r="BU5" i="2"/>
  <c r="BU6" i="2"/>
  <c r="BU8" i="2"/>
  <c r="BU9" i="2"/>
  <c r="BU12" i="2"/>
  <c r="BU10" i="2"/>
  <c r="BU14" i="2"/>
  <c r="BU17" i="2"/>
  <c r="BU15" i="2"/>
  <c r="BU13" i="2"/>
  <c r="BU18" i="2"/>
  <c r="BU16" i="2"/>
  <c r="BU21" i="2"/>
  <c r="BU19" i="2"/>
  <c r="BU20" i="2"/>
  <c r="BU22" i="2"/>
  <c r="BU27" i="2"/>
  <c r="BU24" i="2"/>
  <c r="BU25" i="2"/>
  <c r="BU23" i="2"/>
  <c r="BU26" i="2"/>
  <c r="BU29" i="2"/>
  <c r="BU30" i="2"/>
  <c r="BU31" i="2"/>
  <c r="BU38" i="2"/>
  <c r="BU34" i="2"/>
  <c r="BU36" i="2"/>
  <c r="BU32" i="2"/>
  <c r="BU40" i="2"/>
  <c r="BU28" i="2"/>
  <c r="BU47" i="2"/>
  <c r="BU33" i="2"/>
  <c r="BU37" i="2"/>
  <c r="BU45" i="2"/>
  <c r="BU35" i="2"/>
  <c r="BU49" i="2"/>
  <c r="BU44" i="2"/>
  <c r="BU39" i="2"/>
  <c r="BU46" i="2"/>
  <c r="BU41" i="2"/>
  <c r="BU43" i="2"/>
  <c r="BU50" i="2"/>
  <c r="BU42" i="2"/>
  <c r="BU51" i="2"/>
  <c r="BU52" i="2"/>
  <c r="BU55" i="2"/>
  <c r="BU54" i="2"/>
  <c r="BU56" i="2"/>
  <c r="BU59" i="2"/>
  <c r="BU60" i="2"/>
  <c r="BU58" i="2"/>
  <c r="BU48" i="2"/>
  <c r="BU53" i="2"/>
  <c r="BU63" i="2"/>
  <c r="BU57" i="2"/>
  <c r="BU68" i="2"/>
  <c r="BU62" i="2"/>
  <c r="BU61" i="2"/>
  <c r="BU65" i="2"/>
  <c r="BU67" i="2"/>
  <c r="BU73" i="2"/>
  <c r="BU64" i="2"/>
  <c r="BU66" i="2"/>
  <c r="BU78" i="2"/>
  <c r="BU77" i="2"/>
  <c r="BU81" i="2"/>
  <c r="BU72" i="2"/>
  <c r="BU75" i="2"/>
  <c r="BU76" i="2"/>
  <c r="BU74" i="2"/>
  <c r="BU71" i="2"/>
  <c r="BU70" i="2"/>
  <c r="BU69" i="2"/>
  <c r="BU80" i="2"/>
  <c r="BU84" i="2"/>
  <c r="BU85" i="2"/>
  <c r="BU79" i="2"/>
  <c r="BU82" i="2"/>
  <c r="BU86" i="2"/>
  <c r="BU83" i="2"/>
  <c r="BU88" i="2"/>
  <c r="BU89" i="2"/>
  <c r="BU87" i="2"/>
  <c r="BU92" i="2"/>
  <c r="BU93" i="2"/>
  <c r="BU90" i="2"/>
  <c r="BU94" i="2"/>
  <c r="BU95" i="2"/>
  <c r="BU91" i="2"/>
  <c r="BU100" i="2"/>
  <c r="BU98" i="2"/>
  <c r="BU97" i="2"/>
  <c r="BU102" i="2"/>
  <c r="BU99" i="2"/>
  <c r="BU103" i="2"/>
  <c r="BU104" i="2"/>
  <c r="BU106" i="2"/>
  <c r="BU105" i="2"/>
  <c r="BU101" i="2"/>
  <c r="BU96" i="2"/>
  <c r="BS4" i="2"/>
  <c r="BS7" i="2"/>
  <c r="BS11" i="2"/>
  <c r="BS5" i="2"/>
  <c r="BS6" i="2"/>
  <c r="BS8" i="2"/>
  <c r="BS9" i="2"/>
  <c r="BS12" i="2"/>
  <c r="BS10" i="2"/>
  <c r="BS14" i="2"/>
  <c r="BS17" i="2"/>
  <c r="BS15" i="2"/>
  <c r="BS13" i="2"/>
  <c r="BS18" i="2"/>
  <c r="BS16" i="2"/>
  <c r="BS21" i="2"/>
  <c r="BS19" i="2"/>
  <c r="BS20" i="2"/>
  <c r="BS22" i="2"/>
  <c r="BS27" i="2"/>
  <c r="BS24" i="2"/>
  <c r="BS25" i="2"/>
  <c r="BS23" i="2"/>
  <c r="BS26" i="2"/>
  <c r="BS29" i="2"/>
  <c r="BS30" i="2"/>
  <c r="BS31" i="2"/>
  <c r="BS38" i="2"/>
  <c r="BS34" i="2"/>
  <c r="BS36" i="2"/>
  <c r="BS32" i="2"/>
  <c r="BS40" i="2"/>
  <c r="BS28" i="2"/>
  <c r="BS47" i="2"/>
  <c r="BS33" i="2"/>
  <c r="BS37" i="2"/>
  <c r="BS45" i="2"/>
  <c r="BS35" i="2"/>
  <c r="BS49" i="2"/>
  <c r="BS44" i="2"/>
  <c r="BS39" i="2"/>
  <c r="BS46" i="2"/>
  <c r="BS41" i="2"/>
  <c r="BS43" i="2"/>
  <c r="BS50" i="2"/>
  <c r="BS42" i="2"/>
  <c r="BS51" i="2"/>
  <c r="BS52" i="2"/>
  <c r="BS55" i="2"/>
  <c r="BS54" i="2"/>
  <c r="BS56" i="2"/>
  <c r="BS59" i="2"/>
  <c r="BS60" i="2"/>
  <c r="BS58" i="2"/>
  <c r="BS48" i="2"/>
  <c r="BS53" i="2"/>
  <c r="BS63" i="2"/>
  <c r="BS57" i="2"/>
  <c r="BS68" i="2"/>
  <c r="BS62" i="2"/>
  <c r="BS61" i="2"/>
  <c r="BS65" i="2"/>
  <c r="BS67" i="2"/>
  <c r="BS73" i="2"/>
  <c r="BS64" i="2"/>
  <c r="BS66" i="2"/>
  <c r="BS78" i="2"/>
  <c r="BS77" i="2"/>
  <c r="BS81" i="2"/>
  <c r="BS72" i="2"/>
  <c r="BS75" i="2"/>
  <c r="BS76" i="2"/>
  <c r="BS74" i="2"/>
  <c r="BS71" i="2"/>
  <c r="BS70" i="2"/>
  <c r="BS69" i="2"/>
  <c r="BS80" i="2"/>
  <c r="BS84" i="2"/>
  <c r="BS85" i="2"/>
  <c r="BS79" i="2"/>
  <c r="BS82" i="2"/>
  <c r="BS86" i="2"/>
  <c r="BS83" i="2"/>
  <c r="BS88" i="2"/>
  <c r="BS89" i="2"/>
  <c r="BS87" i="2"/>
  <c r="BS92" i="2"/>
  <c r="BS93" i="2"/>
  <c r="BS90" i="2"/>
  <c r="BS94" i="2"/>
  <c r="BS95" i="2"/>
  <c r="BS91" i="2"/>
  <c r="BS100" i="2"/>
  <c r="BS98" i="2"/>
  <c r="BS97" i="2"/>
  <c r="BS102" i="2"/>
  <c r="BS99" i="2"/>
  <c r="BS103" i="2"/>
  <c r="BS104" i="2"/>
  <c r="BS106" i="2"/>
  <c r="BS105" i="2"/>
  <c r="BS101" i="2"/>
  <c r="BS96" i="2"/>
  <c r="BW3" i="2"/>
  <c r="BU3" i="2"/>
  <c r="BS3" i="2"/>
  <c r="BQ96" i="2"/>
  <c r="BO96" i="2"/>
  <c r="BM96" i="2"/>
  <c r="BK96" i="2"/>
  <c r="BI96" i="2"/>
  <c r="BG96" i="2"/>
  <c r="BE96" i="2"/>
  <c r="BC96" i="2"/>
  <c r="BA96" i="2"/>
  <c r="AY96" i="2"/>
  <c r="AW96" i="2"/>
  <c r="AU96" i="2"/>
  <c r="AS96" i="2"/>
  <c r="AQ96" i="2"/>
  <c r="AO96" i="2"/>
  <c r="AM96" i="2"/>
  <c r="AK96" i="2"/>
  <c r="AI96" i="2"/>
  <c r="AG96" i="2"/>
  <c r="AE96" i="2"/>
  <c r="AC96" i="2"/>
  <c r="AA96" i="2"/>
  <c r="Y96" i="2"/>
  <c r="W96" i="2"/>
  <c r="U96" i="2"/>
  <c r="S96" i="2"/>
  <c r="Q96" i="2"/>
  <c r="O96" i="2"/>
  <c r="M96" i="2"/>
  <c r="K96" i="2"/>
  <c r="I96" i="2"/>
  <c r="G96" i="2"/>
  <c r="E96" i="2"/>
  <c r="H76" i="14"/>
  <c r="H75" i="14"/>
  <c r="H74" i="14"/>
  <c r="H73" i="14"/>
  <c r="H72" i="14"/>
  <c r="H71" i="14"/>
  <c r="H70" i="14"/>
  <c r="H69" i="14"/>
  <c r="H68" i="14"/>
  <c r="H67" i="14"/>
  <c r="H66" i="14"/>
  <c r="H65" i="14"/>
  <c r="H64" i="14"/>
  <c r="H63" i="14"/>
  <c r="H62" i="14"/>
  <c r="H61" i="14"/>
  <c r="H60" i="14"/>
  <c r="H59" i="14"/>
  <c r="H58" i="14"/>
  <c r="H57" i="14"/>
  <c r="H56" i="14"/>
  <c r="H55" i="14"/>
  <c r="H54" i="14"/>
  <c r="H53" i="14"/>
  <c r="H52" i="14"/>
  <c r="H51" i="14"/>
  <c r="H50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7" i="14"/>
  <c r="H6" i="14"/>
  <c r="H5" i="14"/>
  <c r="H4" i="14"/>
  <c r="H3" i="14"/>
  <c r="H2" i="14"/>
  <c r="BM4" i="2"/>
  <c r="BO4" i="2"/>
  <c r="BQ4" i="2"/>
  <c r="BM7" i="2"/>
  <c r="BO7" i="2"/>
  <c r="BQ7" i="2"/>
  <c r="BM11" i="2"/>
  <c r="BO11" i="2"/>
  <c r="BQ11" i="2"/>
  <c r="BM6" i="2"/>
  <c r="BO6" i="2"/>
  <c r="BQ6" i="2"/>
  <c r="BM5" i="2"/>
  <c r="BO5" i="2"/>
  <c r="BQ5" i="2"/>
  <c r="BM8" i="2"/>
  <c r="BO8" i="2"/>
  <c r="BQ8" i="2"/>
  <c r="BM9" i="2"/>
  <c r="BO9" i="2"/>
  <c r="BQ9" i="2"/>
  <c r="BM12" i="2"/>
  <c r="BO12" i="2"/>
  <c r="BQ12" i="2"/>
  <c r="BM10" i="2"/>
  <c r="BO10" i="2"/>
  <c r="BQ10" i="2"/>
  <c r="BM14" i="2"/>
  <c r="BO14" i="2"/>
  <c r="BQ14" i="2"/>
  <c r="BM15" i="2"/>
  <c r="BO15" i="2"/>
  <c r="BQ15" i="2"/>
  <c r="BM18" i="2"/>
  <c r="BO18" i="2"/>
  <c r="BQ18" i="2"/>
  <c r="BM17" i="2"/>
  <c r="BO17" i="2"/>
  <c r="BQ17" i="2"/>
  <c r="BM13" i="2"/>
  <c r="BO13" i="2"/>
  <c r="BQ13" i="2"/>
  <c r="BM21" i="2"/>
  <c r="BO21" i="2"/>
  <c r="BQ21" i="2"/>
  <c r="BM16" i="2"/>
  <c r="BO16" i="2"/>
  <c r="BQ16" i="2"/>
  <c r="BM27" i="2"/>
  <c r="BO27" i="2"/>
  <c r="BQ27" i="2"/>
  <c r="BM19" i="2"/>
  <c r="BO19" i="2"/>
  <c r="BQ19" i="2"/>
  <c r="BM26" i="2"/>
  <c r="BO26" i="2"/>
  <c r="BQ26" i="2"/>
  <c r="BM23" i="2"/>
  <c r="BO23" i="2"/>
  <c r="BQ23" i="2"/>
  <c r="BM25" i="2"/>
  <c r="BO25" i="2"/>
  <c r="BQ25" i="2"/>
  <c r="BM22" i="2"/>
  <c r="BO22" i="2"/>
  <c r="BQ22" i="2"/>
  <c r="BM20" i="2"/>
  <c r="BO20" i="2"/>
  <c r="BQ20" i="2"/>
  <c r="BM24" i="2"/>
  <c r="BO24" i="2"/>
  <c r="BQ24" i="2"/>
  <c r="BM31" i="2"/>
  <c r="BO31" i="2"/>
  <c r="BQ31" i="2"/>
  <c r="BM30" i="2"/>
  <c r="BO30" i="2"/>
  <c r="BQ30" i="2"/>
  <c r="BM38" i="2"/>
  <c r="BO38" i="2"/>
  <c r="BQ38" i="2"/>
  <c r="BM32" i="2"/>
  <c r="BO32" i="2"/>
  <c r="BQ32" i="2"/>
  <c r="BM36" i="2"/>
  <c r="BO36" i="2"/>
  <c r="BQ36" i="2"/>
  <c r="BM34" i="2"/>
  <c r="BO34" i="2"/>
  <c r="BQ34" i="2"/>
  <c r="BM37" i="2"/>
  <c r="BO37" i="2"/>
  <c r="BQ37" i="2"/>
  <c r="BM35" i="2"/>
  <c r="BO35" i="2"/>
  <c r="BQ35" i="2"/>
  <c r="BM44" i="2"/>
  <c r="BO44" i="2"/>
  <c r="BQ44" i="2"/>
  <c r="BM29" i="2"/>
  <c r="BO29" i="2"/>
  <c r="BQ29" i="2"/>
  <c r="BM47" i="2"/>
  <c r="BO47" i="2"/>
  <c r="BQ47" i="2"/>
  <c r="BM49" i="2"/>
  <c r="BO49" i="2"/>
  <c r="BQ49" i="2"/>
  <c r="BM28" i="2"/>
  <c r="BO28" i="2"/>
  <c r="BQ28" i="2"/>
  <c r="BM33" i="2"/>
  <c r="BO33" i="2"/>
  <c r="BQ33" i="2"/>
  <c r="BM45" i="2"/>
  <c r="BO45" i="2"/>
  <c r="BQ45" i="2"/>
  <c r="BM40" i="2"/>
  <c r="BO40" i="2"/>
  <c r="BQ40" i="2"/>
  <c r="BM46" i="2"/>
  <c r="BO46" i="2"/>
  <c r="BQ46" i="2"/>
  <c r="BM41" i="2"/>
  <c r="BO41" i="2"/>
  <c r="BQ41" i="2"/>
  <c r="BM43" i="2"/>
  <c r="BO43" i="2"/>
  <c r="BQ43" i="2"/>
  <c r="BM55" i="2"/>
  <c r="BO55" i="2"/>
  <c r="BQ55" i="2"/>
  <c r="BM39" i="2"/>
  <c r="BO39" i="2"/>
  <c r="BQ39" i="2"/>
  <c r="BM50" i="2"/>
  <c r="BO50" i="2"/>
  <c r="BQ50" i="2"/>
  <c r="BM59" i="2"/>
  <c r="BO59" i="2"/>
  <c r="BQ59" i="2"/>
  <c r="BM51" i="2"/>
  <c r="BO51" i="2"/>
  <c r="BQ51" i="2"/>
  <c r="BM42" i="2"/>
  <c r="BO42" i="2"/>
  <c r="BQ42" i="2"/>
  <c r="BM52" i="2"/>
  <c r="BO52" i="2"/>
  <c r="BQ52" i="2"/>
  <c r="BM54" i="2"/>
  <c r="BO54" i="2"/>
  <c r="BQ54" i="2"/>
  <c r="BM60" i="2"/>
  <c r="BO60" i="2"/>
  <c r="BQ60" i="2"/>
  <c r="BM56" i="2"/>
  <c r="BO56" i="2"/>
  <c r="BQ56" i="2"/>
  <c r="BM48" i="2"/>
  <c r="BO48" i="2"/>
  <c r="BQ48" i="2"/>
  <c r="BM58" i="2"/>
  <c r="BO58" i="2"/>
  <c r="BQ58" i="2"/>
  <c r="BM63" i="2"/>
  <c r="BO63" i="2"/>
  <c r="BQ63" i="2"/>
  <c r="BM68" i="2"/>
  <c r="BO68" i="2"/>
  <c r="BQ68" i="2"/>
  <c r="BM53" i="2"/>
  <c r="BO53" i="2"/>
  <c r="BQ53" i="2"/>
  <c r="BM57" i="2"/>
  <c r="BO57" i="2"/>
  <c r="BQ57" i="2"/>
  <c r="BM73" i="2"/>
  <c r="BO73" i="2"/>
  <c r="BQ73" i="2"/>
  <c r="BM62" i="2"/>
  <c r="BO62" i="2"/>
  <c r="BQ62" i="2"/>
  <c r="BM66" i="2"/>
  <c r="BO66" i="2"/>
  <c r="BQ66" i="2"/>
  <c r="BM65" i="2"/>
  <c r="BO65" i="2"/>
  <c r="BQ65" i="2"/>
  <c r="BM78" i="2"/>
  <c r="BO78" i="2"/>
  <c r="BQ78" i="2"/>
  <c r="BM61" i="2"/>
  <c r="BO61" i="2"/>
  <c r="BQ61" i="2"/>
  <c r="BM77" i="2"/>
  <c r="BO77" i="2"/>
  <c r="BQ77" i="2"/>
  <c r="BM81" i="2"/>
  <c r="BO81" i="2"/>
  <c r="BQ81" i="2"/>
  <c r="BM67" i="2"/>
  <c r="BO67" i="2"/>
  <c r="BQ67" i="2"/>
  <c r="BM64" i="2"/>
  <c r="BO64" i="2"/>
  <c r="BQ64" i="2"/>
  <c r="BM74" i="2"/>
  <c r="BO74" i="2"/>
  <c r="BQ74" i="2"/>
  <c r="BM76" i="2"/>
  <c r="BO76" i="2"/>
  <c r="BQ76" i="2"/>
  <c r="BM72" i="2"/>
  <c r="BO72" i="2"/>
  <c r="BQ72" i="2"/>
  <c r="BM71" i="2"/>
  <c r="BO71" i="2"/>
  <c r="BQ71" i="2"/>
  <c r="BM70" i="2"/>
  <c r="BO70" i="2"/>
  <c r="BQ70" i="2"/>
  <c r="BM69" i="2"/>
  <c r="BO69" i="2"/>
  <c r="BQ69" i="2"/>
  <c r="BM84" i="2"/>
  <c r="BO84" i="2"/>
  <c r="BQ84" i="2"/>
  <c r="BM85" i="2"/>
  <c r="BO85" i="2"/>
  <c r="BQ85" i="2"/>
  <c r="BM80" i="2"/>
  <c r="BO80" i="2"/>
  <c r="BQ80" i="2"/>
  <c r="BM75" i="2"/>
  <c r="BO75" i="2"/>
  <c r="BQ75" i="2"/>
  <c r="BM79" i="2"/>
  <c r="BO79" i="2"/>
  <c r="BQ79" i="2"/>
  <c r="BM88" i="2"/>
  <c r="BO88" i="2"/>
  <c r="BQ88" i="2"/>
  <c r="BM83" i="2"/>
  <c r="BO83" i="2"/>
  <c r="BQ83" i="2"/>
  <c r="BM87" i="2"/>
  <c r="BO87" i="2"/>
  <c r="BQ87" i="2"/>
  <c r="BM86" i="2"/>
  <c r="BO86" i="2"/>
  <c r="BQ86" i="2"/>
  <c r="BM82" i="2"/>
  <c r="BO82" i="2"/>
  <c r="BQ82" i="2"/>
  <c r="BM93" i="2"/>
  <c r="BO93" i="2"/>
  <c r="BQ93" i="2"/>
  <c r="BM90" i="2"/>
  <c r="BO90" i="2"/>
  <c r="BQ90" i="2"/>
  <c r="BM89" i="2"/>
  <c r="BO89" i="2"/>
  <c r="BQ89" i="2"/>
  <c r="BM92" i="2"/>
  <c r="BO92" i="2"/>
  <c r="BQ92" i="2"/>
  <c r="BM94" i="2"/>
  <c r="BO94" i="2"/>
  <c r="BQ94" i="2"/>
  <c r="BM100" i="2"/>
  <c r="BO100" i="2"/>
  <c r="BQ100" i="2"/>
  <c r="BM95" i="2"/>
  <c r="BO95" i="2"/>
  <c r="BQ95" i="2"/>
  <c r="BM98" i="2"/>
  <c r="BO98" i="2"/>
  <c r="BQ98" i="2"/>
  <c r="BM97" i="2"/>
  <c r="BO97" i="2"/>
  <c r="BQ97" i="2"/>
  <c r="BM102" i="2"/>
  <c r="BO102" i="2"/>
  <c r="BQ102" i="2"/>
  <c r="BM99" i="2"/>
  <c r="BO99" i="2"/>
  <c r="BQ99" i="2"/>
  <c r="BM91" i="2"/>
  <c r="BO91" i="2"/>
  <c r="BQ91" i="2"/>
  <c r="BM103" i="2"/>
  <c r="BO103" i="2"/>
  <c r="BQ103" i="2"/>
  <c r="BM104" i="2"/>
  <c r="BO104" i="2"/>
  <c r="BQ104" i="2"/>
  <c r="BM105" i="2"/>
  <c r="BO105" i="2"/>
  <c r="BQ105" i="2"/>
  <c r="BM106" i="2"/>
  <c r="BO106" i="2"/>
  <c r="BQ106" i="2"/>
  <c r="BM101" i="2"/>
  <c r="BO101" i="2"/>
  <c r="BQ101" i="2"/>
  <c r="BQ3" i="2"/>
  <c r="BO3" i="2"/>
  <c r="BM3" i="2"/>
  <c r="AE103" i="2"/>
  <c r="AE106" i="2"/>
  <c r="AE98" i="2"/>
  <c r="AE105" i="2"/>
  <c r="AE91" i="2"/>
  <c r="AE99" i="2"/>
  <c r="AE102" i="2"/>
  <c r="AE97" i="2"/>
  <c r="AE93" i="2"/>
  <c r="AE95" i="2"/>
  <c r="AE94" i="2"/>
  <c r="AE90" i="2"/>
  <c r="AE82" i="2"/>
  <c r="AE83" i="2"/>
  <c r="AE79" i="2"/>
  <c r="AE86" i="2"/>
  <c r="AE69" i="2"/>
  <c r="AE81" i="2"/>
  <c r="AE71" i="2"/>
  <c r="AE75" i="2"/>
  <c r="AK103" i="2"/>
  <c r="AK101" i="2"/>
  <c r="AK106" i="2"/>
  <c r="AK98" i="2"/>
  <c r="AK104" i="2"/>
  <c r="AK105" i="2"/>
  <c r="AK91" i="2"/>
  <c r="AK99" i="2"/>
  <c r="AK102" i="2"/>
  <c r="AK89" i="2"/>
  <c r="AK100" i="2"/>
  <c r="AK93" i="2"/>
  <c r="AK95" i="2"/>
  <c r="AK90" i="2"/>
  <c r="AK87" i="2"/>
  <c r="AK83" i="2"/>
  <c r="AK79" i="2"/>
  <c r="AK86" i="2"/>
  <c r="AK88" i="2"/>
  <c r="AK70" i="2"/>
  <c r="AK69" i="2"/>
  <c r="AK80" i="2"/>
  <c r="AK84" i="2"/>
  <c r="AK71" i="2"/>
  <c r="AK74" i="2"/>
  <c r="BK103" i="2"/>
  <c r="BI103" i="2"/>
  <c r="BG103" i="2"/>
  <c r="BE103" i="2"/>
  <c r="BC103" i="2"/>
  <c r="BA103" i="2"/>
  <c r="AY103" i="2"/>
  <c r="AW103" i="2"/>
  <c r="AU103" i="2"/>
  <c r="AS103" i="2"/>
  <c r="AQ103" i="2"/>
  <c r="AO103" i="2"/>
  <c r="AM103" i="2"/>
  <c r="AI103" i="2"/>
  <c r="AG103" i="2"/>
  <c r="AC103" i="2"/>
  <c r="AA103" i="2"/>
  <c r="Y103" i="2"/>
  <c r="W103" i="2"/>
  <c r="U103" i="2"/>
  <c r="S103" i="2"/>
  <c r="Q103" i="2"/>
  <c r="O103" i="2"/>
  <c r="M103" i="2"/>
  <c r="K103" i="2"/>
  <c r="I103" i="2"/>
  <c r="G103" i="2"/>
  <c r="E103" i="2"/>
  <c r="H77" i="12"/>
  <c r="H76" i="12"/>
  <c r="H75" i="12"/>
  <c r="H74" i="12"/>
  <c r="H73" i="12"/>
  <c r="H72" i="12"/>
  <c r="H71" i="12"/>
  <c r="H70" i="12"/>
  <c r="H69" i="12"/>
  <c r="H68" i="12"/>
  <c r="H67" i="12"/>
  <c r="H66" i="12"/>
  <c r="H65" i="12"/>
  <c r="H64" i="12"/>
  <c r="H63" i="12"/>
  <c r="H62" i="12"/>
  <c r="H61" i="12"/>
  <c r="H60" i="12"/>
  <c r="H59" i="12"/>
  <c r="H58" i="12"/>
  <c r="H57" i="12"/>
  <c r="H56" i="12"/>
  <c r="H55" i="12"/>
  <c r="H54" i="12"/>
  <c r="H53" i="12"/>
  <c r="H52" i="12"/>
  <c r="H51" i="12"/>
  <c r="H50" i="12"/>
  <c r="H49" i="12"/>
  <c r="H48" i="12"/>
  <c r="H47" i="12"/>
  <c r="H46" i="12"/>
  <c r="H45" i="12"/>
  <c r="H44" i="12"/>
  <c r="H43" i="12"/>
  <c r="H42" i="12"/>
  <c r="H41" i="12"/>
  <c r="H40" i="12"/>
  <c r="H39" i="12"/>
  <c r="H38" i="12"/>
  <c r="H37" i="12"/>
  <c r="H36" i="12"/>
  <c r="H35" i="12"/>
  <c r="H34" i="12"/>
  <c r="H33" i="12"/>
  <c r="H32" i="12"/>
  <c r="H31" i="12"/>
  <c r="H30" i="12"/>
  <c r="H29" i="12"/>
  <c r="H28" i="12"/>
  <c r="H27" i="12"/>
  <c r="H26" i="12"/>
  <c r="H25" i="12"/>
  <c r="H24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6" i="12"/>
  <c r="H5" i="12"/>
  <c r="H4" i="12"/>
  <c r="H3" i="12"/>
  <c r="H2" i="12"/>
  <c r="BK101" i="2"/>
  <c r="BK106" i="2"/>
  <c r="BK98" i="2"/>
  <c r="BK104" i="2"/>
  <c r="BK105" i="2"/>
  <c r="BK91" i="2"/>
  <c r="BK99" i="2"/>
  <c r="BK102" i="2"/>
  <c r="BK97" i="2"/>
  <c r="BK89" i="2"/>
  <c r="BK100" i="2"/>
  <c r="BK93" i="2"/>
  <c r="BK95" i="2"/>
  <c r="BK92" i="2"/>
  <c r="BK94" i="2"/>
  <c r="BK90" i="2"/>
  <c r="BK82" i="2"/>
  <c r="BK87" i="2"/>
  <c r="BK83" i="2"/>
  <c r="BK79" i="2"/>
  <c r="BK86" i="2"/>
  <c r="BK88" i="2"/>
  <c r="BK70" i="2"/>
  <c r="BK69" i="2"/>
  <c r="BK81" i="2"/>
  <c r="BK80" i="2"/>
  <c r="BK84" i="2"/>
  <c r="BK71" i="2"/>
  <c r="BK76" i="2"/>
  <c r="BK75" i="2"/>
  <c r="BK74" i="2"/>
  <c r="BK72" i="2"/>
  <c r="BK85" i="2"/>
  <c r="BK53" i="2"/>
  <c r="BK64" i="2"/>
  <c r="BK61" i="2"/>
  <c r="BK67" i="2"/>
  <c r="BK77" i="2"/>
  <c r="BK65" i="2"/>
  <c r="BK62" i="2"/>
  <c r="BK78" i="2"/>
  <c r="BK66" i="2"/>
  <c r="BK73" i="2"/>
  <c r="BK57" i="2"/>
  <c r="BK63" i="2"/>
  <c r="BK68" i="2"/>
  <c r="BK58" i="2"/>
  <c r="BK48" i="2"/>
  <c r="BK56" i="2"/>
  <c r="BK42" i="2"/>
  <c r="BK54" i="2"/>
  <c r="BK59" i="2"/>
  <c r="BK52" i="2"/>
  <c r="BK51" i="2"/>
  <c r="BK60" i="2"/>
  <c r="BK50" i="2"/>
  <c r="BK29" i="2"/>
  <c r="BK39" i="2"/>
  <c r="BK41" i="2"/>
  <c r="BK43" i="2"/>
  <c r="BK40" i="2"/>
  <c r="BK28" i="2"/>
  <c r="BK55" i="2"/>
  <c r="BK46" i="2"/>
  <c r="BK32" i="2"/>
  <c r="BK47" i="2"/>
  <c r="BK45" i="2"/>
  <c r="BK33" i="2"/>
  <c r="BK38" i="2"/>
  <c r="BK49" i="2"/>
  <c r="BK37" i="2"/>
  <c r="BK34" i="2"/>
  <c r="BK36" i="2"/>
  <c r="BK31" i="2"/>
  <c r="BK44" i="2"/>
  <c r="BK24" i="2"/>
  <c r="BK35" i="2"/>
  <c r="BK30" i="2"/>
  <c r="BK22" i="2"/>
  <c r="BK25" i="2"/>
  <c r="BK20" i="2"/>
  <c r="BK26" i="2"/>
  <c r="BK27" i="2"/>
  <c r="BK16" i="2"/>
  <c r="BK23" i="2"/>
  <c r="BK19" i="2"/>
  <c r="BK17" i="2"/>
  <c r="BK21" i="2"/>
  <c r="BK13" i="2"/>
  <c r="BK18" i="2"/>
  <c r="BK14" i="2"/>
  <c r="BK10" i="2"/>
  <c r="BK15" i="2"/>
  <c r="BK12" i="2"/>
  <c r="BK9" i="2"/>
  <c r="BK8" i="2"/>
  <c r="BK5" i="2"/>
  <c r="BK6" i="2"/>
  <c r="BK11" i="2"/>
  <c r="BK7" i="2"/>
  <c r="BK4" i="2"/>
  <c r="BK3" i="2"/>
  <c r="BI101" i="2"/>
  <c r="BI106" i="2"/>
  <c r="BI98" i="2"/>
  <c r="BI104" i="2"/>
  <c r="BI105" i="2"/>
  <c r="BI91" i="2"/>
  <c r="BI99" i="2"/>
  <c r="BI102" i="2"/>
  <c r="BI97" i="2"/>
  <c r="BI89" i="2"/>
  <c r="BI100" i="2"/>
  <c r="BI93" i="2"/>
  <c r="BI95" i="2"/>
  <c r="BI92" i="2"/>
  <c r="BI94" i="2"/>
  <c r="BI90" i="2"/>
  <c r="BI82" i="2"/>
  <c r="BI87" i="2"/>
  <c r="BI83" i="2"/>
  <c r="BI79" i="2"/>
  <c r="BI86" i="2"/>
  <c r="BI88" i="2"/>
  <c r="BI70" i="2"/>
  <c r="BI69" i="2"/>
  <c r="BI81" i="2"/>
  <c r="BI80" i="2"/>
  <c r="BI84" i="2"/>
  <c r="BI71" i="2"/>
  <c r="BI76" i="2"/>
  <c r="BI75" i="2"/>
  <c r="BI74" i="2"/>
  <c r="BI72" i="2"/>
  <c r="BI85" i="2"/>
  <c r="BI53" i="2"/>
  <c r="BI64" i="2"/>
  <c r="BI61" i="2"/>
  <c r="BI67" i="2"/>
  <c r="BI77" i="2"/>
  <c r="BI65" i="2"/>
  <c r="BI62" i="2"/>
  <c r="BI78" i="2"/>
  <c r="BI66" i="2"/>
  <c r="BI73" i="2"/>
  <c r="BI57" i="2"/>
  <c r="BI63" i="2"/>
  <c r="BI68" i="2"/>
  <c r="BI58" i="2"/>
  <c r="BI48" i="2"/>
  <c r="BI56" i="2"/>
  <c r="BI42" i="2"/>
  <c r="BI54" i="2"/>
  <c r="BI59" i="2"/>
  <c r="BI52" i="2"/>
  <c r="BI51" i="2"/>
  <c r="BI60" i="2"/>
  <c r="BI50" i="2"/>
  <c r="BI29" i="2"/>
  <c r="BI39" i="2"/>
  <c r="BI41" i="2"/>
  <c r="BI43" i="2"/>
  <c r="BI40" i="2"/>
  <c r="BI28" i="2"/>
  <c r="BI55" i="2"/>
  <c r="BI46" i="2"/>
  <c r="BI32" i="2"/>
  <c r="BI47" i="2"/>
  <c r="BI45" i="2"/>
  <c r="BI33" i="2"/>
  <c r="BI38" i="2"/>
  <c r="BI49" i="2"/>
  <c r="BI37" i="2"/>
  <c r="BI34" i="2"/>
  <c r="BI36" i="2"/>
  <c r="BI31" i="2"/>
  <c r="BI44" i="2"/>
  <c r="BI24" i="2"/>
  <c r="BI35" i="2"/>
  <c r="BI30" i="2"/>
  <c r="BI22" i="2"/>
  <c r="BI25" i="2"/>
  <c r="BI20" i="2"/>
  <c r="BI26" i="2"/>
  <c r="BI27" i="2"/>
  <c r="BI16" i="2"/>
  <c r="BI23" i="2"/>
  <c r="BI19" i="2"/>
  <c r="BI17" i="2"/>
  <c r="BI21" i="2"/>
  <c r="BI13" i="2"/>
  <c r="BI18" i="2"/>
  <c r="BI14" i="2"/>
  <c r="BI10" i="2"/>
  <c r="BI15" i="2"/>
  <c r="BI12" i="2"/>
  <c r="BI9" i="2"/>
  <c r="BI8" i="2"/>
  <c r="BI5" i="2"/>
  <c r="BI6" i="2"/>
  <c r="BI11" i="2"/>
  <c r="BI7" i="2"/>
  <c r="BI4" i="2"/>
  <c r="BI3" i="2"/>
  <c r="BG101" i="2"/>
  <c r="BG106" i="2"/>
  <c r="BG98" i="2"/>
  <c r="BG104" i="2"/>
  <c r="BG105" i="2"/>
  <c r="BG91" i="2"/>
  <c r="BG99" i="2"/>
  <c r="BG102" i="2"/>
  <c r="BG97" i="2"/>
  <c r="BG89" i="2"/>
  <c r="BG100" i="2"/>
  <c r="BG93" i="2"/>
  <c r="BG95" i="2"/>
  <c r="BG92" i="2"/>
  <c r="BG94" i="2"/>
  <c r="BG90" i="2"/>
  <c r="BG82" i="2"/>
  <c r="BG87" i="2"/>
  <c r="BG83" i="2"/>
  <c r="BG79" i="2"/>
  <c r="BG86" i="2"/>
  <c r="BG88" i="2"/>
  <c r="BG70" i="2"/>
  <c r="BG69" i="2"/>
  <c r="BG81" i="2"/>
  <c r="BG80" i="2"/>
  <c r="BG84" i="2"/>
  <c r="BG71" i="2"/>
  <c r="BG76" i="2"/>
  <c r="BG75" i="2"/>
  <c r="BG74" i="2"/>
  <c r="BG72" i="2"/>
  <c r="BG85" i="2"/>
  <c r="BG53" i="2"/>
  <c r="BG64" i="2"/>
  <c r="BG61" i="2"/>
  <c r="BG67" i="2"/>
  <c r="BG77" i="2"/>
  <c r="BG65" i="2"/>
  <c r="BG62" i="2"/>
  <c r="BG78" i="2"/>
  <c r="BG66" i="2"/>
  <c r="BG73" i="2"/>
  <c r="BG57" i="2"/>
  <c r="BG63" i="2"/>
  <c r="BG68" i="2"/>
  <c r="BG58" i="2"/>
  <c r="BG48" i="2"/>
  <c r="BG56" i="2"/>
  <c r="BG42" i="2"/>
  <c r="BG54" i="2"/>
  <c r="BG59" i="2"/>
  <c r="BG52" i="2"/>
  <c r="BG51" i="2"/>
  <c r="BG60" i="2"/>
  <c r="BG50" i="2"/>
  <c r="BG29" i="2"/>
  <c r="BG39" i="2"/>
  <c r="BG41" i="2"/>
  <c r="BG43" i="2"/>
  <c r="BG40" i="2"/>
  <c r="BG28" i="2"/>
  <c r="BG55" i="2"/>
  <c r="BG46" i="2"/>
  <c r="BG32" i="2"/>
  <c r="BG47" i="2"/>
  <c r="BG45" i="2"/>
  <c r="BG33" i="2"/>
  <c r="BG38" i="2"/>
  <c r="BG49" i="2"/>
  <c r="BG37" i="2"/>
  <c r="BG34" i="2"/>
  <c r="BG36" i="2"/>
  <c r="BG31" i="2"/>
  <c r="BG44" i="2"/>
  <c r="BG24" i="2"/>
  <c r="BG35" i="2"/>
  <c r="BG30" i="2"/>
  <c r="BG22" i="2"/>
  <c r="BG25" i="2"/>
  <c r="BG20" i="2"/>
  <c r="BG26" i="2"/>
  <c r="BG27" i="2"/>
  <c r="BG16" i="2"/>
  <c r="BG23" i="2"/>
  <c r="BG19" i="2"/>
  <c r="BG17" i="2"/>
  <c r="BG21" i="2"/>
  <c r="BG13" i="2"/>
  <c r="BG18" i="2"/>
  <c r="BG14" i="2"/>
  <c r="BG10" i="2"/>
  <c r="BG15" i="2"/>
  <c r="BG12" i="2"/>
  <c r="BG9" i="2"/>
  <c r="BG8" i="2"/>
  <c r="BG5" i="2"/>
  <c r="BG6" i="2"/>
  <c r="BG11" i="2"/>
  <c r="BG7" i="2"/>
  <c r="BG4" i="2"/>
  <c r="BG3" i="2"/>
  <c r="BE101" i="2"/>
  <c r="BE106" i="2"/>
  <c r="BE98" i="2"/>
  <c r="BE104" i="2"/>
  <c r="BE105" i="2"/>
  <c r="BE91" i="2"/>
  <c r="BE99" i="2"/>
  <c r="BE102" i="2"/>
  <c r="BE97" i="2"/>
  <c r="BE93" i="2"/>
  <c r="BE69" i="2"/>
  <c r="BE89" i="2"/>
  <c r="BE100" i="2"/>
  <c r="BE85" i="2"/>
  <c r="BE92" i="2"/>
  <c r="BE94" i="2"/>
  <c r="BE95" i="2"/>
  <c r="BE86" i="2"/>
  <c r="BE87" i="2"/>
  <c r="BE90" i="2"/>
  <c r="BE72" i="2"/>
  <c r="BE83" i="2"/>
  <c r="BE82" i="2"/>
  <c r="BE75" i="2"/>
  <c r="BE74" i="2"/>
  <c r="BE70" i="2"/>
  <c r="BE71" i="2"/>
  <c r="BE79" i="2"/>
  <c r="BE64" i="2"/>
  <c r="BE84" i="2"/>
  <c r="BE88" i="2"/>
  <c r="BE76" i="2"/>
  <c r="BE81" i="2"/>
  <c r="BE80" i="2"/>
  <c r="BE77" i="2"/>
  <c r="BE53" i="2"/>
  <c r="BE61" i="2"/>
  <c r="BE67" i="2"/>
  <c r="BE62" i="2"/>
  <c r="BE65" i="2"/>
  <c r="BE73" i="2"/>
  <c r="BE57" i="2"/>
  <c r="BE63" i="2"/>
  <c r="BE78" i="2"/>
  <c r="BE66" i="2"/>
  <c r="BE58" i="2"/>
  <c r="BE29" i="2"/>
  <c r="BE54" i="2"/>
  <c r="BE42" i="2"/>
  <c r="BE68" i="2"/>
  <c r="BE52" i="2"/>
  <c r="BE48" i="2"/>
  <c r="BE56" i="2"/>
  <c r="BE40" i="2"/>
  <c r="BE45" i="2"/>
  <c r="BE59" i="2"/>
  <c r="BE50" i="2"/>
  <c r="BE39" i="2"/>
  <c r="BE43" i="2"/>
  <c r="BE51" i="2"/>
  <c r="BE41" i="2"/>
  <c r="BE47" i="2"/>
  <c r="BE60" i="2"/>
  <c r="BE46" i="2"/>
  <c r="BE32" i="2"/>
  <c r="BE33" i="2"/>
  <c r="BE34" i="2"/>
  <c r="BE31" i="2"/>
  <c r="BE28" i="2"/>
  <c r="BE36" i="2"/>
  <c r="BE49" i="2"/>
  <c r="BE30" i="2"/>
  <c r="BE38" i="2"/>
  <c r="BE55" i="2"/>
  <c r="BE24" i="2"/>
  <c r="BE37" i="2"/>
  <c r="BE35" i="2"/>
  <c r="BE20" i="2"/>
  <c r="BE22" i="2"/>
  <c r="BE44" i="2"/>
  <c r="BE25" i="2"/>
  <c r="BE23" i="2"/>
  <c r="BE26" i="2"/>
  <c r="BE16" i="2"/>
  <c r="BE19" i="2"/>
  <c r="BE21" i="2"/>
  <c r="BE27" i="2"/>
  <c r="BE13" i="2"/>
  <c r="BE17" i="2"/>
  <c r="BE14" i="2"/>
  <c r="BE10" i="2"/>
  <c r="BE18" i="2"/>
  <c r="BE12" i="2"/>
  <c r="BE15" i="2"/>
  <c r="BE9" i="2"/>
  <c r="BE8" i="2"/>
  <c r="BE6" i="2"/>
  <c r="BE11" i="2"/>
  <c r="BE5" i="2"/>
  <c r="BE7" i="2"/>
  <c r="BE4" i="2"/>
  <c r="BE3" i="2"/>
  <c r="BC101" i="2"/>
  <c r="BC106" i="2"/>
  <c r="BC98" i="2"/>
  <c r="BC104" i="2"/>
  <c r="BC105" i="2"/>
  <c r="BC91" i="2"/>
  <c r="BC99" i="2"/>
  <c r="BC102" i="2"/>
  <c r="BC97" i="2"/>
  <c r="BC93" i="2"/>
  <c r="BC69" i="2"/>
  <c r="BC89" i="2"/>
  <c r="BC100" i="2"/>
  <c r="BC85" i="2"/>
  <c r="BC92" i="2"/>
  <c r="BC94" i="2"/>
  <c r="BC95" i="2"/>
  <c r="BC86" i="2"/>
  <c r="BC87" i="2"/>
  <c r="BC90" i="2"/>
  <c r="BC72" i="2"/>
  <c r="BC83" i="2"/>
  <c r="BC82" i="2"/>
  <c r="BC75" i="2"/>
  <c r="BC74" i="2"/>
  <c r="BC70" i="2"/>
  <c r="BC71" i="2"/>
  <c r="BC79" i="2"/>
  <c r="BC64" i="2"/>
  <c r="BC84" i="2"/>
  <c r="BC88" i="2"/>
  <c r="BC76" i="2"/>
  <c r="BC81" i="2"/>
  <c r="BC80" i="2"/>
  <c r="BC77" i="2"/>
  <c r="BC53" i="2"/>
  <c r="BC61" i="2"/>
  <c r="BC67" i="2"/>
  <c r="BC62" i="2"/>
  <c r="BC65" i="2"/>
  <c r="BC73" i="2"/>
  <c r="BC57" i="2"/>
  <c r="BC63" i="2"/>
  <c r="BC78" i="2"/>
  <c r="BC66" i="2"/>
  <c r="BC58" i="2"/>
  <c r="BC29" i="2"/>
  <c r="BC54" i="2"/>
  <c r="BC42" i="2"/>
  <c r="BC68" i="2"/>
  <c r="BC52" i="2"/>
  <c r="BC48" i="2"/>
  <c r="BC56" i="2"/>
  <c r="BC40" i="2"/>
  <c r="BC45" i="2"/>
  <c r="BC59" i="2"/>
  <c r="BC50" i="2"/>
  <c r="BC39" i="2"/>
  <c r="BC43" i="2"/>
  <c r="BC51" i="2"/>
  <c r="BC41" i="2"/>
  <c r="BC47" i="2"/>
  <c r="BC60" i="2"/>
  <c r="BC46" i="2"/>
  <c r="BC32" i="2"/>
  <c r="BC33" i="2"/>
  <c r="BC34" i="2"/>
  <c r="BC31" i="2"/>
  <c r="BC28" i="2"/>
  <c r="BC36" i="2"/>
  <c r="BC49" i="2"/>
  <c r="BC30" i="2"/>
  <c r="BC38" i="2"/>
  <c r="BC55" i="2"/>
  <c r="BC24" i="2"/>
  <c r="BC37" i="2"/>
  <c r="BC35" i="2"/>
  <c r="BC20" i="2"/>
  <c r="BC22" i="2"/>
  <c r="BC44" i="2"/>
  <c r="BC25" i="2"/>
  <c r="BC23" i="2"/>
  <c r="BC26" i="2"/>
  <c r="BC16" i="2"/>
  <c r="BC19" i="2"/>
  <c r="BC21" i="2"/>
  <c r="BC27" i="2"/>
  <c r="BC13" i="2"/>
  <c r="BC17" i="2"/>
  <c r="BC14" i="2"/>
  <c r="BC10" i="2"/>
  <c r="BC18" i="2"/>
  <c r="BC12" i="2"/>
  <c r="BC15" i="2"/>
  <c r="BC9" i="2"/>
  <c r="BC8" i="2"/>
  <c r="BC6" i="2"/>
  <c r="BC11" i="2"/>
  <c r="BC5" i="2"/>
  <c r="BC7" i="2"/>
  <c r="BC4" i="2"/>
  <c r="BC3" i="2"/>
  <c r="BA101" i="2"/>
  <c r="BA106" i="2"/>
  <c r="BA98" i="2"/>
  <c r="BA104" i="2"/>
  <c r="BA105" i="2"/>
  <c r="BA91" i="2"/>
  <c r="BA99" i="2"/>
  <c r="BA102" i="2"/>
  <c r="BA97" i="2"/>
  <c r="BA93" i="2"/>
  <c r="BA69" i="2"/>
  <c r="BA89" i="2"/>
  <c r="BA100" i="2"/>
  <c r="BA85" i="2"/>
  <c r="BA92" i="2"/>
  <c r="BA94" i="2"/>
  <c r="BA95" i="2"/>
  <c r="BA86" i="2"/>
  <c r="BA87" i="2"/>
  <c r="BA90" i="2"/>
  <c r="BA72" i="2"/>
  <c r="BA83" i="2"/>
  <c r="BA82" i="2"/>
  <c r="BA75" i="2"/>
  <c r="BA74" i="2"/>
  <c r="BA70" i="2"/>
  <c r="BA71" i="2"/>
  <c r="BA79" i="2"/>
  <c r="BA64" i="2"/>
  <c r="BA84" i="2"/>
  <c r="BA88" i="2"/>
  <c r="BA76" i="2"/>
  <c r="BA81" i="2"/>
  <c r="BA80" i="2"/>
  <c r="BA77" i="2"/>
  <c r="BA53" i="2"/>
  <c r="BA61" i="2"/>
  <c r="BA67" i="2"/>
  <c r="BA62" i="2"/>
  <c r="BA65" i="2"/>
  <c r="BA73" i="2"/>
  <c r="BA57" i="2"/>
  <c r="BA63" i="2"/>
  <c r="BA78" i="2"/>
  <c r="BA66" i="2"/>
  <c r="BA58" i="2"/>
  <c r="BA29" i="2"/>
  <c r="BA54" i="2"/>
  <c r="BA42" i="2"/>
  <c r="BA68" i="2"/>
  <c r="BA52" i="2"/>
  <c r="BA48" i="2"/>
  <c r="BA56" i="2"/>
  <c r="BA40" i="2"/>
  <c r="BA45" i="2"/>
  <c r="BA59" i="2"/>
  <c r="BA50" i="2"/>
  <c r="BA39" i="2"/>
  <c r="BA43" i="2"/>
  <c r="BA51" i="2"/>
  <c r="BA41" i="2"/>
  <c r="BA47" i="2"/>
  <c r="BA60" i="2"/>
  <c r="BA46" i="2"/>
  <c r="BA32" i="2"/>
  <c r="BA33" i="2"/>
  <c r="BA34" i="2"/>
  <c r="BA31" i="2"/>
  <c r="BA28" i="2"/>
  <c r="BA36" i="2"/>
  <c r="BA49" i="2"/>
  <c r="BA30" i="2"/>
  <c r="BA38" i="2"/>
  <c r="BA55" i="2"/>
  <c r="BA24" i="2"/>
  <c r="BA37" i="2"/>
  <c r="BA35" i="2"/>
  <c r="BA20" i="2"/>
  <c r="BA22" i="2"/>
  <c r="BA44" i="2"/>
  <c r="BA25" i="2"/>
  <c r="BA23" i="2"/>
  <c r="BA26" i="2"/>
  <c r="BA16" i="2"/>
  <c r="BA19" i="2"/>
  <c r="BA21" i="2"/>
  <c r="BA27" i="2"/>
  <c r="BA13" i="2"/>
  <c r="BA17" i="2"/>
  <c r="BA14" i="2"/>
  <c r="BA10" i="2"/>
  <c r="BA18" i="2"/>
  <c r="BA12" i="2"/>
  <c r="BA15" i="2"/>
  <c r="BA9" i="2"/>
  <c r="BA8" i="2"/>
  <c r="BA6" i="2"/>
  <c r="BA11" i="2"/>
  <c r="BA5" i="2"/>
  <c r="BA7" i="2"/>
  <c r="BA4" i="2"/>
  <c r="BA3" i="2"/>
  <c r="AY101" i="2"/>
  <c r="AY106" i="2"/>
  <c r="AY105" i="2"/>
  <c r="AY98" i="2"/>
  <c r="AY69" i="2"/>
  <c r="AY97" i="2"/>
  <c r="AY104" i="2"/>
  <c r="AY93" i="2"/>
  <c r="AY72" i="2"/>
  <c r="AY91" i="2"/>
  <c r="AY102" i="2"/>
  <c r="AY99" i="2"/>
  <c r="AY71" i="2"/>
  <c r="AY75" i="2"/>
  <c r="AY89" i="2"/>
  <c r="AY100" i="2"/>
  <c r="AY82" i="2"/>
  <c r="AY85" i="2"/>
  <c r="AY90" i="2"/>
  <c r="AY92" i="2"/>
  <c r="AY87" i="2"/>
  <c r="AY94" i="2"/>
  <c r="AY95" i="2"/>
  <c r="AY86" i="2"/>
  <c r="AY83" i="2"/>
  <c r="AY64" i="2"/>
  <c r="AY76" i="2"/>
  <c r="AY84" i="2"/>
  <c r="AY80" i="2"/>
  <c r="AY74" i="2"/>
  <c r="AY70" i="2"/>
  <c r="AY79" i="2"/>
  <c r="AY77" i="2"/>
  <c r="AY88" i="2"/>
  <c r="AY61" i="2"/>
  <c r="AY67" i="2"/>
  <c r="AY81" i="2"/>
  <c r="AY73" i="2"/>
  <c r="AY65" i="2"/>
  <c r="AY62" i="2"/>
  <c r="AY53" i="2"/>
  <c r="AY63" i="2"/>
  <c r="AY57" i="2"/>
  <c r="AY58" i="2"/>
  <c r="AY48" i="2"/>
  <c r="AY78" i="2"/>
  <c r="AY54" i="2"/>
  <c r="AY42" i="2"/>
  <c r="AY66" i="2"/>
  <c r="AY52" i="2"/>
  <c r="AY56" i="2"/>
  <c r="AY29" i="2"/>
  <c r="AY45" i="2"/>
  <c r="AY47" i="2"/>
  <c r="AY68" i="2"/>
  <c r="AY46" i="2"/>
  <c r="AY41" i="2"/>
  <c r="AY39" i="2"/>
  <c r="AY43" i="2"/>
  <c r="AY50" i="2"/>
  <c r="AY40" i="2"/>
  <c r="AY51" i="2"/>
  <c r="AY59" i="2"/>
  <c r="AY32" i="2"/>
  <c r="AY33" i="2"/>
  <c r="AY30" i="2"/>
  <c r="AY34" i="2"/>
  <c r="AY24" i="2"/>
  <c r="AY20" i="2"/>
  <c r="AY31" i="2"/>
  <c r="AY35" i="2"/>
  <c r="AY38" i="2"/>
  <c r="AY49" i="2"/>
  <c r="AY60" i="2"/>
  <c r="AY36" i="2"/>
  <c r="AY21" i="2"/>
  <c r="AY28" i="2"/>
  <c r="AY44" i="2"/>
  <c r="AY37" i="2"/>
  <c r="AY55" i="2"/>
  <c r="AY26" i="2"/>
  <c r="AY25" i="2"/>
  <c r="AY16" i="2"/>
  <c r="AY23" i="2"/>
  <c r="AY22" i="2"/>
  <c r="AY19" i="2"/>
  <c r="AY27" i="2"/>
  <c r="AY13" i="2"/>
  <c r="AY15" i="2"/>
  <c r="AY10" i="2"/>
  <c r="AY14" i="2"/>
  <c r="AY17" i="2"/>
  <c r="AY8" i="2"/>
  <c r="AY18" i="2"/>
  <c r="AY9" i="2"/>
  <c r="AY12" i="2"/>
  <c r="AY6" i="2"/>
  <c r="AY7" i="2"/>
  <c r="AY11" i="2"/>
  <c r="AY5" i="2"/>
  <c r="AY4" i="2"/>
  <c r="AW101" i="2"/>
  <c r="AW106" i="2"/>
  <c r="AW105" i="2"/>
  <c r="AW98" i="2"/>
  <c r="AW69" i="2"/>
  <c r="AW97" i="2"/>
  <c r="AW104" i="2"/>
  <c r="AW93" i="2"/>
  <c r="AW72" i="2"/>
  <c r="AW91" i="2"/>
  <c r="AW102" i="2"/>
  <c r="AW99" i="2"/>
  <c r="AW71" i="2"/>
  <c r="AW75" i="2"/>
  <c r="AW89" i="2"/>
  <c r="AW100" i="2"/>
  <c r="AW82" i="2"/>
  <c r="AW85" i="2"/>
  <c r="AW90" i="2"/>
  <c r="AW92" i="2"/>
  <c r="AW87" i="2"/>
  <c r="AW94" i="2"/>
  <c r="AW95" i="2"/>
  <c r="AW86" i="2"/>
  <c r="AW83" i="2"/>
  <c r="AW64" i="2"/>
  <c r="AW76" i="2"/>
  <c r="AW84" i="2"/>
  <c r="AW80" i="2"/>
  <c r="AW74" i="2"/>
  <c r="AW70" i="2"/>
  <c r="AW79" i="2"/>
  <c r="AW77" i="2"/>
  <c r="AW88" i="2"/>
  <c r="AW61" i="2"/>
  <c r="AW67" i="2"/>
  <c r="AW81" i="2"/>
  <c r="AW73" i="2"/>
  <c r="AW65" i="2"/>
  <c r="AW62" i="2"/>
  <c r="AW53" i="2"/>
  <c r="AW63" i="2"/>
  <c r="AW57" i="2"/>
  <c r="AW58" i="2"/>
  <c r="AW48" i="2"/>
  <c r="AW78" i="2"/>
  <c r="AW54" i="2"/>
  <c r="AW42" i="2"/>
  <c r="AW66" i="2"/>
  <c r="AW52" i="2"/>
  <c r="AW56" i="2"/>
  <c r="AW29" i="2"/>
  <c r="AW45" i="2"/>
  <c r="AW47" i="2"/>
  <c r="AW68" i="2"/>
  <c r="AW46" i="2"/>
  <c r="AW41" i="2"/>
  <c r="AW39" i="2"/>
  <c r="AW43" i="2"/>
  <c r="AW50" i="2"/>
  <c r="AW40" i="2"/>
  <c r="AW51" i="2"/>
  <c r="AW59" i="2"/>
  <c r="AW32" i="2"/>
  <c r="AW33" i="2"/>
  <c r="AW30" i="2"/>
  <c r="AW34" i="2"/>
  <c r="AW24" i="2"/>
  <c r="AW20" i="2"/>
  <c r="AW31" i="2"/>
  <c r="AW35" i="2"/>
  <c r="AW38" i="2"/>
  <c r="AW49" i="2"/>
  <c r="AW60" i="2"/>
  <c r="AW36" i="2"/>
  <c r="AW21" i="2"/>
  <c r="AW28" i="2"/>
  <c r="AW44" i="2"/>
  <c r="AW37" i="2"/>
  <c r="AW55" i="2"/>
  <c r="AW26" i="2"/>
  <c r="AW25" i="2"/>
  <c r="AW16" i="2"/>
  <c r="AW23" i="2"/>
  <c r="AW22" i="2"/>
  <c r="AW19" i="2"/>
  <c r="AW27" i="2"/>
  <c r="AW13" i="2"/>
  <c r="AW15" i="2"/>
  <c r="AW10" i="2"/>
  <c r="AW14" i="2"/>
  <c r="AW17" i="2"/>
  <c r="AW8" i="2"/>
  <c r="AW18" i="2"/>
  <c r="AW9" i="2"/>
  <c r="AW12" i="2"/>
  <c r="AW6" i="2"/>
  <c r="AW7" i="2"/>
  <c r="AW11" i="2"/>
  <c r="AW5" i="2"/>
  <c r="AW4" i="2"/>
  <c r="AU101" i="2"/>
  <c r="AU106" i="2"/>
  <c r="AU105" i="2"/>
  <c r="AU98" i="2"/>
  <c r="AU69" i="2"/>
  <c r="AU97" i="2"/>
  <c r="AU104" i="2"/>
  <c r="AU93" i="2"/>
  <c r="AU72" i="2"/>
  <c r="AU91" i="2"/>
  <c r="AU102" i="2"/>
  <c r="AU99" i="2"/>
  <c r="AU71" i="2"/>
  <c r="AU75" i="2"/>
  <c r="AU89" i="2"/>
  <c r="AU100" i="2"/>
  <c r="AU82" i="2"/>
  <c r="AU85" i="2"/>
  <c r="AU90" i="2"/>
  <c r="AU92" i="2"/>
  <c r="AU87" i="2"/>
  <c r="AU94" i="2"/>
  <c r="AU95" i="2"/>
  <c r="AU86" i="2"/>
  <c r="AU83" i="2"/>
  <c r="AU64" i="2"/>
  <c r="AU76" i="2"/>
  <c r="AU84" i="2"/>
  <c r="AU80" i="2"/>
  <c r="AU74" i="2"/>
  <c r="AU70" i="2"/>
  <c r="AU79" i="2"/>
  <c r="AU77" i="2"/>
  <c r="AU88" i="2"/>
  <c r="AU61" i="2"/>
  <c r="AU67" i="2"/>
  <c r="AU81" i="2"/>
  <c r="AU73" i="2"/>
  <c r="AU65" i="2"/>
  <c r="AU62" i="2"/>
  <c r="AU53" i="2"/>
  <c r="AU63" i="2"/>
  <c r="AU57" i="2"/>
  <c r="AU58" i="2"/>
  <c r="AU48" i="2"/>
  <c r="AU78" i="2"/>
  <c r="AU54" i="2"/>
  <c r="AU42" i="2"/>
  <c r="AU66" i="2"/>
  <c r="AU52" i="2"/>
  <c r="AU56" i="2"/>
  <c r="AU29" i="2"/>
  <c r="AU45" i="2"/>
  <c r="AU47" i="2"/>
  <c r="AU68" i="2"/>
  <c r="AU46" i="2"/>
  <c r="AU41" i="2"/>
  <c r="AU39" i="2"/>
  <c r="AU43" i="2"/>
  <c r="AU50" i="2"/>
  <c r="AU40" i="2"/>
  <c r="AU51" i="2"/>
  <c r="AU59" i="2"/>
  <c r="AU32" i="2"/>
  <c r="AU33" i="2"/>
  <c r="AU30" i="2"/>
  <c r="AU34" i="2"/>
  <c r="AU24" i="2"/>
  <c r="AU20" i="2"/>
  <c r="AU31" i="2"/>
  <c r="AU35" i="2"/>
  <c r="AU38" i="2"/>
  <c r="AU49" i="2"/>
  <c r="AU60" i="2"/>
  <c r="AU36" i="2"/>
  <c r="AU21" i="2"/>
  <c r="AU28" i="2"/>
  <c r="AU44" i="2"/>
  <c r="AU37" i="2"/>
  <c r="AU55" i="2"/>
  <c r="AU26" i="2"/>
  <c r="AU25" i="2"/>
  <c r="AU16" i="2"/>
  <c r="AU23" i="2"/>
  <c r="AU22" i="2"/>
  <c r="AU19" i="2"/>
  <c r="AU27" i="2"/>
  <c r="AU13" i="2"/>
  <c r="AU15" i="2"/>
  <c r="AU10" i="2"/>
  <c r="AU14" i="2"/>
  <c r="AU17" i="2"/>
  <c r="AU8" i="2"/>
  <c r="AU18" i="2"/>
  <c r="AU9" i="2"/>
  <c r="AU12" i="2"/>
  <c r="AU6" i="2"/>
  <c r="AU7" i="2"/>
  <c r="AU11" i="2"/>
  <c r="AU5" i="2"/>
  <c r="AU4" i="2"/>
  <c r="AY3" i="2"/>
  <c r="AW3" i="2"/>
  <c r="AU3" i="2"/>
  <c r="AS69" i="2"/>
  <c r="AQ69" i="2"/>
  <c r="AO69" i="2"/>
  <c r="AM69" i="2"/>
  <c r="AI69" i="2"/>
  <c r="AG69" i="2"/>
  <c r="AC69" i="2"/>
  <c r="AA69" i="2"/>
  <c r="Y69" i="2"/>
  <c r="W69" i="2"/>
  <c r="U69" i="2"/>
  <c r="S69" i="2"/>
  <c r="Q69" i="2"/>
  <c r="O69" i="2"/>
  <c r="M69" i="2"/>
  <c r="K69" i="2"/>
  <c r="I69" i="2"/>
  <c r="G69" i="2"/>
  <c r="E69" i="2"/>
  <c r="AS71" i="2"/>
  <c r="AQ71" i="2"/>
  <c r="AO71" i="2"/>
  <c r="AM71" i="2"/>
  <c r="AI71" i="2"/>
  <c r="AG71" i="2"/>
  <c r="AC71" i="2"/>
  <c r="AA71" i="2"/>
  <c r="Y71" i="2"/>
  <c r="W71" i="2"/>
  <c r="U71" i="2"/>
  <c r="S71" i="2"/>
  <c r="Q71" i="2"/>
  <c r="O71" i="2"/>
  <c r="M71" i="2"/>
  <c r="K71" i="2"/>
  <c r="I71" i="2"/>
  <c r="G71" i="2"/>
  <c r="E71" i="2"/>
  <c r="AS101" i="2"/>
  <c r="AQ101" i="2"/>
  <c r="AO101" i="2"/>
  <c r="AS106" i="2"/>
  <c r="AQ106" i="2"/>
  <c r="AO106" i="2"/>
  <c r="AS99" i="2"/>
  <c r="AQ99" i="2"/>
  <c r="AO99" i="2"/>
  <c r="AS105" i="2"/>
  <c r="AQ105" i="2"/>
  <c r="AO105" i="2"/>
  <c r="AS97" i="2"/>
  <c r="AQ97" i="2"/>
  <c r="AO97" i="2"/>
  <c r="AS98" i="2"/>
  <c r="AQ98" i="2"/>
  <c r="AO98" i="2"/>
  <c r="AS104" i="2"/>
  <c r="AQ104" i="2"/>
  <c r="AO104" i="2"/>
  <c r="AS93" i="2"/>
  <c r="AQ93" i="2"/>
  <c r="AO93" i="2"/>
  <c r="AS91" i="2"/>
  <c r="AQ91" i="2"/>
  <c r="AO91" i="2"/>
  <c r="AS75" i="2"/>
  <c r="AQ75" i="2"/>
  <c r="AO75" i="2"/>
  <c r="AS90" i="2"/>
  <c r="AQ90" i="2"/>
  <c r="AO90" i="2"/>
  <c r="AS102" i="2"/>
  <c r="AQ102" i="2"/>
  <c r="AO102" i="2"/>
  <c r="AS89" i="2"/>
  <c r="AQ89" i="2"/>
  <c r="AO89" i="2"/>
  <c r="AS92" i="2"/>
  <c r="AQ92" i="2"/>
  <c r="AO92" i="2"/>
  <c r="AS100" i="2"/>
  <c r="AQ100" i="2"/>
  <c r="AO100" i="2"/>
  <c r="AS94" i="2"/>
  <c r="AQ94" i="2"/>
  <c r="AO94" i="2"/>
  <c r="AS87" i="2"/>
  <c r="AQ87" i="2"/>
  <c r="AO87" i="2"/>
  <c r="AS82" i="2"/>
  <c r="AQ82" i="2"/>
  <c r="AO82" i="2"/>
  <c r="AS85" i="2"/>
  <c r="AQ85" i="2"/>
  <c r="AO85" i="2"/>
  <c r="AS74" i="2"/>
  <c r="AQ74" i="2"/>
  <c r="AO74" i="2"/>
  <c r="AS95" i="2"/>
  <c r="AQ95" i="2"/>
  <c r="AO95" i="2"/>
  <c r="AS86" i="2"/>
  <c r="AQ86" i="2"/>
  <c r="AO86" i="2"/>
  <c r="AS64" i="2"/>
  <c r="AQ64" i="2"/>
  <c r="AO64" i="2"/>
  <c r="AS83" i="2"/>
  <c r="AQ83" i="2"/>
  <c r="AO83" i="2"/>
  <c r="AS76" i="2"/>
  <c r="AQ76" i="2"/>
  <c r="AO76" i="2"/>
  <c r="AS79" i="2"/>
  <c r="AQ79" i="2"/>
  <c r="AO79" i="2"/>
  <c r="AS80" i="2"/>
  <c r="AQ80" i="2"/>
  <c r="AO80" i="2"/>
  <c r="AS84" i="2"/>
  <c r="AQ84" i="2"/>
  <c r="AO84" i="2"/>
  <c r="AS67" i="2"/>
  <c r="AQ67" i="2"/>
  <c r="AO67" i="2"/>
  <c r="AS73" i="2"/>
  <c r="AQ73" i="2"/>
  <c r="AO73" i="2"/>
  <c r="AS70" i="2"/>
  <c r="AQ70" i="2"/>
  <c r="AO70" i="2"/>
  <c r="AS88" i="2"/>
  <c r="AQ88" i="2"/>
  <c r="AO88" i="2"/>
  <c r="AS77" i="2"/>
  <c r="AQ77" i="2"/>
  <c r="AO77" i="2"/>
  <c r="AS61" i="2"/>
  <c r="AQ61" i="2"/>
  <c r="AO61" i="2"/>
  <c r="AS65" i="2"/>
  <c r="AQ65" i="2"/>
  <c r="AO65" i="2"/>
  <c r="AS72" i="2"/>
  <c r="AQ72" i="2"/>
  <c r="AO72" i="2"/>
  <c r="AS57" i="2"/>
  <c r="AQ57" i="2"/>
  <c r="AO57" i="2"/>
  <c r="AS81" i="2"/>
  <c r="AQ81" i="2"/>
  <c r="AO81" i="2"/>
  <c r="AS63" i="2"/>
  <c r="AQ63" i="2"/>
  <c r="AO63" i="2"/>
  <c r="AS62" i="2"/>
  <c r="AQ62" i="2"/>
  <c r="AO62" i="2"/>
  <c r="AS48" i="2"/>
  <c r="AQ48" i="2"/>
  <c r="AO48" i="2"/>
  <c r="AS53" i="2"/>
  <c r="AQ53" i="2"/>
  <c r="AO53" i="2"/>
  <c r="AS58" i="2"/>
  <c r="AQ58" i="2"/>
  <c r="AO58" i="2"/>
  <c r="AS42" i="2"/>
  <c r="AQ42" i="2"/>
  <c r="AO42" i="2"/>
  <c r="AS66" i="2"/>
  <c r="AQ66" i="2"/>
  <c r="AO66" i="2"/>
  <c r="AS54" i="2"/>
  <c r="AQ54" i="2"/>
  <c r="AO54" i="2"/>
  <c r="AS52" i="2"/>
  <c r="AQ52" i="2"/>
  <c r="AO52" i="2"/>
  <c r="AS78" i="2"/>
  <c r="AQ78" i="2"/>
  <c r="AO78" i="2"/>
  <c r="AS47" i="2"/>
  <c r="AQ47" i="2"/>
  <c r="AO47" i="2"/>
  <c r="AS68" i="2"/>
  <c r="AQ68" i="2"/>
  <c r="AO68" i="2"/>
  <c r="AS40" i="2"/>
  <c r="AQ40" i="2"/>
  <c r="AO40" i="2"/>
  <c r="AS45" i="2"/>
  <c r="AQ45" i="2"/>
  <c r="AO45" i="2"/>
  <c r="AS56" i="2"/>
  <c r="AQ56" i="2"/>
  <c r="AO56" i="2"/>
  <c r="AS29" i="2"/>
  <c r="AQ29" i="2"/>
  <c r="AO29" i="2"/>
  <c r="AS41" i="2"/>
  <c r="AQ41" i="2"/>
  <c r="AO41" i="2"/>
  <c r="AS43" i="2"/>
  <c r="AQ43" i="2"/>
  <c r="AO43" i="2"/>
  <c r="AS46" i="2"/>
  <c r="AQ46" i="2"/>
  <c r="AO46" i="2"/>
  <c r="AS39" i="2"/>
  <c r="AQ39" i="2"/>
  <c r="AO39" i="2"/>
  <c r="AS59" i="2"/>
  <c r="AQ59" i="2"/>
  <c r="AO59" i="2"/>
  <c r="AS50" i="2"/>
  <c r="AQ50" i="2"/>
  <c r="AO50" i="2"/>
  <c r="AS32" i="2"/>
  <c r="AQ32" i="2"/>
  <c r="AO32" i="2"/>
  <c r="AS30" i="2"/>
  <c r="AQ30" i="2"/>
  <c r="AO30" i="2"/>
  <c r="AS21" i="2"/>
  <c r="AQ21" i="2"/>
  <c r="AO21" i="2"/>
  <c r="AS33" i="2"/>
  <c r="AQ33" i="2"/>
  <c r="AO33" i="2"/>
  <c r="AS51" i="2"/>
  <c r="AQ51" i="2"/>
  <c r="AO51" i="2"/>
  <c r="AS34" i="2"/>
  <c r="AQ34" i="2"/>
  <c r="AO34" i="2"/>
  <c r="AS24" i="2"/>
  <c r="AQ24" i="2"/>
  <c r="AO24" i="2"/>
  <c r="AS38" i="2"/>
  <c r="AQ38" i="2"/>
  <c r="AO38" i="2"/>
  <c r="AS31" i="2"/>
  <c r="AQ31" i="2"/>
  <c r="AO31" i="2"/>
  <c r="AS20" i="2"/>
  <c r="AQ20" i="2"/>
  <c r="AO20" i="2"/>
  <c r="AS44" i="2"/>
  <c r="AQ44" i="2"/>
  <c r="AO44" i="2"/>
  <c r="AS49" i="2"/>
  <c r="AQ49" i="2"/>
  <c r="AO49" i="2"/>
  <c r="AS35" i="2"/>
  <c r="AQ35" i="2"/>
  <c r="AO35" i="2"/>
  <c r="AS36" i="2"/>
  <c r="AQ36" i="2"/>
  <c r="AO36" i="2"/>
  <c r="AS26" i="2"/>
  <c r="AQ26" i="2"/>
  <c r="AO26" i="2"/>
  <c r="AS25" i="2"/>
  <c r="AQ25" i="2"/>
  <c r="AO25" i="2"/>
  <c r="AS60" i="2"/>
  <c r="AQ60" i="2"/>
  <c r="AO60" i="2"/>
  <c r="AS37" i="2"/>
  <c r="AQ37" i="2"/>
  <c r="AO37" i="2"/>
  <c r="AS16" i="2"/>
  <c r="AQ16" i="2"/>
  <c r="AO16" i="2"/>
  <c r="AS23" i="2"/>
  <c r="AQ23" i="2"/>
  <c r="AO23" i="2"/>
  <c r="AS28" i="2"/>
  <c r="AQ28" i="2"/>
  <c r="AO28" i="2"/>
  <c r="AS55" i="2"/>
  <c r="AQ55" i="2"/>
  <c r="AO55" i="2"/>
  <c r="AS19" i="2"/>
  <c r="AQ19" i="2"/>
  <c r="AO19" i="2"/>
  <c r="AS13" i="2"/>
  <c r="AQ13" i="2"/>
  <c r="AO13" i="2"/>
  <c r="AS10" i="2"/>
  <c r="AQ10" i="2"/>
  <c r="AO10" i="2"/>
  <c r="AS14" i="2"/>
  <c r="AQ14" i="2"/>
  <c r="AO14" i="2"/>
  <c r="AS22" i="2"/>
  <c r="AQ22" i="2"/>
  <c r="AO22" i="2"/>
  <c r="AS15" i="2"/>
  <c r="AQ15" i="2"/>
  <c r="AO15" i="2"/>
  <c r="AS17" i="2"/>
  <c r="AQ17" i="2"/>
  <c r="AO17" i="2"/>
  <c r="AS8" i="2"/>
  <c r="AQ8" i="2"/>
  <c r="AO8" i="2"/>
  <c r="AS18" i="2"/>
  <c r="AQ18" i="2"/>
  <c r="AO18" i="2"/>
  <c r="AS9" i="2"/>
  <c r="AQ9" i="2"/>
  <c r="AO9" i="2"/>
  <c r="AS27" i="2"/>
  <c r="AQ27" i="2"/>
  <c r="AO27" i="2"/>
  <c r="AS12" i="2"/>
  <c r="AQ12" i="2"/>
  <c r="AO12" i="2"/>
  <c r="AS6" i="2"/>
  <c r="AQ6" i="2"/>
  <c r="AO6" i="2"/>
  <c r="AS11" i="2"/>
  <c r="AQ11" i="2"/>
  <c r="AO11" i="2"/>
  <c r="AS7" i="2"/>
  <c r="AQ7" i="2"/>
  <c r="AO7" i="2"/>
  <c r="AS5" i="2"/>
  <c r="AQ5" i="2"/>
  <c r="AO5" i="2"/>
  <c r="AS4" i="2"/>
  <c r="AQ4" i="2"/>
  <c r="AO4" i="2"/>
  <c r="AS3" i="2"/>
  <c r="AQ3" i="2"/>
  <c r="AO3" i="2"/>
  <c r="AM97" i="2"/>
  <c r="AM75" i="2"/>
  <c r="AM101" i="2"/>
  <c r="AM106" i="2"/>
  <c r="AM99" i="2"/>
  <c r="AM105" i="2"/>
  <c r="AM98" i="2"/>
  <c r="AM104" i="2"/>
  <c r="AM93" i="2"/>
  <c r="AM91" i="2"/>
  <c r="AM102" i="2"/>
  <c r="AM82" i="2"/>
  <c r="AM94" i="2"/>
  <c r="AM90" i="2"/>
  <c r="AM92" i="2"/>
  <c r="AM89" i="2"/>
  <c r="AM100" i="2"/>
  <c r="AM74" i="2"/>
  <c r="AM76" i="2"/>
  <c r="AM87" i="2"/>
  <c r="AM85" i="2"/>
  <c r="AM67" i="2"/>
  <c r="AM95" i="2"/>
  <c r="AM86" i="2"/>
  <c r="AM64" i="2"/>
  <c r="AM83" i="2"/>
  <c r="AM77" i="2"/>
  <c r="AM80" i="2"/>
  <c r="AM65" i="2"/>
  <c r="AM79" i="2"/>
  <c r="AM84" i="2"/>
  <c r="AM73" i="2"/>
  <c r="AM70" i="2"/>
  <c r="AM57" i="2"/>
  <c r="AM81" i="2"/>
  <c r="AM88" i="2"/>
  <c r="AM63" i="2"/>
  <c r="AM61" i="2"/>
  <c r="AM72" i="2"/>
  <c r="AM48" i="2"/>
  <c r="AM66" i="2"/>
  <c r="AM62" i="2"/>
  <c r="AM58" i="2"/>
  <c r="AM53" i="2"/>
  <c r="AM68" i="2"/>
  <c r="AM54" i="2"/>
  <c r="AM42" i="2"/>
  <c r="AM52" i="2"/>
  <c r="AM47" i="2"/>
  <c r="AM45" i="2"/>
  <c r="AM78" i="2"/>
  <c r="AM56" i="2"/>
  <c r="AM40" i="2"/>
  <c r="AM41" i="2"/>
  <c r="AM43" i="2"/>
  <c r="AM32" i="2"/>
  <c r="AM29" i="2"/>
  <c r="AM51" i="2"/>
  <c r="AM46" i="2"/>
  <c r="AM30" i="2"/>
  <c r="AM39" i="2"/>
  <c r="AM24" i="2"/>
  <c r="AM38" i="2"/>
  <c r="AM59" i="2"/>
  <c r="AM49" i="2"/>
  <c r="AM50" i="2"/>
  <c r="AM31" i="2"/>
  <c r="AM21" i="2"/>
  <c r="AM33" i="2"/>
  <c r="AM34" i="2"/>
  <c r="AM16" i="2"/>
  <c r="AM20" i="2"/>
  <c r="AM26" i="2"/>
  <c r="AM23" i="2"/>
  <c r="AM35" i="2"/>
  <c r="AM25" i="2"/>
  <c r="AM37" i="2"/>
  <c r="AM44" i="2"/>
  <c r="AM36" i="2"/>
  <c r="AM60" i="2"/>
  <c r="AM28" i="2"/>
  <c r="AM19" i="2"/>
  <c r="AM22" i="2"/>
  <c r="AM10" i="2"/>
  <c r="AM13" i="2"/>
  <c r="AM55" i="2"/>
  <c r="AM17" i="2"/>
  <c r="AM27" i="2"/>
  <c r="AM9" i="2"/>
  <c r="AM14" i="2"/>
  <c r="AM15" i="2"/>
  <c r="AM8" i="2"/>
  <c r="AM18" i="2"/>
  <c r="AM12" i="2"/>
  <c r="AM6" i="2"/>
  <c r="AM5" i="2"/>
  <c r="AM11" i="2"/>
  <c r="AM7" i="2"/>
  <c r="AM4" i="2"/>
  <c r="AK97" i="2"/>
  <c r="AK75" i="2"/>
  <c r="AK82" i="2"/>
  <c r="AK94" i="2"/>
  <c r="AK92" i="2"/>
  <c r="AK76" i="2"/>
  <c r="AK85" i="2"/>
  <c r="AK67" i="2"/>
  <c r="AK64" i="2"/>
  <c r="AK77" i="2"/>
  <c r="AK65" i="2"/>
  <c r="AK73" i="2"/>
  <c r="AK57" i="2"/>
  <c r="AK81" i="2"/>
  <c r="AK63" i="2"/>
  <c r="AK61" i="2"/>
  <c r="AK72" i="2"/>
  <c r="AK48" i="2"/>
  <c r="AK66" i="2"/>
  <c r="AK62" i="2"/>
  <c r="AK58" i="2"/>
  <c r="AK53" i="2"/>
  <c r="AK68" i="2"/>
  <c r="AK54" i="2"/>
  <c r="AK42" i="2"/>
  <c r="AK52" i="2"/>
  <c r="AK47" i="2"/>
  <c r="AK45" i="2"/>
  <c r="AK78" i="2"/>
  <c r="AK56" i="2"/>
  <c r="AK40" i="2"/>
  <c r="AK41" i="2"/>
  <c r="AK43" i="2"/>
  <c r="AK32" i="2"/>
  <c r="AK29" i="2"/>
  <c r="AK51" i="2"/>
  <c r="AK46" i="2"/>
  <c r="AK30" i="2"/>
  <c r="AK39" i="2"/>
  <c r="AK24" i="2"/>
  <c r="AK38" i="2"/>
  <c r="AK59" i="2"/>
  <c r="AK49" i="2"/>
  <c r="AK50" i="2"/>
  <c r="AK31" i="2"/>
  <c r="AK21" i="2"/>
  <c r="AK33" i="2"/>
  <c r="AK34" i="2"/>
  <c r="AK16" i="2"/>
  <c r="AK20" i="2"/>
  <c r="AK26" i="2"/>
  <c r="AK23" i="2"/>
  <c r="AK35" i="2"/>
  <c r="AK25" i="2"/>
  <c r="AK37" i="2"/>
  <c r="AK44" i="2"/>
  <c r="AK36" i="2"/>
  <c r="AK60" i="2"/>
  <c r="AK28" i="2"/>
  <c r="AK19" i="2"/>
  <c r="AK22" i="2"/>
  <c r="AK10" i="2"/>
  <c r="AK13" i="2"/>
  <c r="AK55" i="2"/>
  <c r="AK17" i="2"/>
  <c r="AK27" i="2"/>
  <c r="AK9" i="2"/>
  <c r="AK14" i="2"/>
  <c r="AK15" i="2"/>
  <c r="AK8" i="2"/>
  <c r="AK18" i="2"/>
  <c r="AK12" i="2"/>
  <c r="AK6" i="2"/>
  <c r="AK5" i="2"/>
  <c r="AK11" i="2"/>
  <c r="AK7" i="2"/>
  <c r="AK4" i="2"/>
  <c r="AI97" i="2"/>
  <c r="AI75" i="2"/>
  <c r="AI101" i="2"/>
  <c r="AI106" i="2"/>
  <c r="AI99" i="2"/>
  <c r="AI105" i="2"/>
  <c r="AI98" i="2"/>
  <c r="AI104" i="2"/>
  <c r="AI93" i="2"/>
  <c r="AI91" i="2"/>
  <c r="AI102" i="2"/>
  <c r="AI82" i="2"/>
  <c r="AI94" i="2"/>
  <c r="AI90" i="2"/>
  <c r="AI92" i="2"/>
  <c r="AI89" i="2"/>
  <c r="AI100" i="2"/>
  <c r="AI74" i="2"/>
  <c r="AI76" i="2"/>
  <c r="AI87" i="2"/>
  <c r="AI85" i="2"/>
  <c r="AI67" i="2"/>
  <c r="AI95" i="2"/>
  <c r="AI86" i="2"/>
  <c r="AI64" i="2"/>
  <c r="AI83" i="2"/>
  <c r="AI77" i="2"/>
  <c r="AI80" i="2"/>
  <c r="AI65" i="2"/>
  <c r="AI79" i="2"/>
  <c r="AI84" i="2"/>
  <c r="AI73" i="2"/>
  <c r="AI70" i="2"/>
  <c r="AI57" i="2"/>
  <c r="AI81" i="2"/>
  <c r="AI88" i="2"/>
  <c r="AI63" i="2"/>
  <c r="AI61" i="2"/>
  <c r="AI72" i="2"/>
  <c r="AI48" i="2"/>
  <c r="AI66" i="2"/>
  <c r="AI62" i="2"/>
  <c r="AI58" i="2"/>
  <c r="AI53" i="2"/>
  <c r="AI68" i="2"/>
  <c r="AI54" i="2"/>
  <c r="AI42" i="2"/>
  <c r="AI52" i="2"/>
  <c r="AI47" i="2"/>
  <c r="AI45" i="2"/>
  <c r="AI78" i="2"/>
  <c r="AI56" i="2"/>
  <c r="AI40" i="2"/>
  <c r="AI41" i="2"/>
  <c r="AI43" i="2"/>
  <c r="AI32" i="2"/>
  <c r="AI29" i="2"/>
  <c r="AI51" i="2"/>
  <c r="AI46" i="2"/>
  <c r="AI30" i="2"/>
  <c r="AI39" i="2"/>
  <c r="AI24" i="2"/>
  <c r="AI38" i="2"/>
  <c r="AI59" i="2"/>
  <c r="AI49" i="2"/>
  <c r="AI50" i="2"/>
  <c r="AI31" i="2"/>
  <c r="AI21" i="2"/>
  <c r="AI33" i="2"/>
  <c r="AI34" i="2"/>
  <c r="AI16" i="2"/>
  <c r="AI20" i="2"/>
  <c r="AI26" i="2"/>
  <c r="AI23" i="2"/>
  <c r="AI35" i="2"/>
  <c r="AI25" i="2"/>
  <c r="AI37" i="2"/>
  <c r="AI44" i="2"/>
  <c r="AI36" i="2"/>
  <c r="AI60" i="2"/>
  <c r="AI28" i="2"/>
  <c r="AI19" i="2"/>
  <c r="AI22" i="2"/>
  <c r="AI10" i="2"/>
  <c r="AI13" i="2"/>
  <c r="AI55" i="2"/>
  <c r="AI17" i="2"/>
  <c r="AI27" i="2"/>
  <c r="AI9" i="2"/>
  <c r="AI14" i="2"/>
  <c r="AI15" i="2"/>
  <c r="AI8" i="2"/>
  <c r="AI18" i="2"/>
  <c r="AI12" i="2"/>
  <c r="AI6" i="2"/>
  <c r="AI5" i="2"/>
  <c r="AI11" i="2"/>
  <c r="AI7" i="2"/>
  <c r="AI4" i="2"/>
  <c r="AM3" i="2"/>
  <c r="AK3" i="2"/>
  <c r="AI3" i="2"/>
  <c r="AG97" i="2"/>
  <c r="AC97" i="2"/>
  <c r="AG75" i="2"/>
  <c r="AC75" i="2"/>
  <c r="AG101" i="2"/>
  <c r="AE101" i="2"/>
  <c r="AC101" i="2"/>
  <c r="AG106" i="2"/>
  <c r="AC106" i="2"/>
  <c r="AG99" i="2"/>
  <c r="AC99" i="2"/>
  <c r="AG105" i="2"/>
  <c r="AC105" i="2"/>
  <c r="AG98" i="2"/>
  <c r="AC98" i="2"/>
  <c r="AG104" i="2"/>
  <c r="AE104" i="2"/>
  <c r="AC104" i="2"/>
  <c r="AG93" i="2"/>
  <c r="AC93" i="2"/>
  <c r="AG91" i="2"/>
  <c r="AC91" i="2"/>
  <c r="AG102" i="2"/>
  <c r="AC102" i="2"/>
  <c r="AG82" i="2"/>
  <c r="AC82" i="2"/>
  <c r="AG94" i="2"/>
  <c r="AC94" i="2"/>
  <c r="AG90" i="2"/>
  <c r="AC90" i="2"/>
  <c r="AG92" i="2"/>
  <c r="AE92" i="2"/>
  <c r="AC92" i="2"/>
  <c r="AG89" i="2"/>
  <c r="AE89" i="2"/>
  <c r="AC89" i="2"/>
  <c r="AG100" i="2"/>
  <c r="AE100" i="2"/>
  <c r="AC100" i="2"/>
  <c r="AG74" i="2"/>
  <c r="AE74" i="2"/>
  <c r="AC74" i="2"/>
  <c r="AG76" i="2"/>
  <c r="AE76" i="2"/>
  <c r="AC76" i="2"/>
  <c r="AG87" i="2"/>
  <c r="AE87" i="2"/>
  <c r="AC87" i="2"/>
  <c r="AG85" i="2"/>
  <c r="AE85" i="2"/>
  <c r="AC85" i="2"/>
  <c r="AG67" i="2"/>
  <c r="AE67" i="2"/>
  <c r="AC67" i="2"/>
  <c r="AG95" i="2"/>
  <c r="AC95" i="2"/>
  <c r="AG86" i="2"/>
  <c r="AC86" i="2"/>
  <c r="AG64" i="2"/>
  <c r="AE64" i="2"/>
  <c r="AC64" i="2"/>
  <c r="AG83" i="2"/>
  <c r="AC83" i="2"/>
  <c r="AG77" i="2"/>
  <c r="AE77" i="2"/>
  <c r="AC77" i="2"/>
  <c r="AG80" i="2"/>
  <c r="AE80" i="2"/>
  <c r="AC80" i="2"/>
  <c r="AG65" i="2"/>
  <c r="AE65" i="2"/>
  <c r="AC65" i="2"/>
  <c r="AG79" i="2"/>
  <c r="AC79" i="2"/>
  <c r="AG84" i="2"/>
  <c r="AE84" i="2"/>
  <c r="AC84" i="2"/>
  <c r="AG73" i="2"/>
  <c r="AE73" i="2"/>
  <c r="AC73" i="2"/>
  <c r="AG70" i="2"/>
  <c r="AE70" i="2"/>
  <c r="AC70" i="2"/>
  <c r="AG57" i="2"/>
  <c r="AE57" i="2"/>
  <c r="AC57" i="2"/>
  <c r="AG81" i="2"/>
  <c r="AC81" i="2"/>
  <c r="AG88" i="2"/>
  <c r="AE88" i="2"/>
  <c r="AC88" i="2"/>
  <c r="AG63" i="2"/>
  <c r="AE63" i="2"/>
  <c r="AC63" i="2"/>
  <c r="AG61" i="2"/>
  <c r="AE61" i="2"/>
  <c r="AC61" i="2"/>
  <c r="AG72" i="2"/>
  <c r="AE72" i="2"/>
  <c r="AC72" i="2"/>
  <c r="AG48" i="2"/>
  <c r="AE48" i="2"/>
  <c r="AC48" i="2"/>
  <c r="AG66" i="2"/>
  <c r="AE66" i="2"/>
  <c r="AC66" i="2"/>
  <c r="AG62" i="2"/>
  <c r="AE62" i="2"/>
  <c r="AC62" i="2"/>
  <c r="AG58" i="2"/>
  <c r="AE58" i="2"/>
  <c r="AC58" i="2"/>
  <c r="AG53" i="2"/>
  <c r="AE53" i="2"/>
  <c r="AC53" i="2"/>
  <c r="AG68" i="2"/>
  <c r="AE68" i="2"/>
  <c r="AC68" i="2"/>
  <c r="AG54" i="2"/>
  <c r="AE54" i="2"/>
  <c r="AC54" i="2"/>
  <c r="AG42" i="2"/>
  <c r="AE42" i="2"/>
  <c r="AC42" i="2"/>
  <c r="AG52" i="2"/>
  <c r="AE52" i="2"/>
  <c r="AC52" i="2"/>
  <c r="AG47" i="2"/>
  <c r="AE47" i="2"/>
  <c r="AC47" i="2"/>
  <c r="AG45" i="2"/>
  <c r="AE45" i="2"/>
  <c r="AC45" i="2"/>
  <c r="AG78" i="2"/>
  <c r="AE78" i="2"/>
  <c r="AC78" i="2"/>
  <c r="AG56" i="2"/>
  <c r="AE56" i="2"/>
  <c r="AC56" i="2"/>
  <c r="AG40" i="2"/>
  <c r="AE40" i="2"/>
  <c r="AC40" i="2"/>
  <c r="AG41" i="2"/>
  <c r="AE41" i="2"/>
  <c r="AC41" i="2"/>
  <c r="AG43" i="2"/>
  <c r="AE43" i="2"/>
  <c r="AC43" i="2"/>
  <c r="AG32" i="2"/>
  <c r="AE32" i="2"/>
  <c r="AC32" i="2"/>
  <c r="AG29" i="2"/>
  <c r="AE29" i="2"/>
  <c r="AC29" i="2"/>
  <c r="AG51" i="2"/>
  <c r="AE51" i="2"/>
  <c r="AC51" i="2"/>
  <c r="AG46" i="2"/>
  <c r="AE46" i="2"/>
  <c r="AC46" i="2"/>
  <c r="AG30" i="2"/>
  <c r="AE30" i="2"/>
  <c r="AC30" i="2"/>
  <c r="AG39" i="2"/>
  <c r="AE39" i="2"/>
  <c r="AC39" i="2"/>
  <c r="AG24" i="2"/>
  <c r="AE24" i="2"/>
  <c r="AC24" i="2"/>
  <c r="AG38" i="2"/>
  <c r="AE38" i="2"/>
  <c r="AC38" i="2"/>
  <c r="AG59" i="2"/>
  <c r="AE59" i="2"/>
  <c r="AC59" i="2"/>
  <c r="AG49" i="2"/>
  <c r="AE49" i="2"/>
  <c r="AC49" i="2"/>
  <c r="AG50" i="2"/>
  <c r="AE50" i="2"/>
  <c r="AC50" i="2"/>
  <c r="AG31" i="2"/>
  <c r="AE31" i="2"/>
  <c r="AC31" i="2"/>
  <c r="AG21" i="2"/>
  <c r="AE21" i="2"/>
  <c r="AC21" i="2"/>
  <c r="AG33" i="2"/>
  <c r="AE33" i="2"/>
  <c r="AC33" i="2"/>
  <c r="AG34" i="2"/>
  <c r="AE34" i="2"/>
  <c r="AC34" i="2"/>
  <c r="AG16" i="2"/>
  <c r="AE16" i="2"/>
  <c r="AC16" i="2"/>
  <c r="AG20" i="2"/>
  <c r="AE20" i="2"/>
  <c r="AC20" i="2"/>
  <c r="AG26" i="2"/>
  <c r="AE26" i="2"/>
  <c r="AC26" i="2"/>
  <c r="AG23" i="2"/>
  <c r="AE23" i="2"/>
  <c r="AC23" i="2"/>
  <c r="AG35" i="2"/>
  <c r="AE35" i="2"/>
  <c r="AC35" i="2"/>
  <c r="AG25" i="2"/>
  <c r="AE25" i="2"/>
  <c r="AC25" i="2"/>
  <c r="AG37" i="2"/>
  <c r="AE37" i="2"/>
  <c r="AC37" i="2"/>
  <c r="AG44" i="2"/>
  <c r="AE44" i="2"/>
  <c r="AC44" i="2"/>
  <c r="AG36" i="2"/>
  <c r="AE36" i="2"/>
  <c r="AC36" i="2"/>
  <c r="AG60" i="2"/>
  <c r="AE60" i="2"/>
  <c r="AC60" i="2"/>
  <c r="AG28" i="2"/>
  <c r="AE28" i="2"/>
  <c r="AC28" i="2"/>
  <c r="AG19" i="2"/>
  <c r="AE19" i="2"/>
  <c r="AC19" i="2"/>
  <c r="AG22" i="2"/>
  <c r="AE22" i="2"/>
  <c r="AC22" i="2"/>
  <c r="AG10" i="2"/>
  <c r="AE10" i="2"/>
  <c r="AC10" i="2"/>
  <c r="AG13" i="2"/>
  <c r="AE13" i="2"/>
  <c r="AC13" i="2"/>
  <c r="AG55" i="2"/>
  <c r="AE55" i="2"/>
  <c r="AC55" i="2"/>
  <c r="AG17" i="2"/>
  <c r="AE17" i="2"/>
  <c r="AC17" i="2"/>
  <c r="AG27" i="2"/>
  <c r="AE27" i="2"/>
  <c r="AC27" i="2"/>
  <c r="AG9" i="2"/>
  <c r="AE9" i="2"/>
  <c r="AC9" i="2"/>
  <c r="AG14" i="2"/>
  <c r="AE14" i="2"/>
  <c r="AC14" i="2"/>
  <c r="AG15" i="2"/>
  <c r="AE15" i="2"/>
  <c r="AC15" i="2"/>
  <c r="AG8" i="2"/>
  <c r="AE8" i="2"/>
  <c r="AC8" i="2"/>
  <c r="AG18" i="2"/>
  <c r="AE18" i="2"/>
  <c r="AC18" i="2"/>
  <c r="AG12" i="2"/>
  <c r="AE12" i="2"/>
  <c r="AC12" i="2"/>
  <c r="AG6" i="2"/>
  <c r="AE6" i="2"/>
  <c r="AC6" i="2"/>
  <c r="AG5" i="2"/>
  <c r="AE5" i="2"/>
  <c r="AC5" i="2"/>
  <c r="AG11" i="2"/>
  <c r="AE11" i="2"/>
  <c r="AC11" i="2"/>
  <c r="AG7" i="2"/>
  <c r="AE7" i="2"/>
  <c r="AC7" i="2"/>
  <c r="AG4" i="2"/>
  <c r="AE4" i="2"/>
  <c r="AC4" i="2"/>
  <c r="AG3" i="2"/>
  <c r="AE3" i="2"/>
  <c r="AC3" i="2"/>
  <c r="AA97" i="2"/>
  <c r="Y97" i="2"/>
  <c r="W97" i="2"/>
  <c r="U97" i="2"/>
  <c r="S97" i="2"/>
  <c r="Q97" i="2"/>
  <c r="O97" i="2"/>
  <c r="M97" i="2"/>
  <c r="K97" i="2"/>
  <c r="I97" i="2"/>
  <c r="G97" i="2"/>
  <c r="E97" i="2"/>
  <c r="AA75" i="2"/>
  <c r="Y75" i="2"/>
  <c r="W75" i="2"/>
  <c r="U75" i="2"/>
  <c r="S75" i="2"/>
  <c r="Q75" i="2"/>
  <c r="O75" i="2"/>
  <c r="M75" i="2"/>
  <c r="K75" i="2"/>
  <c r="I75" i="2"/>
  <c r="G75" i="2"/>
  <c r="E75" i="2"/>
  <c r="G18" i="2"/>
  <c r="O95" i="2"/>
  <c r="W7" i="2"/>
  <c r="Y4" i="2"/>
  <c r="AA4" i="2"/>
  <c r="AA55" i="2"/>
  <c r="W17" i="2"/>
  <c r="U11" i="2"/>
  <c r="S11" i="2"/>
  <c r="Q11" i="2"/>
  <c r="U5" i="2"/>
  <c r="S5" i="2"/>
  <c r="Q5" i="2"/>
  <c r="U4" i="2"/>
  <c r="S4" i="2"/>
  <c r="Q4" i="2"/>
  <c r="U7" i="2"/>
  <c r="S7" i="2"/>
  <c r="Q7" i="2"/>
  <c r="I8" i="2"/>
  <c r="I7" i="2"/>
  <c r="I3" i="2"/>
  <c r="G37" i="2"/>
  <c r="G8" i="2"/>
  <c r="G7" i="2"/>
  <c r="G3" i="2"/>
  <c r="K52" i="2"/>
  <c r="E11" i="2"/>
  <c r="E8" i="2"/>
  <c r="E7" i="2"/>
  <c r="E3" i="2"/>
  <c r="CF1" i="2" l="1"/>
  <c r="AX107" i="2"/>
  <c r="AL107" i="2"/>
  <c r="BV107" i="2"/>
  <c r="CF107" i="2"/>
  <c r="AD107" i="2"/>
  <c r="AD108" i="2"/>
  <c r="BF108" i="2"/>
  <c r="AZ107" i="2"/>
  <c r="BD107" i="2"/>
  <c r="BX107" i="2"/>
  <c r="CH108" i="2"/>
  <c r="AF108" i="2"/>
  <c r="BH108" i="2"/>
  <c r="CJ108" i="2"/>
  <c r="BN107" i="2"/>
  <c r="DA107" i="2"/>
  <c r="DA108" i="2"/>
  <c r="AH108" i="2"/>
  <c r="BJ108" i="2"/>
  <c r="BL107" i="2"/>
  <c r="BP107" i="2"/>
  <c r="AJ108" i="2"/>
  <c r="BL108" i="2"/>
  <c r="BR107" i="2"/>
  <c r="CQ108" i="2"/>
  <c r="AL108" i="2"/>
  <c r="BN108" i="2"/>
  <c r="AH107" i="2"/>
  <c r="AN107" i="2"/>
  <c r="BF107" i="2"/>
  <c r="AN108" i="2"/>
  <c r="BP108" i="2"/>
  <c r="AP108" i="2"/>
  <c r="BR108" i="2"/>
  <c r="AR108" i="2"/>
  <c r="BT108" i="2"/>
  <c r="BZ107" i="2"/>
  <c r="AT108" i="2"/>
  <c r="BV108" i="2"/>
  <c r="BH107" i="2"/>
  <c r="CB107" i="2"/>
  <c r="AV108" i="2"/>
  <c r="BX108" i="2"/>
  <c r="CD107" i="2"/>
  <c r="AX108" i="2"/>
  <c r="BZ108" i="2"/>
  <c r="AF107" i="2"/>
  <c r="AP107" i="2"/>
  <c r="BB107" i="2"/>
  <c r="AZ108" i="2"/>
  <c r="CB108" i="2"/>
  <c r="AR107" i="2"/>
  <c r="CJ107" i="2"/>
  <c r="BB108" i="2"/>
  <c r="CD108" i="2"/>
  <c r="AJ107" i="2"/>
  <c r="AT107" i="2"/>
  <c r="AV107" i="2"/>
  <c r="BJ107" i="2"/>
  <c r="BT107" i="2"/>
  <c r="BD108" i="2"/>
  <c r="CF108" i="2"/>
  <c r="CQ107" i="2"/>
  <c r="CH107" i="2"/>
  <c r="CM107" i="2"/>
  <c r="CM108" i="2"/>
  <c r="CJ8" i="2"/>
  <c r="CQ75" i="2"/>
  <c r="CJ5" i="2"/>
  <c r="CH9" i="2"/>
  <c r="CF18" i="2"/>
  <c r="CF5" i="2"/>
  <c r="CH13" i="2"/>
  <c r="CF15" i="2"/>
  <c r="CJ25" i="2"/>
  <c r="CH31" i="2"/>
  <c r="CF32" i="2"/>
  <c r="CJ40" i="2"/>
  <c r="CH44" i="2"/>
  <c r="CF39" i="2"/>
  <c r="CJ52" i="2"/>
  <c r="CH53" i="2"/>
  <c r="CF61" i="2"/>
  <c r="CJ65" i="2"/>
  <c r="CH70" i="2"/>
  <c r="CF71" i="2"/>
  <c r="CJ81" i="2"/>
  <c r="CH85" i="2"/>
  <c r="CF89" i="2"/>
  <c r="CJ93" i="2"/>
  <c r="CH99" i="2"/>
  <c r="CF103" i="2"/>
  <c r="CH5" i="2"/>
  <c r="CF9" i="2"/>
  <c r="CJ13" i="2"/>
  <c r="CH15" i="2"/>
  <c r="CF23" i="2"/>
  <c r="CJ31" i="2"/>
  <c r="CH32" i="2"/>
  <c r="CF36" i="2"/>
  <c r="CJ44" i="2"/>
  <c r="CH39" i="2"/>
  <c r="CF48" i="2"/>
  <c r="CJ53" i="2"/>
  <c r="CH61" i="2"/>
  <c r="CF67" i="2"/>
  <c r="CJ70" i="2"/>
  <c r="CH71" i="2"/>
  <c r="CF79" i="2"/>
  <c r="CJ85" i="2"/>
  <c r="CH89" i="2"/>
  <c r="CF94" i="2"/>
  <c r="CJ99" i="2"/>
  <c r="CH103" i="2"/>
  <c r="CJ15" i="2"/>
  <c r="CH23" i="2"/>
  <c r="CF29" i="2"/>
  <c r="CJ32" i="2"/>
  <c r="CH36" i="2"/>
  <c r="CF45" i="2"/>
  <c r="CJ39" i="2"/>
  <c r="CH48" i="2"/>
  <c r="CF59" i="2"/>
  <c r="CJ61" i="2"/>
  <c r="CH67" i="2"/>
  <c r="CF72" i="2"/>
  <c r="CJ71" i="2"/>
  <c r="CH79" i="2"/>
  <c r="CF86" i="2"/>
  <c r="CJ89" i="2"/>
  <c r="CH94" i="2"/>
  <c r="CF100" i="2"/>
  <c r="CJ103" i="2"/>
  <c r="CF7" i="2"/>
  <c r="CJ9" i="2"/>
  <c r="CH18" i="2"/>
  <c r="CF20" i="2"/>
  <c r="CJ23" i="2"/>
  <c r="CH29" i="2"/>
  <c r="CF35" i="2"/>
  <c r="CJ36" i="2"/>
  <c r="CH45" i="2"/>
  <c r="CF43" i="2"/>
  <c r="CJ48" i="2"/>
  <c r="CH59" i="2"/>
  <c r="CF57" i="2"/>
  <c r="CJ67" i="2"/>
  <c r="CH72" i="2"/>
  <c r="CF77" i="2"/>
  <c r="CJ79" i="2"/>
  <c r="CH86" i="2"/>
  <c r="CF90" i="2"/>
  <c r="CJ94" i="2"/>
  <c r="CH100" i="2"/>
  <c r="CF104" i="2"/>
  <c r="CH7" i="2"/>
  <c r="CF10" i="2"/>
  <c r="CJ18" i="2"/>
  <c r="CH20" i="2"/>
  <c r="CF27" i="2"/>
  <c r="CJ29" i="2"/>
  <c r="CH35" i="2"/>
  <c r="CF38" i="2"/>
  <c r="CJ45" i="2"/>
  <c r="CH43" i="2"/>
  <c r="CF54" i="2"/>
  <c r="CJ59" i="2"/>
  <c r="CH57" i="2"/>
  <c r="CF68" i="2"/>
  <c r="CJ72" i="2"/>
  <c r="CH77" i="2"/>
  <c r="CF82" i="2"/>
  <c r="CJ86" i="2"/>
  <c r="CH90" i="2"/>
  <c r="CF95" i="2"/>
  <c r="CJ100" i="2"/>
  <c r="CH104" i="2"/>
  <c r="CJ7" i="2"/>
  <c r="CH10" i="2"/>
  <c r="CF17" i="2"/>
  <c r="CJ20" i="2"/>
  <c r="CH27" i="2"/>
  <c r="CF30" i="2"/>
  <c r="CJ35" i="2"/>
  <c r="CH38" i="2"/>
  <c r="CF49" i="2"/>
  <c r="CJ43" i="2"/>
  <c r="CH54" i="2"/>
  <c r="CF60" i="2"/>
  <c r="CJ57" i="2"/>
  <c r="CH68" i="2"/>
  <c r="CF69" i="2"/>
  <c r="CJ77" i="2"/>
  <c r="CH82" i="2"/>
  <c r="CF84" i="2"/>
  <c r="CJ90" i="2"/>
  <c r="CH95" i="2"/>
  <c r="CF101" i="2"/>
  <c r="CJ104" i="2"/>
  <c r="CF6" i="2"/>
  <c r="CJ10" i="2"/>
  <c r="CH17" i="2"/>
  <c r="CF21" i="2"/>
  <c r="CJ27" i="2"/>
  <c r="CH30" i="2"/>
  <c r="CF33" i="2"/>
  <c r="CJ38" i="2"/>
  <c r="CH49" i="2"/>
  <c r="CF51" i="2"/>
  <c r="CJ54" i="2"/>
  <c r="CH60" i="2"/>
  <c r="CF62" i="2"/>
  <c r="CJ68" i="2"/>
  <c r="CH69" i="2"/>
  <c r="CF76" i="2"/>
  <c r="CJ82" i="2"/>
  <c r="CH84" i="2"/>
  <c r="CF91" i="2"/>
  <c r="CJ95" i="2"/>
  <c r="CH101" i="2"/>
  <c r="CF105" i="2"/>
  <c r="CH6" i="2"/>
  <c r="CF12" i="2"/>
  <c r="CJ17" i="2"/>
  <c r="CH21" i="2"/>
  <c r="CF24" i="2"/>
  <c r="CJ30" i="2"/>
  <c r="CH33" i="2"/>
  <c r="CF46" i="2"/>
  <c r="CJ49" i="2"/>
  <c r="CH51" i="2"/>
  <c r="CF56" i="2"/>
  <c r="CJ60" i="2"/>
  <c r="CH62" i="2"/>
  <c r="CF73" i="2"/>
  <c r="CJ69" i="2"/>
  <c r="CH76" i="2"/>
  <c r="CF83" i="2"/>
  <c r="CJ84" i="2"/>
  <c r="CH91" i="2"/>
  <c r="CF98" i="2"/>
  <c r="CJ101" i="2"/>
  <c r="CH105" i="2"/>
  <c r="CQ96" i="2"/>
  <c r="CJ6" i="2"/>
  <c r="CH12" i="2"/>
  <c r="CF16" i="2"/>
  <c r="CJ21" i="2"/>
  <c r="CH24" i="2"/>
  <c r="CF28" i="2"/>
  <c r="CJ33" i="2"/>
  <c r="CH46" i="2"/>
  <c r="CF42" i="2"/>
  <c r="CJ51" i="2"/>
  <c r="CH56" i="2"/>
  <c r="CF58" i="2"/>
  <c r="CJ62" i="2"/>
  <c r="CH73" i="2"/>
  <c r="CF74" i="2"/>
  <c r="CJ76" i="2"/>
  <c r="CH83" i="2"/>
  <c r="CF87" i="2"/>
  <c r="CJ91" i="2"/>
  <c r="CH98" i="2"/>
  <c r="CF102" i="2"/>
  <c r="CJ105" i="2"/>
  <c r="CF11" i="2"/>
  <c r="CJ12" i="2"/>
  <c r="CH16" i="2"/>
  <c r="CF22" i="2"/>
  <c r="CJ24" i="2"/>
  <c r="CH28" i="2"/>
  <c r="CF37" i="2"/>
  <c r="CJ46" i="2"/>
  <c r="CH42" i="2"/>
  <c r="CF50" i="2"/>
  <c r="CJ56" i="2"/>
  <c r="CH58" i="2"/>
  <c r="CF64" i="2"/>
  <c r="CJ73" i="2"/>
  <c r="CH74" i="2"/>
  <c r="CF78" i="2"/>
  <c r="CJ83" i="2"/>
  <c r="CH87" i="2"/>
  <c r="CF92" i="2"/>
  <c r="CJ98" i="2"/>
  <c r="CH102" i="2"/>
  <c r="CF106" i="2"/>
  <c r="CH11" i="2"/>
  <c r="CF14" i="2"/>
  <c r="CJ16" i="2"/>
  <c r="CH22" i="2"/>
  <c r="CF26" i="2"/>
  <c r="CJ28" i="2"/>
  <c r="CH37" i="2"/>
  <c r="CF47" i="2"/>
  <c r="CJ42" i="2"/>
  <c r="CH50" i="2"/>
  <c r="CF55" i="2"/>
  <c r="CJ58" i="2"/>
  <c r="CH64" i="2"/>
  <c r="CF66" i="2"/>
  <c r="CJ74" i="2"/>
  <c r="CH78" i="2"/>
  <c r="CF80" i="2"/>
  <c r="CJ87" i="2"/>
  <c r="CH92" i="2"/>
  <c r="CF97" i="2"/>
  <c r="CJ102" i="2"/>
  <c r="CH106" i="2"/>
  <c r="CF4" i="2"/>
  <c r="CJ11" i="2"/>
  <c r="CH14" i="2"/>
  <c r="CF19" i="2"/>
  <c r="CJ22" i="2"/>
  <c r="CH26" i="2"/>
  <c r="CF34" i="2"/>
  <c r="CJ37" i="2"/>
  <c r="CH47" i="2"/>
  <c r="CF41" i="2"/>
  <c r="CJ50" i="2"/>
  <c r="CH55" i="2"/>
  <c r="CF63" i="2"/>
  <c r="CJ64" i="2"/>
  <c r="CH66" i="2"/>
  <c r="CF75" i="2"/>
  <c r="CJ78" i="2"/>
  <c r="CH80" i="2"/>
  <c r="CF88" i="2"/>
  <c r="CJ92" i="2"/>
  <c r="CH97" i="2"/>
  <c r="CF96" i="2"/>
  <c r="CJ106" i="2"/>
  <c r="CH4" i="2"/>
  <c r="CF8" i="2"/>
  <c r="CJ14" i="2"/>
  <c r="CH19" i="2"/>
  <c r="CF25" i="2"/>
  <c r="CJ26" i="2"/>
  <c r="CH34" i="2"/>
  <c r="CF40" i="2"/>
  <c r="CJ47" i="2"/>
  <c r="CH41" i="2"/>
  <c r="CF52" i="2"/>
  <c r="CJ55" i="2"/>
  <c r="CH63" i="2"/>
  <c r="CF65" i="2"/>
  <c r="CJ66" i="2"/>
  <c r="CH75" i="2"/>
  <c r="CF81" i="2"/>
  <c r="CJ80" i="2"/>
  <c r="CH88" i="2"/>
  <c r="CF93" i="2"/>
  <c r="CJ97" i="2"/>
  <c r="CH96" i="2"/>
  <c r="CJ4" i="2"/>
  <c r="CH8" i="2"/>
  <c r="CF13" i="2"/>
  <c r="CJ19" i="2"/>
  <c r="CH25" i="2"/>
  <c r="CF31" i="2"/>
  <c r="CJ34" i="2"/>
  <c r="CH40" i="2"/>
  <c r="CF44" i="2"/>
  <c r="CJ41" i="2"/>
  <c r="CH52" i="2"/>
  <c r="CF53" i="2"/>
  <c r="CJ63" i="2"/>
  <c r="CH65" i="2"/>
  <c r="CF70" i="2"/>
  <c r="CJ75" i="2"/>
  <c r="CH81" i="2"/>
  <c r="CF85" i="2"/>
  <c r="CJ88" i="2"/>
  <c r="CH93" i="2"/>
  <c r="CF99" i="2"/>
  <c r="CJ96" i="2"/>
  <c r="CQ103" i="2"/>
  <c r="CQ97" i="2"/>
  <c r="CQ71" i="2"/>
  <c r="CQ69" i="2"/>
  <c r="CM75" i="2"/>
  <c r="CO75" i="2" s="1"/>
  <c r="DA75" i="2"/>
  <c r="CM97" i="2"/>
  <c r="CO97" i="2" s="1"/>
  <c r="DA97" i="2"/>
  <c r="CM71" i="2"/>
  <c r="DA71" i="2"/>
  <c r="CM69" i="2"/>
  <c r="DA69" i="2"/>
  <c r="CM103" i="2"/>
  <c r="DA103" i="2"/>
  <c r="CM96" i="2"/>
  <c r="DA96" i="2"/>
  <c r="CF3" i="2"/>
  <c r="CH3" i="2"/>
  <c r="CJ3" i="2"/>
  <c r="CB9" i="2"/>
  <c r="BZ17" i="2"/>
  <c r="AJ1" i="2"/>
  <c r="BN1" i="2"/>
  <c r="BZ1" i="2"/>
  <c r="BH1" i="2"/>
  <c r="AD1" i="2"/>
  <c r="AP1" i="2"/>
  <c r="BB1" i="2"/>
  <c r="AV1" i="2"/>
  <c r="BT1" i="2"/>
  <c r="BZ5" i="2"/>
  <c r="CB17" i="2"/>
  <c r="BZ16" i="2"/>
  <c r="CB31" i="2"/>
  <c r="BZ38" i="2"/>
  <c r="CB49" i="2"/>
  <c r="BZ51" i="2"/>
  <c r="CB59" i="2"/>
  <c r="BZ57" i="2"/>
  <c r="CB72" i="2"/>
  <c r="BZ74" i="2"/>
  <c r="CB86" i="2"/>
  <c r="BZ87" i="2"/>
  <c r="CB99" i="2"/>
  <c r="BZ105" i="2"/>
  <c r="CB5" i="2"/>
  <c r="BZ8" i="2"/>
  <c r="CD17" i="2"/>
  <c r="CB16" i="2"/>
  <c r="BZ25" i="2"/>
  <c r="CD31" i="2"/>
  <c r="CB38" i="2"/>
  <c r="BZ33" i="2"/>
  <c r="CD49" i="2"/>
  <c r="CB51" i="2"/>
  <c r="BZ55" i="2"/>
  <c r="CB57" i="2"/>
  <c r="BZ65" i="2"/>
  <c r="CB74" i="2"/>
  <c r="BZ85" i="2"/>
  <c r="CB87" i="2"/>
  <c r="BZ94" i="2"/>
  <c r="CB105" i="2"/>
  <c r="CB8" i="2"/>
  <c r="BZ18" i="2"/>
  <c r="CB25" i="2"/>
  <c r="BZ29" i="2"/>
  <c r="CB33" i="2"/>
  <c r="BZ44" i="2"/>
  <c r="CB55" i="2"/>
  <c r="BZ60" i="2"/>
  <c r="CB65" i="2"/>
  <c r="BZ77" i="2"/>
  <c r="CB85" i="2"/>
  <c r="BZ84" i="2"/>
  <c r="CB94" i="2"/>
  <c r="BZ97" i="2"/>
  <c r="BZ6" i="2"/>
  <c r="CB18" i="2"/>
  <c r="BZ20" i="2"/>
  <c r="CB29" i="2"/>
  <c r="BZ28" i="2"/>
  <c r="CB44" i="2"/>
  <c r="BZ39" i="2"/>
  <c r="CB60" i="2"/>
  <c r="BZ61" i="2"/>
  <c r="CB77" i="2"/>
  <c r="BZ75" i="2"/>
  <c r="CB84" i="2"/>
  <c r="BZ91" i="2"/>
  <c r="CB97" i="2"/>
  <c r="BZ106" i="2"/>
  <c r="CB6" i="2"/>
  <c r="BZ10" i="2"/>
  <c r="CB20" i="2"/>
  <c r="BZ27" i="2"/>
  <c r="CB28" i="2"/>
  <c r="BZ40" i="2"/>
  <c r="CB39" i="2"/>
  <c r="BZ54" i="2"/>
  <c r="CB61" i="2"/>
  <c r="BZ64" i="2"/>
  <c r="CB75" i="2"/>
  <c r="BZ83" i="2"/>
  <c r="CB91" i="2"/>
  <c r="BZ95" i="2"/>
  <c r="CB106" i="2"/>
  <c r="CB10" i="2"/>
  <c r="BZ14" i="2"/>
  <c r="CB27" i="2"/>
  <c r="BZ30" i="2"/>
  <c r="CB40" i="2"/>
  <c r="BZ42" i="2"/>
  <c r="CB54" i="2"/>
  <c r="BZ58" i="2"/>
  <c r="CB64" i="2"/>
  <c r="BZ69" i="2"/>
  <c r="CB83" i="2"/>
  <c r="BZ82" i="2"/>
  <c r="CB95" i="2"/>
  <c r="BZ11" i="2"/>
  <c r="CB14" i="2"/>
  <c r="BZ21" i="2"/>
  <c r="CB30" i="2"/>
  <c r="BZ47" i="2"/>
  <c r="CB42" i="2"/>
  <c r="BZ43" i="2"/>
  <c r="CB58" i="2"/>
  <c r="BZ62" i="2"/>
  <c r="CB69" i="2"/>
  <c r="BZ71" i="2"/>
  <c r="CB82" i="2"/>
  <c r="BZ92" i="2"/>
  <c r="CB102" i="2"/>
  <c r="CB11" i="2"/>
  <c r="BZ12" i="2"/>
  <c r="CB21" i="2"/>
  <c r="BZ22" i="2"/>
  <c r="CB47" i="2"/>
  <c r="BZ35" i="2"/>
  <c r="CB43" i="2"/>
  <c r="BZ48" i="2"/>
  <c r="CB62" i="2"/>
  <c r="BZ73" i="2"/>
  <c r="CB71" i="2"/>
  <c r="BZ80" i="2"/>
  <c r="CB92" i="2"/>
  <c r="BZ98" i="2"/>
  <c r="CB96" i="2"/>
  <c r="CB12" i="2"/>
  <c r="BZ15" i="2"/>
  <c r="CB22" i="2"/>
  <c r="BZ34" i="2"/>
  <c r="CB35" i="2"/>
  <c r="BZ46" i="2"/>
  <c r="CB48" i="2"/>
  <c r="BZ63" i="2"/>
  <c r="CB73" i="2"/>
  <c r="BZ70" i="2"/>
  <c r="CB80" i="2"/>
  <c r="BZ88" i="2"/>
  <c r="CB98" i="2"/>
  <c r="BZ103" i="2"/>
  <c r="BZ7" i="2"/>
  <c r="CB15" i="2"/>
  <c r="BZ24" i="2"/>
  <c r="CB34" i="2"/>
  <c r="BZ36" i="2"/>
  <c r="CB46" i="2"/>
  <c r="BZ50" i="2"/>
  <c r="CB63" i="2"/>
  <c r="BZ67" i="2"/>
  <c r="CB70" i="2"/>
  <c r="BZ76" i="2"/>
  <c r="CB88" i="2"/>
  <c r="BZ93" i="2"/>
  <c r="CB103" i="2"/>
  <c r="CB7" i="2"/>
  <c r="BZ13" i="2"/>
  <c r="CB24" i="2"/>
  <c r="BZ26" i="2"/>
  <c r="CB36" i="2"/>
  <c r="BZ45" i="2"/>
  <c r="CB50" i="2"/>
  <c r="BZ56" i="2"/>
  <c r="CB67" i="2"/>
  <c r="BZ66" i="2"/>
  <c r="CB76" i="2"/>
  <c r="BZ79" i="2"/>
  <c r="CB93" i="2"/>
  <c r="BZ100" i="2"/>
  <c r="CB101" i="2"/>
  <c r="BZ4" i="2"/>
  <c r="CB13" i="2"/>
  <c r="BZ19" i="2"/>
  <c r="CB26" i="2"/>
  <c r="BZ32" i="2"/>
  <c r="CB45" i="2"/>
  <c r="BZ41" i="2"/>
  <c r="CB56" i="2"/>
  <c r="BZ53" i="2"/>
  <c r="CB66" i="2"/>
  <c r="BZ78" i="2"/>
  <c r="CB79" i="2"/>
  <c r="BZ89" i="2"/>
  <c r="CB100" i="2"/>
  <c r="BZ104" i="2"/>
  <c r="CB3" i="2"/>
  <c r="BZ9" i="2"/>
  <c r="CB19" i="2"/>
  <c r="BZ23" i="2"/>
  <c r="CB32" i="2"/>
  <c r="BZ37" i="2"/>
  <c r="CB41" i="2"/>
  <c r="BZ52" i="2"/>
  <c r="CB53" i="2"/>
  <c r="BZ68" i="2"/>
  <c r="CB78" i="2"/>
  <c r="BZ81" i="2"/>
  <c r="CB89" i="2"/>
  <c r="BZ90" i="2"/>
  <c r="CB23" i="2"/>
  <c r="BZ31" i="2"/>
  <c r="CB37" i="2"/>
  <c r="BZ49" i="2"/>
  <c r="CB52" i="2"/>
  <c r="BZ59" i="2"/>
  <c r="CB68" i="2"/>
  <c r="BZ72" i="2"/>
  <c r="CB81" i="2"/>
  <c r="BZ86" i="2"/>
  <c r="CB90" i="2"/>
  <c r="BZ99" i="2"/>
  <c r="CD86" i="2"/>
  <c r="CD98" i="2"/>
  <c r="CD67" i="2"/>
  <c r="CD93" i="2"/>
  <c r="CD78" i="2"/>
  <c r="CD101" i="2"/>
  <c r="CD76" i="2"/>
  <c r="CD13" i="2"/>
  <c r="CD26" i="2"/>
  <c r="CD45" i="2"/>
  <c r="CD56" i="2"/>
  <c r="CD66" i="2"/>
  <c r="CD79" i="2"/>
  <c r="CD100" i="2"/>
  <c r="CD89" i="2"/>
  <c r="CD104" i="2"/>
  <c r="CD59" i="2"/>
  <c r="CD72" i="2"/>
  <c r="CD5" i="2"/>
  <c r="CD16" i="2"/>
  <c r="CD38" i="2"/>
  <c r="CD51" i="2"/>
  <c r="CD57" i="2"/>
  <c r="CD74" i="2"/>
  <c r="CD87" i="2"/>
  <c r="CD105" i="2"/>
  <c r="CD8" i="2"/>
  <c r="CD25" i="2"/>
  <c r="CD33" i="2"/>
  <c r="CD55" i="2"/>
  <c r="CD65" i="2"/>
  <c r="CD85" i="2"/>
  <c r="CD94" i="2"/>
  <c r="CD18" i="2"/>
  <c r="CD29" i="2"/>
  <c r="CD44" i="2"/>
  <c r="CD60" i="2"/>
  <c r="CD77" i="2"/>
  <c r="CD84" i="2"/>
  <c r="CD97" i="2"/>
  <c r="CD6" i="2"/>
  <c r="CD20" i="2"/>
  <c r="CD28" i="2"/>
  <c r="CD39" i="2"/>
  <c r="CD61" i="2"/>
  <c r="CD75" i="2"/>
  <c r="CD91" i="2"/>
  <c r="CD10" i="2"/>
  <c r="CD27" i="2"/>
  <c r="CD40" i="2"/>
  <c r="CD54" i="2"/>
  <c r="CD64" i="2"/>
  <c r="CD83" i="2"/>
  <c r="CD95" i="2"/>
  <c r="CD14" i="2"/>
  <c r="CD30" i="2"/>
  <c r="CD42" i="2"/>
  <c r="CD58" i="2"/>
  <c r="CD69" i="2"/>
  <c r="CD82" i="2"/>
  <c r="CD102" i="2"/>
  <c r="CD11" i="2"/>
  <c r="CD21" i="2"/>
  <c r="CD47" i="2"/>
  <c r="CD43" i="2"/>
  <c r="CD62" i="2"/>
  <c r="CD71" i="2"/>
  <c r="CD92" i="2"/>
  <c r="CD96" i="2"/>
  <c r="CD12" i="2"/>
  <c r="CD22" i="2"/>
  <c r="CD35" i="2"/>
  <c r="CD48" i="2"/>
  <c r="CD73" i="2"/>
  <c r="CD80" i="2"/>
  <c r="CD15" i="2"/>
  <c r="CD34" i="2"/>
  <c r="CD46" i="2"/>
  <c r="CD63" i="2"/>
  <c r="CD70" i="2"/>
  <c r="CD88" i="2"/>
  <c r="CD103" i="2"/>
  <c r="CD7" i="2"/>
  <c r="CD24" i="2"/>
  <c r="CD36" i="2"/>
  <c r="CD50" i="2"/>
  <c r="CD4" i="2"/>
  <c r="CD19" i="2"/>
  <c r="CD32" i="2"/>
  <c r="CD41" i="2"/>
  <c r="CD53" i="2"/>
  <c r="CD9" i="2"/>
  <c r="CD23" i="2"/>
  <c r="CD37" i="2"/>
  <c r="CD52" i="2"/>
  <c r="CD68" i="2"/>
  <c r="CD81" i="2"/>
  <c r="CD90" i="2"/>
  <c r="CD99" i="2"/>
  <c r="BZ3" i="2"/>
  <c r="CB4" i="2"/>
  <c r="BZ102" i="2"/>
  <c r="CB104" i="2"/>
  <c r="CD106" i="2"/>
  <c r="CD3" i="2"/>
  <c r="BZ96" i="2"/>
  <c r="BZ101" i="2"/>
  <c r="BV21" i="2"/>
  <c r="BV103" i="2"/>
  <c r="BV95" i="2"/>
  <c r="BV55" i="2"/>
  <c r="BT60" i="2"/>
  <c r="BV91" i="2"/>
  <c r="BV77" i="2"/>
  <c r="BT6" i="2"/>
  <c r="BT96" i="2"/>
  <c r="BV20" i="2"/>
  <c r="BV24" i="2"/>
  <c r="BV70" i="2"/>
  <c r="BT80" i="2"/>
  <c r="BV54" i="2"/>
  <c r="BV59" i="2"/>
  <c r="BV48" i="2"/>
  <c r="BT92" i="2"/>
  <c r="BV63" i="2"/>
  <c r="BV68" i="2"/>
  <c r="BT65" i="2"/>
  <c r="BT38" i="2"/>
  <c r="BV6" i="2"/>
  <c r="BT83" i="2"/>
  <c r="BT39" i="2"/>
  <c r="BT31" i="2"/>
  <c r="BV9" i="2"/>
  <c r="BT69" i="2"/>
  <c r="BV18" i="2"/>
  <c r="BV100" i="2"/>
  <c r="BT106" i="2"/>
  <c r="BT49" i="2"/>
  <c r="BV16" i="2"/>
  <c r="BV96" i="2"/>
  <c r="BT79" i="2"/>
  <c r="BT59" i="2"/>
  <c r="BT35" i="2"/>
  <c r="BT11" i="2"/>
  <c r="BT8" i="2"/>
  <c r="BT48" i="2"/>
  <c r="BT14" i="2"/>
  <c r="BT68" i="2"/>
  <c r="BT13" i="2"/>
  <c r="BT18" i="2"/>
  <c r="BT66" i="2"/>
  <c r="BT19" i="2"/>
  <c r="BV27" i="2"/>
  <c r="BV64" i="2"/>
  <c r="BT67" i="2"/>
  <c r="BT32" i="2"/>
  <c r="BV25" i="2"/>
  <c r="BV74" i="2"/>
  <c r="BT47" i="2"/>
  <c r="BV32" i="2"/>
  <c r="BV69" i="2"/>
  <c r="BT90" i="2"/>
  <c r="BV28" i="2"/>
  <c r="BV83" i="2"/>
  <c r="BT94" i="2"/>
  <c r="BV45" i="2"/>
  <c r="BV89" i="2"/>
  <c r="BV44" i="2"/>
  <c r="BV87" i="2"/>
  <c r="BV4" i="2"/>
  <c r="BV52" i="2"/>
  <c r="BV93" i="2"/>
  <c r="BV3" i="2"/>
  <c r="BV40" i="2"/>
  <c r="BV66" i="2"/>
  <c r="BV11" i="2"/>
  <c r="BV33" i="2"/>
  <c r="BV75" i="2"/>
  <c r="BV8" i="2"/>
  <c r="BV35" i="2"/>
  <c r="BT17" i="2"/>
  <c r="BT33" i="2"/>
  <c r="BT61" i="2"/>
  <c r="BT88" i="2"/>
  <c r="BV5" i="2"/>
  <c r="BV22" i="2"/>
  <c r="BV37" i="2"/>
  <c r="BV58" i="2"/>
  <c r="BV76" i="2"/>
  <c r="BV90" i="2"/>
  <c r="BT22" i="2"/>
  <c r="BT46" i="2"/>
  <c r="BT78" i="2"/>
  <c r="BT95" i="2"/>
  <c r="BV12" i="2"/>
  <c r="BV23" i="2"/>
  <c r="BV41" i="2"/>
  <c r="BV62" i="2"/>
  <c r="BV80" i="2"/>
  <c r="BV98" i="2"/>
  <c r="BT27" i="2"/>
  <c r="BT50" i="2"/>
  <c r="BT81" i="2"/>
  <c r="BT97" i="2"/>
  <c r="BV10" i="2"/>
  <c r="BV30" i="2"/>
  <c r="BV43" i="2"/>
  <c r="BV61" i="2"/>
  <c r="BV84" i="2"/>
  <c r="BV102" i="2"/>
  <c r="BT24" i="2"/>
  <c r="BT51" i="2"/>
  <c r="BT72" i="2"/>
  <c r="BT99" i="2"/>
  <c r="BV17" i="2"/>
  <c r="BV31" i="2"/>
  <c r="BV50" i="2"/>
  <c r="BV65" i="2"/>
  <c r="BV85" i="2"/>
  <c r="BV106" i="2"/>
  <c r="BT26" i="2"/>
  <c r="BT52" i="2"/>
  <c r="BT74" i="2"/>
  <c r="BT103" i="2"/>
  <c r="BV15" i="2"/>
  <c r="BV34" i="2"/>
  <c r="BV42" i="2"/>
  <c r="BV67" i="2"/>
  <c r="BV79" i="2"/>
  <c r="BV105" i="2"/>
  <c r="BT3" i="2"/>
  <c r="BT29" i="2"/>
  <c r="BT55" i="2"/>
  <c r="BT70" i="2"/>
  <c r="BT105" i="2"/>
  <c r="BV13" i="2"/>
  <c r="BV36" i="2"/>
  <c r="BV51" i="2"/>
  <c r="BV73" i="2"/>
  <c r="BV86" i="2"/>
  <c r="BV101" i="2"/>
  <c r="BT9" i="2"/>
  <c r="BT28" i="2"/>
  <c r="BT53" i="2"/>
  <c r="BT82" i="2"/>
  <c r="BV7" i="2"/>
  <c r="BV19" i="2"/>
  <c r="BV47" i="2"/>
  <c r="BV56" i="2"/>
  <c r="BV81" i="2"/>
  <c r="BV92" i="2"/>
  <c r="AX96" i="2"/>
  <c r="BL96" i="2"/>
  <c r="AZ96" i="2"/>
  <c r="BT5" i="2"/>
  <c r="BT20" i="2"/>
  <c r="BT40" i="2"/>
  <c r="BT42" i="2"/>
  <c r="BT62" i="2"/>
  <c r="BT71" i="2"/>
  <c r="BT93" i="2"/>
  <c r="BT101" i="2"/>
  <c r="BB96" i="2"/>
  <c r="BD96" i="2"/>
  <c r="AD96" i="2"/>
  <c r="BF96" i="2"/>
  <c r="AF96" i="2"/>
  <c r="BH96" i="2"/>
  <c r="BT12" i="2"/>
  <c r="BT25" i="2"/>
  <c r="BT37" i="2"/>
  <c r="BT54" i="2"/>
  <c r="BT73" i="2"/>
  <c r="BT84" i="2"/>
  <c r="BT91" i="2"/>
  <c r="BV99" i="2"/>
  <c r="AH96" i="2"/>
  <c r="BJ96" i="2"/>
  <c r="BT10" i="2"/>
  <c r="BT23" i="2"/>
  <c r="BT45" i="2"/>
  <c r="BT56" i="2"/>
  <c r="BT64" i="2"/>
  <c r="BT85" i="2"/>
  <c r="BT100" i="2"/>
  <c r="BV104" i="2"/>
  <c r="AJ96" i="2"/>
  <c r="BT98" i="2"/>
  <c r="AL96" i="2"/>
  <c r="BN96" i="2"/>
  <c r="AN96" i="2"/>
  <c r="BP96" i="2"/>
  <c r="BT15" i="2"/>
  <c r="BT30" i="2"/>
  <c r="BT44" i="2"/>
  <c r="BT58" i="2"/>
  <c r="BT77" i="2"/>
  <c r="BT86" i="2"/>
  <c r="BT102" i="2"/>
  <c r="AP96" i="2"/>
  <c r="BR96" i="2"/>
  <c r="AR96" i="2"/>
  <c r="AT96" i="2"/>
  <c r="BT4" i="2"/>
  <c r="BT16" i="2"/>
  <c r="BT34" i="2"/>
  <c r="BT41" i="2"/>
  <c r="BT63" i="2"/>
  <c r="BT75" i="2"/>
  <c r="BT89" i="2"/>
  <c r="BT104" i="2"/>
  <c r="AV96" i="2"/>
  <c r="BT7" i="2"/>
  <c r="BT21" i="2"/>
  <c r="BT36" i="2"/>
  <c r="BT43" i="2"/>
  <c r="BT57" i="2"/>
  <c r="BT76" i="2"/>
  <c r="BT87" i="2"/>
  <c r="BV14" i="2"/>
  <c r="BV26" i="2"/>
  <c r="BV39" i="2"/>
  <c r="BV57" i="2"/>
  <c r="BV71" i="2"/>
  <c r="BV94" i="2"/>
  <c r="BX91" i="2"/>
  <c r="BX84" i="2"/>
  <c r="BX73" i="2"/>
  <c r="BX54" i="2"/>
  <c r="BX37" i="2"/>
  <c r="BX25" i="2"/>
  <c r="BX12" i="2"/>
  <c r="BX95" i="2"/>
  <c r="BX80" i="2"/>
  <c r="BX67" i="2"/>
  <c r="BX55" i="2"/>
  <c r="BX33" i="2"/>
  <c r="BX24" i="2"/>
  <c r="BX9" i="2"/>
  <c r="BX94" i="2"/>
  <c r="BX69" i="2"/>
  <c r="BX65" i="2"/>
  <c r="BX52" i="2"/>
  <c r="BX47" i="2"/>
  <c r="BX27" i="2"/>
  <c r="BX8" i="2"/>
  <c r="BX96" i="2"/>
  <c r="BX90" i="2"/>
  <c r="BX70" i="2"/>
  <c r="BX61" i="2"/>
  <c r="BX51" i="2"/>
  <c r="BX28" i="2"/>
  <c r="BX22" i="2"/>
  <c r="BX6" i="2"/>
  <c r="BX101" i="2"/>
  <c r="BX93" i="2"/>
  <c r="BX71" i="2"/>
  <c r="BX62" i="2"/>
  <c r="BX42" i="2"/>
  <c r="BX40" i="2"/>
  <c r="BX20" i="2"/>
  <c r="BX5" i="2"/>
  <c r="BX105" i="2"/>
  <c r="BX92" i="2"/>
  <c r="BX74" i="2"/>
  <c r="BX68" i="2"/>
  <c r="BX50" i="2"/>
  <c r="BX32" i="2"/>
  <c r="BX19" i="2"/>
  <c r="BX11" i="2"/>
  <c r="BX106" i="2"/>
  <c r="BX87" i="2"/>
  <c r="BX76" i="2"/>
  <c r="BX57" i="2"/>
  <c r="BX43" i="2"/>
  <c r="BX36" i="2"/>
  <c r="BX21" i="2"/>
  <c r="BX7" i="2"/>
  <c r="BX104" i="2"/>
  <c r="BX89" i="2"/>
  <c r="BX75" i="2"/>
  <c r="BX63" i="2"/>
  <c r="BX41" i="2"/>
  <c r="BX34" i="2"/>
  <c r="BX16" i="2"/>
  <c r="BX4" i="2"/>
  <c r="BX103" i="2"/>
  <c r="BX88" i="2"/>
  <c r="BX72" i="2"/>
  <c r="BX53" i="2"/>
  <c r="BX46" i="2"/>
  <c r="BX38" i="2"/>
  <c r="BX18" i="2"/>
  <c r="BX3" i="2"/>
  <c r="BX99" i="2"/>
  <c r="BX83" i="2"/>
  <c r="BX81" i="2"/>
  <c r="BX48" i="2"/>
  <c r="BX39" i="2"/>
  <c r="BX31" i="2"/>
  <c r="BX13" i="2"/>
  <c r="BX102" i="2"/>
  <c r="BX86" i="2"/>
  <c r="BX77" i="2"/>
  <c r="BX58" i="2"/>
  <c r="BX44" i="2"/>
  <c r="BX30" i="2"/>
  <c r="BX15" i="2"/>
  <c r="BX97" i="2"/>
  <c r="BX82" i="2"/>
  <c r="BX78" i="2"/>
  <c r="BX60" i="2"/>
  <c r="BX49" i="2"/>
  <c r="BX29" i="2"/>
  <c r="BX17" i="2"/>
  <c r="BX98" i="2"/>
  <c r="BX79" i="2"/>
  <c r="BX66" i="2"/>
  <c r="BX59" i="2"/>
  <c r="BX35" i="2"/>
  <c r="BX26" i="2"/>
  <c r="BX14" i="2"/>
  <c r="BX100" i="2"/>
  <c r="BX85" i="2"/>
  <c r="BX64" i="2"/>
  <c r="BX56" i="2"/>
  <c r="BX45" i="2"/>
  <c r="BX23" i="2"/>
  <c r="BX10" i="2"/>
  <c r="BV29" i="2"/>
  <c r="BV49" i="2"/>
  <c r="BV60" i="2"/>
  <c r="BV78" i="2"/>
  <c r="BV82" i="2"/>
  <c r="BV97" i="2"/>
  <c r="BV38" i="2"/>
  <c r="BV46" i="2"/>
  <c r="BV53" i="2"/>
  <c r="BV72" i="2"/>
  <c r="BV88" i="2"/>
  <c r="BR72" i="2"/>
  <c r="BR102" i="2"/>
  <c r="BL103" i="2"/>
  <c r="BR57" i="2"/>
  <c r="BN90" i="2"/>
  <c r="BR93" i="2"/>
  <c r="BJ103" i="2"/>
  <c r="BR42" i="2"/>
  <c r="BN65" i="2"/>
  <c r="BP84" i="2"/>
  <c r="BN33" i="2"/>
  <c r="BN24" i="2"/>
  <c r="BR13" i="2"/>
  <c r="BR28" i="2"/>
  <c r="BR7" i="2"/>
  <c r="BR73" i="2"/>
  <c r="BR19" i="2"/>
  <c r="BP48" i="2"/>
  <c r="BP27" i="2"/>
  <c r="BP85" i="2"/>
  <c r="BR98" i="2"/>
  <c r="BN92" i="2"/>
  <c r="BN84" i="2"/>
  <c r="BN48" i="2"/>
  <c r="BP40" i="2"/>
  <c r="BN37" i="2"/>
  <c r="BR25" i="2"/>
  <c r="BN101" i="2"/>
  <c r="BN79" i="2"/>
  <c r="BR56" i="2"/>
  <c r="BR55" i="2"/>
  <c r="BR34" i="2"/>
  <c r="BP25" i="2"/>
  <c r="BN18" i="2"/>
  <c r="BP101" i="2"/>
  <c r="BR106" i="2"/>
  <c r="BN86" i="2"/>
  <c r="BR75" i="2"/>
  <c r="BP77" i="2"/>
  <c r="BP55" i="2"/>
  <c r="BN47" i="2"/>
  <c r="BN25" i="2"/>
  <c r="BN13" i="2"/>
  <c r="BN27" i="2"/>
  <c r="BN40" i="2"/>
  <c r="BR101" i="2"/>
  <c r="BN60" i="2"/>
  <c r="BP7" i="2"/>
  <c r="BP28" i="2"/>
  <c r="BN103" i="2"/>
  <c r="BP75" i="2"/>
  <c r="BN77" i="2"/>
  <c r="BN71" i="2"/>
  <c r="BN32" i="2"/>
  <c r="BP83" i="2"/>
  <c r="BP13" i="2"/>
  <c r="BN73" i="2"/>
  <c r="BP92" i="2"/>
  <c r="BP59" i="2"/>
  <c r="BP5" i="2"/>
  <c r="BP54" i="2"/>
  <c r="BN59" i="2"/>
  <c r="BP32" i="2"/>
  <c r="BN5" i="2"/>
  <c r="BP93" i="2"/>
  <c r="BR103" i="2"/>
  <c r="BN94" i="2"/>
  <c r="BN85" i="2"/>
  <c r="BR65" i="2"/>
  <c r="BP38" i="2"/>
  <c r="BR81" i="2"/>
  <c r="BP65" i="2"/>
  <c r="BN52" i="2"/>
  <c r="BR95" i="2"/>
  <c r="BR74" i="2"/>
  <c r="BP95" i="2"/>
  <c r="BP74" i="2"/>
  <c r="BR43" i="2"/>
  <c r="BN74" i="2"/>
  <c r="BR63" i="2"/>
  <c r="BP43" i="2"/>
  <c r="BN99" i="2"/>
  <c r="BR83" i="2"/>
  <c r="BN62" i="2"/>
  <c r="BP63" i="2"/>
  <c r="BR44" i="2"/>
  <c r="BR50" i="2"/>
  <c r="BN38" i="2"/>
  <c r="BP9" i="2"/>
  <c r="BP106" i="2"/>
  <c r="BR82" i="2"/>
  <c r="BR69" i="2"/>
  <c r="BP64" i="2"/>
  <c r="BN43" i="2"/>
  <c r="BR30" i="2"/>
  <c r="BP23" i="2"/>
  <c r="BP14" i="2"/>
  <c r="BN6" i="2"/>
  <c r="BN106" i="2"/>
  <c r="BP82" i="2"/>
  <c r="BN83" i="2"/>
  <c r="BP69" i="2"/>
  <c r="BP72" i="2"/>
  <c r="BR61" i="2"/>
  <c r="BN63" i="2"/>
  <c r="BP42" i="2"/>
  <c r="BR45" i="2"/>
  <c r="BP49" i="2"/>
  <c r="BP20" i="2"/>
  <c r="BN9" i="2"/>
  <c r="BN102" i="2"/>
  <c r="BR80" i="2"/>
  <c r="BP66" i="2"/>
  <c r="BP60" i="2"/>
  <c r="BN50" i="2"/>
  <c r="BR36" i="2"/>
  <c r="BR26" i="2"/>
  <c r="BP11" i="2"/>
  <c r="BR105" i="2"/>
  <c r="BR97" i="2"/>
  <c r="BR86" i="2"/>
  <c r="BR88" i="2"/>
  <c r="BN66" i="2"/>
  <c r="BR53" i="2"/>
  <c r="BN42" i="2"/>
  <c r="BP41" i="2"/>
  <c r="BR47" i="2"/>
  <c r="BR35" i="2"/>
  <c r="BP36" i="2"/>
  <c r="BN30" i="2"/>
  <c r="BP26" i="2"/>
  <c r="BP16" i="2"/>
  <c r="BN17" i="2"/>
  <c r="BR10" i="2"/>
  <c r="BN11" i="2"/>
  <c r="BR91" i="2"/>
  <c r="BP97" i="2"/>
  <c r="BN89" i="2"/>
  <c r="BN80" i="2"/>
  <c r="BR76" i="2"/>
  <c r="BR62" i="2"/>
  <c r="BP58" i="2"/>
  <c r="BP39" i="2"/>
  <c r="BN45" i="2"/>
  <c r="BN36" i="2"/>
  <c r="BR22" i="2"/>
  <c r="BR18" i="2"/>
  <c r="BP8" i="2"/>
  <c r="BN7" i="2"/>
  <c r="BN10" i="2"/>
  <c r="BN16" i="2"/>
  <c r="BN20" i="2"/>
  <c r="BN34" i="2"/>
  <c r="BN28" i="2"/>
  <c r="BN55" i="2"/>
  <c r="BN54" i="2"/>
  <c r="BN53" i="2"/>
  <c r="BN61" i="2"/>
  <c r="BN72" i="2"/>
  <c r="BN75" i="2"/>
  <c r="BN93" i="2"/>
  <c r="BN98" i="2"/>
  <c r="BP105" i="2"/>
  <c r="BN97" i="2"/>
  <c r="BN100" i="2"/>
  <c r="BR90" i="2"/>
  <c r="BP86" i="2"/>
  <c r="BR85" i="2"/>
  <c r="BR70" i="2"/>
  <c r="BP76" i="2"/>
  <c r="BN67" i="2"/>
  <c r="BP62" i="2"/>
  <c r="BP53" i="2"/>
  <c r="BN58" i="2"/>
  <c r="BR54" i="2"/>
  <c r="BN39" i="2"/>
  <c r="BN41" i="2"/>
  <c r="BR33" i="2"/>
  <c r="BP47" i="2"/>
  <c r="BR32" i="2"/>
  <c r="BR31" i="2"/>
  <c r="BP22" i="2"/>
  <c r="BN26" i="2"/>
  <c r="BP18" i="2"/>
  <c r="BP10" i="2"/>
  <c r="BN8" i="2"/>
  <c r="BP3" i="2"/>
  <c r="BP91" i="2"/>
  <c r="BP90" i="2"/>
  <c r="BN88" i="2"/>
  <c r="BN76" i="2"/>
  <c r="BR78" i="2"/>
  <c r="BR48" i="2"/>
  <c r="BP51" i="2"/>
  <c r="BP33" i="2"/>
  <c r="BN35" i="2"/>
  <c r="BN22" i="2"/>
  <c r="BR21" i="2"/>
  <c r="BR5" i="2"/>
  <c r="BR8" i="2"/>
  <c r="BR17" i="2"/>
  <c r="BR23" i="2"/>
  <c r="BR38" i="2"/>
  <c r="BR29" i="2"/>
  <c r="BR46" i="2"/>
  <c r="BR51" i="2"/>
  <c r="BR58" i="2"/>
  <c r="BR66" i="2"/>
  <c r="BR64" i="2"/>
  <c r="BR84" i="2"/>
  <c r="BR87" i="2"/>
  <c r="BR94" i="2"/>
  <c r="BR3" i="2"/>
  <c r="BN105" i="2"/>
  <c r="BN91" i="2"/>
  <c r="BR79" i="2"/>
  <c r="BP78" i="2"/>
  <c r="BN51" i="2"/>
  <c r="BR37" i="2"/>
  <c r="BP21" i="2"/>
  <c r="BP37" i="2"/>
  <c r="BN31" i="2"/>
  <c r="BN21" i="2"/>
  <c r="BR12" i="2"/>
  <c r="BP6" i="2"/>
  <c r="BP15" i="2"/>
  <c r="BP19" i="2"/>
  <c r="BP31" i="2"/>
  <c r="BP35" i="2"/>
  <c r="BP45" i="2"/>
  <c r="BP50" i="2"/>
  <c r="BP56" i="2"/>
  <c r="BP73" i="2"/>
  <c r="BP81" i="2"/>
  <c r="BP70" i="2"/>
  <c r="BP88" i="2"/>
  <c r="BP89" i="2"/>
  <c r="BP102" i="2"/>
  <c r="BR71" i="2"/>
  <c r="BP68" i="2"/>
  <c r="BN46" i="2"/>
  <c r="BR24" i="2"/>
  <c r="BR15" i="2"/>
  <c r="BP12" i="2"/>
  <c r="BN12" i="2"/>
  <c r="BR4" i="2"/>
  <c r="BP44" i="2"/>
  <c r="BP34" i="2"/>
  <c r="BR20" i="2"/>
  <c r="BR14" i="2"/>
  <c r="BP103" i="2"/>
  <c r="BN95" i="2"/>
  <c r="BP57" i="2"/>
  <c r="BN56" i="2"/>
  <c r="BR49" i="2"/>
  <c r="BR100" i="2"/>
  <c r="BR89" i="2"/>
  <c r="BN64" i="2"/>
  <c r="BN57" i="2"/>
  <c r="BR60" i="2"/>
  <c r="BR41" i="2"/>
  <c r="BN44" i="2"/>
  <c r="BP30" i="2"/>
  <c r="BN23" i="2"/>
  <c r="BR16" i="2"/>
  <c r="BN14" i="2"/>
  <c r="BR11" i="2"/>
  <c r="BN82" i="2"/>
  <c r="BR67" i="2"/>
  <c r="BN49" i="2"/>
  <c r="BP17" i="2"/>
  <c r="BN3" i="2"/>
  <c r="BP100" i="2"/>
  <c r="BP80" i="2"/>
  <c r="BN69" i="2"/>
  <c r="BP67" i="2"/>
  <c r="BP61" i="2"/>
  <c r="BR39" i="2"/>
  <c r="BR99" i="2"/>
  <c r="BP94" i="2"/>
  <c r="BP79" i="2"/>
  <c r="BN70" i="2"/>
  <c r="BN78" i="2"/>
  <c r="BR68" i="2"/>
  <c r="BR59" i="2"/>
  <c r="BP46" i="2"/>
  <c r="BR104" i="2"/>
  <c r="BP99" i="2"/>
  <c r="BP98" i="2"/>
  <c r="BP104" i="2"/>
  <c r="BR92" i="2"/>
  <c r="BP87" i="2"/>
  <c r="BP71" i="2"/>
  <c r="BN81" i="2"/>
  <c r="BN68" i="2"/>
  <c r="BR52" i="2"/>
  <c r="BR40" i="2"/>
  <c r="BP29" i="2"/>
  <c r="BP24" i="2"/>
  <c r="BN19" i="2"/>
  <c r="BN104" i="2"/>
  <c r="BN87" i="2"/>
  <c r="BR77" i="2"/>
  <c r="BP52" i="2"/>
  <c r="BN29" i="2"/>
  <c r="BR27" i="2"/>
  <c r="BR9" i="2"/>
  <c r="BR6" i="2"/>
  <c r="BP4" i="2"/>
  <c r="BN15" i="2"/>
  <c r="BN4" i="2"/>
  <c r="BJ95" i="2"/>
  <c r="BH103" i="2"/>
  <c r="BH23" i="2"/>
  <c r="AV103" i="2"/>
  <c r="AX103" i="2"/>
  <c r="AZ103" i="2"/>
  <c r="BB103" i="2"/>
  <c r="BD103" i="2"/>
  <c r="BF103" i="2"/>
  <c r="AL103" i="2"/>
  <c r="AP103" i="2"/>
  <c r="AR103" i="2"/>
  <c r="AT103" i="2"/>
  <c r="AJ103" i="2"/>
  <c r="AN103" i="2"/>
  <c r="AD103" i="2"/>
  <c r="AF103" i="2"/>
  <c r="AH103" i="2"/>
  <c r="BH104" i="2"/>
  <c r="BH37" i="2"/>
  <c r="BH29" i="2"/>
  <c r="BH76" i="2"/>
  <c r="BH73" i="2"/>
  <c r="BJ102" i="2"/>
  <c r="BH94" i="2"/>
  <c r="BH101" i="2"/>
  <c r="BJ13" i="2"/>
  <c r="BJ44" i="2"/>
  <c r="BJ40" i="2"/>
  <c r="BJ58" i="2"/>
  <c r="BJ85" i="2"/>
  <c r="BJ83" i="2"/>
  <c r="BJ105" i="2"/>
  <c r="BH6" i="2"/>
  <c r="BH16" i="2"/>
  <c r="BH49" i="2"/>
  <c r="BH50" i="2"/>
  <c r="BH66" i="2"/>
  <c r="BH71" i="2"/>
  <c r="BH92" i="2"/>
  <c r="BH9" i="2"/>
  <c r="BH20" i="2"/>
  <c r="BH45" i="2"/>
  <c r="BH52" i="2"/>
  <c r="BH65" i="2"/>
  <c r="BH81" i="2"/>
  <c r="BH100" i="2"/>
  <c r="BJ88" i="2"/>
  <c r="BJ23" i="2"/>
  <c r="BJ37" i="2"/>
  <c r="BJ29" i="2"/>
  <c r="BJ73" i="2"/>
  <c r="BJ76" i="2"/>
  <c r="BJ94" i="2"/>
  <c r="BH12" i="2"/>
  <c r="BH25" i="2"/>
  <c r="BH47" i="2"/>
  <c r="BH59" i="2"/>
  <c r="BH77" i="2"/>
  <c r="BH69" i="2"/>
  <c r="BH89" i="2"/>
  <c r="BJ6" i="2"/>
  <c r="BJ16" i="2"/>
  <c r="BJ49" i="2"/>
  <c r="BJ50" i="2"/>
  <c r="BJ66" i="2"/>
  <c r="BH15" i="2"/>
  <c r="BH22" i="2"/>
  <c r="BH32" i="2"/>
  <c r="BH54" i="2"/>
  <c r="BH67" i="2"/>
  <c r="BH70" i="2"/>
  <c r="BH97" i="2"/>
  <c r="BJ5" i="2"/>
  <c r="BJ27" i="2"/>
  <c r="BJ38" i="2"/>
  <c r="BJ60" i="2"/>
  <c r="BJ78" i="2"/>
  <c r="BJ84" i="2"/>
  <c r="BJ8" i="2"/>
  <c r="BJ26" i="2"/>
  <c r="BJ33" i="2"/>
  <c r="BJ51" i="2"/>
  <c r="BJ62" i="2"/>
  <c r="BJ80" i="2"/>
  <c r="BJ93" i="2"/>
  <c r="BL85" i="2"/>
  <c r="BH99" i="2"/>
  <c r="BL23" i="2"/>
  <c r="BH18" i="2"/>
  <c r="BH24" i="2"/>
  <c r="BH91" i="2"/>
  <c r="BH44" i="2"/>
  <c r="BH85" i="2"/>
  <c r="BJ15" i="2"/>
  <c r="BJ22" i="2"/>
  <c r="BJ32" i="2"/>
  <c r="BJ54" i="2"/>
  <c r="BJ67" i="2"/>
  <c r="BJ70" i="2"/>
  <c r="BJ97" i="2"/>
  <c r="BJ35" i="2"/>
  <c r="BJ18" i="2"/>
  <c r="BJ24" i="2"/>
  <c r="BJ28" i="2"/>
  <c r="BJ48" i="2"/>
  <c r="BJ53" i="2"/>
  <c r="BJ79" i="2"/>
  <c r="BJ91" i="2"/>
  <c r="BL84" i="2"/>
  <c r="BL11" i="2"/>
  <c r="BL91" i="2"/>
  <c r="BL6" i="2"/>
  <c r="BL16" i="2"/>
  <c r="BL49" i="2"/>
  <c r="BL50" i="2"/>
  <c r="BL92" i="2"/>
  <c r="BL98" i="2"/>
  <c r="BL5" i="2"/>
  <c r="BL27" i="2"/>
  <c r="BL38" i="2"/>
  <c r="BL60" i="2"/>
  <c r="BL78" i="2"/>
  <c r="BL95" i="2"/>
  <c r="BL18" i="2"/>
  <c r="BL8" i="2"/>
  <c r="BL26" i="2"/>
  <c r="BL33" i="2"/>
  <c r="BL51" i="2"/>
  <c r="BL62" i="2"/>
  <c r="BL80" i="2"/>
  <c r="BL93" i="2"/>
  <c r="BL13" i="2"/>
  <c r="BL20" i="2"/>
  <c r="BL45" i="2"/>
  <c r="BL52" i="2"/>
  <c r="BL65" i="2"/>
  <c r="BL81" i="2"/>
  <c r="BL100" i="2"/>
  <c r="BL24" i="2"/>
  <c r="BL12" i="2"/>
  <c r="BL47" i="2"/>
  <c r="BL59" i="2"/>
  <c r="BL77" i="2"/>
  <c r="BL69" i="2"/>
  <c r="BL89" i="2"/>
  <c r="BL44" i="2"/>
  <c r="BL15" i="2"/>
  <c r="BL22" i="2"/>
  <c r="BL32" i="2"/>
  <c r="BL54" i="2"/>
  <c r="BL67" i="2"/>
  <c r="BL70" i="2"/>
  <c r="BL97" i="2"/>
  <c r="BL28" i="2"/>
  <c r="BL10" i="2"/>
  <c r="BL30" i="2"/>
  <c r="BL46" i="2"/>
  <c r="BL42" i="2"/>
  <c r="BL61" i="2"/>
  <c r="BL102" i="2"/>
  <c r="BL40" i="2"/>
  <c r="BL14" i="2"/>
  <c r="BL35" i="2"/>
  <c r="BL55" i="2"/>
  <c r="BL56" i="2"/>
  <c r="BL64" i="2"/>
  <c r="BL86" i="2"/>
  <c r="BL99" i="2"/>
  <c r="BL48" i="2"/>
  <c r="BL58" i="2"/>
  <c r="BL71" i="2"/>
  <c r="BL25" i="2"/>
  <c r="BL88" i="2"/>
  <c r="BL53" i="2"/>
  <c r="BL68" i="2"/>
  <c r="BL83" i="2"/>
  <c r="BL9" i="2"/>
  <c r="BL66" i="2"/>
  <c r="BL79" i="2"/>
  <c r="BL90" i="2"/>
  <c r="BL7" i="2"/>
  <c r="BL101" i="2"/>
  <c r="BL82" i="2"/>
  <c r="BL74" i="2"/>
  <c r="BL63" i="2"/>
  <c r="BL41" i="2"/>
  <c r="BL36" i="2"/>
  <c r="BL17" i="2"/>
  <c r="BL104" i="2"/>
  <c r="BL106" i="2"/>
  <c r="BL87" i="2"/>
  <c r="BL72" i="2"/>
  <c r="BL43" i="2"/>
  <c r="BL31" i="2"/>
  <c r="BL21" i="2"/>
  <c r="BL19" i="2"/>
  <c r="BL34" i="2"/>
  <c r="BL39" i="2"/>
  <c r="BL57" i="2"/>
  <c r="BL75" i="2"/>
  <c r="BL37" i="2"/>
  <c r="BL29" i="2"/>
  <c r="BL73" i="2"/>
  <c r="BL76" i="2"/>
  <c r="BL94" i="2"/>
  <c r="BJ4" i="2"/>
  <c r="BJ12" i="2"/>
  <c r="BJ17" i="2"/>
  <c r="BJ25" i="2"/>
  <c r="BJ36" i="2"/>
  <c r="BJ47" i="2"/>
  <c r="BJ41" i="2"/>
  <c r="BJ59" i="2"/>
  <c r="BJ63" i="2"/>
  <c r="BJ77" i="2"/>
  <c r="BJ74" i="2"/>
  <c r="BJ69" i="2"/>
  <c r="BJ82" i="2"/>
  <c r="BJ89" i="2"/>
  <c r="BJ98" i="2"/>
  <c r="BJ7" i="2"/>
  <c r="BJ19" i="2"/>
  <c r="BJ34" i="2"/>
  <c r="BJ39" i="2"/>
  <c r="BJ57" i="2"/>
  <c r="BJ75" i="2"/>
  <c r="BJ90" i="2"/>
  <c r="BJ106" i="2"/>
  <c r="BJ14" i="2"/>
  <c r="BJ55" i="2"/>
  <c r="BJ56" i="2"/>
  <c r="BJ64" i="2"/>
  <c r="BJ71" i="2"/>
  <c r="BJ86" i="2"/>
  <c r="BJ92" i="2"/>
  <c r="BJ99" i="2"/>
  <c r="BJ9" i="2"/>
  <c r="BJ21" i="2"/>
  <c r="BJ20" i="2"/>
  <c r="BJ31" i="2"/>
  <c r="BJ45" i="2"/>
  <c r="BJ43" i="2"/>
  <c r="BJ52" i="2"/>
  <c r="BJ68" i="2"/>
  <c r="BJ65" i="2"/>
  <c r="BJ72" i="2"/>
  <c r="BJ81" i="2"/>
  <c r="BJ87" i="2"/>
  <c r="BJ100" i="2"/>
  <c r="BJ104" i="2"/>
  <c r="BJ11" i="2"/>
  <c r="BJ10" i="2"/>
  <c r="BJ30" i="2"/>
  <c r="BJ46" i="2"/>
  <c r="BJ42" i="2"/>
  <c r="BJ61" i="2"/>
  <c r="BH28" i="2"/>
  <c r="BH48" i="2"/>
  <c r="BH53" i="2"/>
  <c r="BH79" i="2"/>
  <c r="BH5" i="2"/>
  <c r="BH27" i="2"/>
  <c r="BH38" i="2"/>
  <c r="BH60" i="2"/>
  <c r="BH78" i="2"/>
  <c r="BH84" i="2"/>
  <c r="BH95" i="2"/>
  <c r="BH10" i="2"/>
  <c r="BH30" i="2"/>
  <c r="BH46" i="2"/>
  <c r="BH42" i="2"/>
  <c r="BH61" i="2"/>
  <c r="BH88" i="2"/>
  <c r="BH102" i="2"/>
  <c r="BH4" i="2"/>
  <c r="BH17" i="2"/>
  <c r="BH36" i="2"/>
  <c r="BH41" i="2"/>
  <c r="BH63" i="2"/>
  <c r="BH74" i="2"/>
  <c r="BH82" i="2"/>
  <c r="BH98" i="2"/>
  <c r="BH8" i="2"/>
  <c r="BH26" i="2"/>
  <c r="BH33" i="2"/>
  <c r="BH51" i="2"/>
  <c r="BH62" i="2"/>
  <c r="BH80" i="2"/>
  <c r="BH93" i="2"/>
  <c r="BH14" i="2"/>
  <c r="BH35" i="2"/>
  <c r="BH55" i="2"/>
  <c r="BH56" i="2"/>
  <c r="BH64" i="2"/>
  <c r="BH86" i="2"/>
  <c r="BH7" i="2"/>
  <c r="BH19" i="2"/>
  <c r="BH34" i="2"/>
  <c r="BH39" i="2"/>
  <c r="BH57" i="2"/>
  <c r="BH75" i="2"/>
  <c r="BH90" i="2"/>
  <c r="BH106" i="2"/>
  <c r="BH11" i="2"/>
  <c r="BH13" i="2"/>
  <c r="BH40" i="2"/>
  <c r="BH58" i="2"/>
  <c r="BH83" i="2"/>
  <c r="BH105" i="2"/>
  <c r="BH21" i="2"/>
  <c r="BH31" i="2"/>
  <c r="BH43" i="2"/>
  <c r="BH68" i="2"/>
  <c r="BH72" i="2"/>
  <c r="BH87" i="2"/>
  <c r="BL4" i="2"/>
  <c r="BL3" i="2"/>
  <c r="BJ3" i="2"/>
  <c r="BL105" i="2"/>
  <c r="BH3" i="2"/>
  <c r="BJ101" i="2"/>
  <c r="AZ93" i="2"/>
  <c r="AV13" i="2"/>
  <c r="AX14" i="2"/>
  <c r="BD77" i="2"/>
  <c r="BD70" i="2"/>
  <c r="BB72" i="2"/>
  <c r="BB84" i="2"/>
  <c r="BF42" i="2"/>
  <c r="BD78" i="2"/>
  <c r="BB80" i="2"/>
  <c r="BF84" i="2"/>
  <c r="BD80" i="2"/>
  <c r="BB64" i="2"/>
  <c r="BD63" i="2"/>
  <c r="BB67" i="2"/>
  <c r="BD48" i="2"/>
  <c r="BB29" i="2"/>
  <c r="BB59" i="2"/>
  <c r="BF48" i="2"/>
  <c r="BF41" i="2"/>
  <c r="BD59" i="2"/>
  <c r="BF36" i="2"/>
  <c r="BD52" i="2"/>
  <c r="BD12" i="2"/>
  <c r="BB73" i="2"/>
  <c r="BB4" i="2"/>
  <c r="BF6" i="2"/>
  <c r="BD18" i="2"/>
  <c r="BB27" i="2"/>
  <c r="BF26" i="2"/>
  <c r="BD20" i="2"/>
  <c r="BB38" i="2"/>
  <c r="BF28" i="2"/>
  <c r="BD46" i="2"/>
  <c r="BB43" i="2"/>
  <c r="BF45" i="2"/>
  <c r="BD68" i="2"/>
  <c r="BB66" i="2"/>
  <c r="BD4" i="2"/>
  <c r="BB8" i="2"/>
  <c r="BF18" i="2"/>
  <c r="BD27" i="2"/>
  <c r="BB23" i="2"/>
  <c r="BF20" i="2"/>
  <c r="BD38" i="2"/>
  <c r="BB31" i="2"/>
  <c r="BF46" i="2"/>
  <c r="BD43" i="2"/>
  <c r="BB40" i="2"/>
  <c r="BF68" i="2"/>
  <c r="BD66" i="2"/>
  <c r="BB65" i="2"/>
  <c r="BF53" i="2"/>
  <c r="BD88" i="2"/>
  <c r="BB70" i="2"/>
  <c r="BF4" i="2"/>
  <c r="BD8" i="2"/>
  <c r="BB10" i="2"/>
  <c r="BF27" i="2"/>
  <c r="BD23" i="2"/>
  <c r="BB35" i="2"/>
  <c r="BF38" i="2"/>
  <c r="BD31" i="2"/>
  <c r="BB60" i="2"/>
  <c r="BF43" i="2"/>
  <c r="BD40" i="2"/>
  <c r="BB42" i="2"/>
  <c r="BF66" i="2"/>
  <c r="BD65" i="2"/>
  <c r="BB77" i="2"/>
  <c r="BF88" i="2"/>
  <c r="BB7" i="2"/>
  <c r="BF8" i="2"/>
  <c r="BD10" i="2"/>
  <c r="BB21" i="2"/>
  <c r="BF23" i="2"/>
  <c r="BD35" i="2"/>
  <c r="BB30" i="2"/>
  <c r="BF31" i="2"/>
  <c r="BD60" i="2"/>
  <c r="BB39" i="2"/>
  <c r="BF40" i="2"/>
  <c r="BD42" i="2"/>
  <c r="BB78" i="2"/>
  <c r="BF65" i="2"/>
  <c r="BD7" i="2"/>
  <c r="BB9" i="2"/>
  <c r="BF10" i="2"/>
  <c r="BD21" i="2"/>
  <c r="BB25" i="2"/>
  <c r="BF35" i="2"/>
  <c r="BD30" i="2"/>
  <c r="BB34" i="2"/>
  <c r="BF60" i="2"/>
  <c r="BD39" i="2"/>
  <c r="BB56" i="2"/>
  <c r="BF7" i="2"/>
  <c r="BD9" i="2"/>
  <c r="BB14" i="2"/>
  <c r="BF21" i="2"/>
  <c r="BD25" i="2"/>
  <c r="BB37" i="2"/>
  <c r="BF30" i="2"/>
  <c r="BD34" i="2"/>
  <c r="BB47" i="2"/>
  <c r="BF39" i="2"/>
  <c r="BD56" i="2"/>
  <c r="BB54" i="2"/>
  <c r="BF78" i="2"/>
  <c r="BD62" i="2"/>
  <c r="BB5" i="2"/>
  <c r="BF9" i="2"/>
  <c r="BD14" i="2"/>
  <c r="BB19" i="2"/>
  <c r="BF25" i="2"/>
  <c r="BD37" i="2"/>
  <c r="BB49" i="2"/>
  <c r="BF34" i="2"/>
  <c r="BD47" i="2"/>
  <c r="BB50" i="2"/>
  <c r="BF56" i="2"/>
  <c r="BD54" i="2"/>
  <c r="BB63" i="2"/>
  <c r="BF62" i="2"/>
  <c r="BD5" i="2"/>
  <c r="BB15" i="2"/>
  <c r="BF14" i="2"/>
  <c r="BD19" i="2"/>
  <c r="BB44" i="2"/>
  <c r="BF37" i="2"/>
  <c r="BD49" i="2"/>
  <c r="BB33" i="2"/>
  <c r="BF47" i="2"/>
  <c r="BD50" i="2"/>
  <c r="BB48" i="2"/>
  <c r="BF54" i="2"/>
  <c r="BF5" i="2"/>
  <c r="BD15" i="2"/>
  <c r="BB17" i="2"/>
  <c r="BF19" i="2"/>
  <c r="BD44" i="2"/>
  <c r="BB24" i="2"/>
  <c r="BF49" i="2"/>
  <c r="BD33" i="2"/>
  <c r="BB41" i="2"/>
  <c r="BF50" i="2"/>
  <c r="BB11" i="2"/>
  <c r="BF15" i="2"/>
  <c r="BD17" i="2"/>
  <c r="BB16" i="2"/>
  <c r="BF44" i="2"/>
  <c r="BD24" i="2"/>
  <c r="BB36" i="2"/>
  <c r="BF33" i="2"/>
  <c r="BD41" i="2"/>
  <c r="BD11" i="2"/>
  <c r="BB12" i="2"/>
  <c r="BF17" i="2"/>
  <c r="BD16" i="2"/>
  <c r="BB22" i="2"/>
  <c r="BF24" i="2"/>
  <c r="BD36" i="2"/>
  <c r="BB32" i="2"/>
  <c r="BF11" i="2"/>
  <c r="BB13" i="2"/>
  <c r="BF16" i="2"/>
  <c r="BD22" i="2"/>
  <c r="BB55" i="2"/>
  <c r="BF73" i="2"/>
  <c r="BD53" i="2"/>
  <c r="BB88" i="2"/>
  <c r="BF71" i="2"/>
  <c r="BD83" i="2"/>
  <c r="BB95" i="2"/>
  <c r="BF100" i="2"/>
  <c r="BD102" i="2"/>
  <c r="BB98" i="2"/>
  <c r="BF83" i="2"/>
  <c r="BD95" i="2"/>
  <c r="BB89" i="2"/>
  <c r="BF102" i="2"/>
  <c r="BD98" i="2"/>
  <c r="BF95" i="2"/>
  <c r="BD89" i="2"/>
  <c r="BB99" i="2"/>
  <c r="BF98" i="2"/>
  <c r="BF70" i="2"/>
  <c r="BD72" i="2"/>
  <c r="BB94" i="2"/>
  <c r="BF89" i="2"/>
  <c r="BD99" i="2"/>
  <c r="BB106" i="2"/>
  <c r="BB62" i="2"/>
  <c r="BF77" i="2"/>
  <c r="BD84" i="2"/>
  <c r="BB74" i="2"/>
  <c r="BF72" i="2"/>
  <c r="BD94" i="2"/>
  <c r="BB69" i="2"/>
  <c r="BF99" i="2"/>
  <c r="BD106" i="2"/>
  <c r="BD74" i="2"/>
  <c r="BB90" i="2"/>
  <c r="BF94" i="2"/>
  <c r="BD69" i="2"/>
  <c r="BB91" i="2"/>
  <c r="BF106" i="2"/>
  <c r="BF74" i="2"/>
  <c r="BD90" i="2"/>
  <c r="BB92" i="2"/>
  <c r="BF69" i="2"/>
  <c r="BD91" i="2"/>
  <c r="BB101" i="2"/>
  <c r="BF80" i="2"/>
  <c r="BD64" i="2"/>
  <c r="BB75" i="2"/>
  <c r="BF90" i="2"/>
  <c r="BD92" i="2"/>
  <c r="BB93" i="2"/>
  <c r="BF91" i="2"/>
  <c r="BD101" i="2"/>
  <c r="BF63" i="2"/>
  <c r="BD67" i="2"/>
  <c r="BB81" i="2"/>
  <c r="BF64" i="2"/>
  <c r="BD75" i="2"/>
  <c r="BB87" i="2"/>
  <c r="BF92" i="2"/>
  <c r="BD93" i="2"/>
  <c r="BB105" i="2"/>
  <c r="BF101" i="2"/>
  <c r="BD29" i="2"/>
  <c r="BB57" i="2"/>
  <c r="BF67" i="2"/>
  <c r="BD81" i="2"/>
  <c r="BB79" i="2"/>
  <c r="BF75" i="2"/>
  <c r="BD87" i="2"/>
  <c r="BB85" i="2"/>
  <c r="BF93" i="2"/>
  <c r="BD105" i="2"/>
  <c r="BB52" i="2"/>
  <c r="BF29" i="2"/>
  <c r="BD57" i="2"/>
  <c r="BB61" i="2"/>
  <c r="BF81" i="2"/>
  <c r="BD79" i="2"/>
  <c r="BB82" i="2"/>
  <c r="BF87" i="2"/>
  <c r="BD85" i="2"/>
  <c r="BB97" i="2"/>
  <c r="BF105" i="2"/>
  <c r="BB58" i="2"/>
  <c r="BF57" i="2"/>
  <c r="BD61" i="2"/>
  <c r="BB76" i="2"/>
  <c r="BF79" i="2"/>
  <c r="BD82" i="2"/>
  <c r="BB86" i="2"/>
  <c r="BF85" i="2"/>
  <c r="BD97" i="2"/>
  <c r="BB104" i="2"/>
  <c r="BF61" i="2"/>
  <c r="BD76" i="2"/>
  <c r="BB71" i="2"/>
  <c r="BF82" i="2"/>
  <c r="BD86" i="2"/>
  <c r="BB100" i="2"/>
  <c r="BF97" i="2"/>
  <c r="BD104" i="2"/>
  <c r="BD32" i="2"/>
  <c r="BB51" i="2"/>
  <c r="BF59" i="2"/>
  <c r="BB6" i="2"/>
  <c r="BF12" i="2"/>
  <c r="BD13" i="2"/>
  <c r="BB26" i="2"/>
  <c r="BF22" i="2"/>
  <c r="BD55" i="2"/>
  <c r="BB28" i="2"/>
  <c r="BF32" i="2"/>
  <c r="BD51" i="2"/>
  <c r="BB45" i="2"/>
  <c r="BF52" i="2"/>
  <c r="BD58" i="2"/>
  <c r="BD6" i="2"/>
  <c r="BB18" i="2"/>
  <c r="BF13" i="2"/>
  <c r="BD26" i="2"/>
  <c r="BB20" i="2"/>
  <c r="BF55" i="2"/>
  <c r="BD28" i="2"/>
  <c r="BB46" i="2"/>
  <c r="BF51" i="2"/>
  <c r="BD45" i="2"/>
  <c r="BB68" i="2"/>
  <c r="BF58" i="2"/>
  <c r="BD73" i="2"/>
  <c r="BB53" i="2"/>
  <c r="BF76" i="2"/>
  <c r="BD71" i="2"/>
  <c r="BB83" i="2"/>
  <c r="BF86" i="2"/>
  <c r="BD100" i="2"/>
  <c r="BB102" i="2"/>
  <c r="BF104" i="2"/>
  <c r="BB3" i="2"/>
  <c r="BF3" i="2"/>
  <c r="BD3" i="2"/>
  <c r="AX72" i="2"/>
  <c r="AV15" i="2"/>
  <c r="AV36" i="2"/>
  <c r="AV40" i="2"/>
  <c r="AV54" i="2"/>
  <c r="AV77" i="2"/>
  <c r="AV90" i="2"/>
  <c r="AV69" i="2"/>
  <c r="AX17" i="2"/>
  <c r="AX44" i="2"/>
  <c r="AX32" i="2"/>
  <c r="AX52" i="2"/>
  <c r="AX67" i="2"/>
  <c r="AX94" i="2"/>
  <c r="AX93" i="2"/>
  <c r="AZ9" i="2"/>
  <c r="AZ26" i="2"/>
  <c r="AZ34" i="2"/>
  <c r="AZ45" i="2"/>
  <c r="AZ65" i="2"/>
  <c r="AZ83" i="2"/>
  <c r="AZ102" i="2"/>
  <c r="AV60" i="2"/>
  <c r="AV50" i="2"/>
  <c r="AV78" i="2"/>
  <c r="AV79" i="2"/>
  <c r="AV85" i="2"/>
  <c r="AV98" i="2"/>
  <c r="AX28" i="2"/>
  <c r="AX59" i="2"/>
  <c r="AX66" i="2"/>
  <c r="AX61" i="2"/>
  <c r="AX87" i="2"/>
  <c r="AX104" i="2"/>
  <c r="AZ18" i="2"/>
  <c r="AZ55" i="2"/>
  <c r="AZ30" i="2"/>
  <c r="AZ29" i="2"/>
  <c r="AZ73" i="2"/>
  <c r="AZ86" i="2"/>
  <c r="AZ91" i="2"/>
  <c r="AV4" i="2"/>
  <c r="AV27" i="2"/>
  <c r="AV49" i="2"/>
  <c r="AV43" i="2"/>
  <c r="AV48" i="2"/>
  <c r="AV70" i="2"/>
  <c r="AV82" i="2"/>
  <c r="AV105" i="2"/>
  <c r="AX10" i="2"/>
  <c r="AX21" i="2"/>
  <c r="AX51" i="2"/>
  <c r="AX42" i="2"/>
  <c r="AX88" i="2"/>
  <c r="AX92" i="2"/>
  <c r="AX97" i="2"/>
  <c r="AZ8" i="2"/>
  <c r="AZ37" i="2"/>
  <c r="AZ33" i="2"/>
  <c r="AZ56" i="2"/>
  <c r="AZ81" i="2"/>
  <c r="AZ95" i="2"/>
  <c r="AV5" i="2"/>
  <c r="AV19" i="2"/>
  <c r="AV38" i="2"/>
  <c r="AV39" i="2"/>
  <c r="AV58" i="2"/>
  <c r="AV74" i="2"/>
  <c r="AV100" i="2"/>
  <c r="AV106" i="2"/>
  <c r="AX15" i="2"/>
  <c r="AX36" i="2"/>
  <c r="AX40" i="2"/>
  <c r="AX54" i="2"/>
  <c r="AX77" i="2"/>
  <c r="AX90" i="2"/>
  <c r="AX69" i="2"/>
  <c r="AZ17" i="2"/>
  <c r="AZ44" i="2"/>
  <c r="AZ32" i="2"/>
  <c r="AZ52" i="2"/>
  <c r="AZ67" i="2"/>
  <c r="AZ94" i="2"/>
  <c r="AV11" i="2"/>
  <c r="AV22" i="2"/>
  <c r="AV35" i="2"/>
  <c r="AV41" i="2"/>
  <c r="AV57" i="2"/>
  <c r="AV80" i="2"/>
  <c r="AV89" i="2"/>
  <c r="AV101" i="2"/>
  <c r="AX13" i="2"/>
  <c r="AX60" i="2"/>
  <c r="AX50" i="2"/>
  <c r="AX78" i="2"/>
  <c r="AX79" i="2"/>
  <c r="AX85" i="2"/>
  <c r="AX98" i="2"/>
  <c r="AZ14" i="2"/>
  <c r="AZ28" i="2"/>
  <c r="AZ59" i="2"/>
  <c r="AZ66" i="2"/>
  <c r="AZ61" i="2"/>
  <c r="AZ87" i="2"/>
  <c r="AZ104" i="2"/>
  <c r="AV7" i="2"/>
  <c r="AV23" i="2"/>
  <c r="AV31" i="2"/>
  <c r="AV46" i="2"/>
  <c r="AV63" i="2"/>
  <c r="AV84" i="2"/>
  <c r="AV75" i="2"/>
  <c r="AX4" i="2"/>
  <c r="AX27" i="2"/>
  <c r="AX49" i="2"/>
  <c r="AX43" i="2"/>
  <c r="AX48" i="2"/>
  <c r="AX70" i="2"/>
  <c r="AX82" i="2"/>
  <c r="AX105" i="2"/>
  <c r="AZ10" i="2"/>
  <c r="AZ21" i="2"/>
  <c r="AZ51" i="2"/>
  <c r="AZ42" i="2"/>
  <c r="AZ88" i="2"/>
  <c r="AZ92" i="2"/>
  <c r="AZ97" i="2"/>
  <c r="AV6" i="2"/>
  <c r="AV16" i="2"/>
  <c r="AV20" i="2"/>
  <c r="AV68" i="2"/>
  <c r="AV53" i="2"/>
  <c r="AV76" i="2"/>
  <c r="AV71" i="2"/>
  <c r="AX5" i="2"/>
  <c r="AX19" i="2"/>
  <c r="AX38" i="2"/>
  <c r="AX39" i="2"/>
  <c r="AX58" i="2"/>
  <c r="AX74" i="2"/>
  <c r="AX100" i="2"/>
  <c r="AX106" i="2"/>
  <c r="AZ15" i="2"/>
  <c r="AZ36" i="2"/>
  <c r="AZ40" i="2"/>
  <c r="AZ54" i="2"/>
  <c r="AZ77" i="2"/>
  <c r="AZ90" i="2"/>
  <c r="AZ69" i="2"/>
  <c r="AV12" i="2"/>
  <c r="AV25" i="2"/>
  <c r="AV24" i="2"/>
  <c r="AV47" i="2"/>
  <c r="AV62" i="2"/>
  <c r="AV64" i="2"/>
  <c r="AV99" i="2"/>
  <c r="AX11" i="2"/>
  <c r="AX22" i="2"/>
  <c r="AX35" i="2"/>
  <c r="AX41" i="2"/>
  <c r="AX57" i="2"/>
  <c r="AX80" i="2"/>
  <c r="AX89" i="2"/>
  <c r="AX101" i="2"/>
  <c r="AZ13" i="2"/>
  <c r="AZ60" i="2"/>
  <c r="AZ50" i="2"/>
  <c r="AZ78" i="2"/>
  <c r="AZ79" i="2"/>
  <c r="AZ85" i="2"/>
  <c r="AZ98" i="2"/>
  <c r="AV26" i="2"/>
  <c r="AV34" i="2"/>
  <c r="AV45" i="2"/>
  <c r="AV65" i="2"/>
  <c r="AV83" i="2"/>
  <c r="AV102" i="2"/>
  <c r="AX7" i="2"/>
  <c r="AX23" i="2"/>
  <c r="AX31" i="2"/>
  <c r="AX46" i="2"/>
  <c r="AX63" i="2"/>
  <c r="AX84" i="2"/>
  <c r="AX75" i="2"/>
  <c r="AZ4" i="2"/>
  <c r="AZ27" i="2"/>
  <c r="AZ49" i="2"/>
  <c r="AZ43" i="2"/>
  <c r="AZ48" i="2"/>
  <c r="AZ70" i="2"/>
  <c r="AZ82" i="2"/>
  <c r="AZ105" i="2"/>
  <c r="AV18" i="2"/>
  <c r="AV55" i="2"/>
  <c r="AV30" i="2"/>
  <c r="AV29" i="2"/>
  <c r="AV73" i="2"/>
  <c r="AV86" i="2"/>
  <c r="AV91" i="2"/>
  <c r="AX6" i="2"/>
  <c r="AX16" i="2"/>
  <c r="AX20" i="2"/>
  <c r="AX68" i="2"/>
  <c r="AX53" i="2"/>
  <c r="AX76" i="2"/>
  <c r="AX71" i="2"/>
  <c r="AZ5" i="2"/>
  <c r="AZ19" i="2"/>
  <c r="AZ38" i="2"/>
  <c r="AZ39" i="2"/>
  <c r="AZ58" i="2"/>
  <c r="AZ74" i="2"/>
  <c r="AZ100" i="2"/>
  <c r="AZ106" i="2"/>
  <c r="AV8" i="2"/>
  <c r="AV37" i="2"/>
  <c r="AV33" i="2"/>
  <c r="AV56" i="2"/>
  <c r="AV81" i="2"/>
  <c r="AV95" i="2"/>
  <c r="AV72" i="2"/>
  <c r="AX12" i="2"/>
  <c r="AX25" i="2"/>
  <c r="AX24" i="2"/>
  <c r="AX47" i="2"/>
  <c r="AX62" i="2"/>
  <c r="AX64" i="2"/>
  <c r="AX99" i="2"/>
  <c r="AZ11" i="2"/>
  <c r="AZ22" i="2"/>
  <c r="AZ35" i="2"/>
  <c r="AZ41" i="2"/>
  <c r="AZ57" i="2"/>
  <c r="AZ80" i="2"/>
  <c r="AZ89" i="2"/>
  <c r="AV17" i="2"/>
  <c r="AV44" i="2"/>
  <c r="AV32" i="2"/>
  <c r="AV52" i="2"/>
  <c r="AV67" i="2"/>
  <c r="AV94" i="2"/>
  <c r="AV93" i="2"/>
  <c r="AX9" i="2"/>
  <c r="AX26" i="2"/>
  <c r="AX34" i="2"/>
  <c r="AX45" i="2"/>
  <c r="AX65" i="2"/>
  <c r="AX83" i="2"/>
  <c r="AX102" i="2"/>
  <c r="AV14" i="2"/>
  <c r="AV28" i="2"/>
  <c r="AV59" i="2"/>
  <c r="AV66" i="2"/>
  <c r="AV61" i="2"/>
  <c r="AV87" i="2"/>
  <c r="AV104" i="2"/>
  <c r="AX18" i="2"/>
  <c r="AX55" i="2"/>
  <c r="AX30" i="2"/>
  <c r="AX29" i="2"/>
  <c r="AX73" i="2"/>
  <c r="AX86" i="2"/>
  <c r="AX91" i="2"/>
  <c r="AZ6" i="2"/>
  <c r="AZ16" i="2"/>
  <c r="AZ20" i="2"/>
  <c r="AZ68" i="2"/>
  <c r="AZ53" i="2"/>
  <c r="AZ101" i="2"/>
  <c r="AZ7" i="2"/>
  <c r="AZ23" i="2"/>
  <c r="AZ31" i="2"/>
  <c r="AZ46" i="2"/>
  <c r="AZ63" i="2"/>
  <c r="AZ84" i="2"/>
  <c r="AZ75" i="2"/>
  <c r="AZ76" i="2"/>
  <c r="AZ71" i="2"/>
  <c r="AV3" i="2"/>
  <c r="AV10" i="2"/>
  <c r="AV21" i="2"/>
  <c r="AV51" i="2"/>
  <c r="AV42" i="2"/>
  <c r="AV88" i="2"/>
  <c r="AV92" i="2"/>
  <c r="AV97" i="2"/>
  <c r="AX8" i="2"/>
  <c r="AX37" i="2"/>
  <c r="AX33" i="2"/>
  <c r="AX56" i="2"/>
  <c r="AX81" i="2"/>
  <c r="AX95" i="2"/>
  <c r="AZ12" i="2"/>
  <c r="AZ25" i="2"/>
  <c r="AZ24" i="2"/>
  <c r="AZ47" i="2"/>
  <c r="AZ62" i="2"/>
  <c r="AZ64" i="2"/>
  <c r="AZ99" i="2"/>
  <c r="AX3" i="2"/>
  <c r="AZ72" i="2"/>
  <c r="AV9" i="2"/>
  <c r="AZ3" i="2"/>
  <c r="AD71" i="2"/>
  <c r="AF71" i="2"/>
  <c r="AJ71" i="2"/>
  <c r="AL71" i="2"/>
  <c r="AN71" i="2"/>
  <c r="AD69" i="2"/>
  <c r="AP71" i="2"/>
  <c r="AF69" i="2"/>
  <c r="AR71" i="2"/>
  <c r="AH71" i="2"/>
  <c r="AT71" i="2"/>
  <c r="AJ69" i="2"/>
  <c r="AL69" i="2"/>
  <c r="AN69" i="2"/>
  <c r="AR69" i="2"/>
  <c r="AP69" i="2"/>
  <c r="AT69" i="2"/>
  <c r="AH69" i="2"/>
  <c r="AR11" i="2"/>
  <c r="AP18" i="2"/>
  <c r="AT22" i="2"/>
  <c r="AP11" i="2"/>
  <c r="AT9" i="2"/>
  <c r="AR22" i="2"/>
  <c r="AP55" i="2"/>
  <c r="AT37" i="2"/>
  <c r="AR35" i="2"/>
  <c r="AP38" i="2"/>
  <c r="AT33" i="2"/>
  <c r="AR59" i="2"/>
  <c r="AP29" i="2"/>
  <c r="AT68" i="2"/>
  <c r="AR66" i="2"/>
  <c r="AP62" i="2"/>
  <c r="AT72" i="2"/>
  <c r="AR70" i="2"/>
  <c r="AP79" i="2"/>
  <c r="AT86" i="2"/>
  <c r="AR87" i="2"/>
  <c r="AP102" i="2"/>
  <c r="AT93" i="2"/>
  <c r="AR99" i="2"/>
  <c r="AR55" i="2"/>
  <c r="AP60" i="2"/>
  <c r="AT35" i="2"/>
  <c r="AR38" i="2"/>
  <c r="AP21" i="2"/>
  <c r="AT59" i="2"/>
  <c r="AR29" i="2"/>
  <c r="AP47" i="2"/>
  <c r="AT66" i="2"/>
  <c r="AR62" i="2"/>
  <c r="AP65" i="2"/>
  <c r="AT70" i="2"/>
  <c r="AR79" i="2"/>
  <c r="AP95" i="2"/>
  <c r="AT87" i="2"/>
  <c r="AR102" i="2"/>
  <c r="AP104" i="2"/>
  <c r="AT99" i="2"/>
  <c r="AT11" i="2"/>
  <c r="AR18" i="2"/>
  <c r="AP14" i="2"/>
  <c r="AT55" i="2"/>
  <c r="AR60" i="2"/>
  <c r="AP49" i="2"/>
  <c r="AT38" i="2"/>
  <c r="AR21" i="2"/>
  <c r="AP39" i="2"/>
  <c r="AT29" i="2"/>
  <c r="AR47" i="2"/>
  <c r="AP42" i="2"/>
  <c r="AT62" i="2"/>
  <c r="AR65" i="2"/>
  <c r="AP73" i="2"/>
  <c r="AT79" i="2"/>
  <c r="AR95" i="2"/>
  <c r="AP94" i="2"/>
  <c r="AT102" i="2"/>
  <c r="AR104" i="2"/>
  <c r="AP106" i="2"/>
  <c r="AP6" i="2"/>
  <c r="AT18" i="2"/>
  <c r="AR14" i="2"/>
  <c r="AP28" i="2"/>
  <c r="AT60" i="2"/>
  <c r="AR49" i="2"/>
  <c r="AP24" i="2"/>
  <c r="AT21" i="2"/>
  <c r="AR39" i="2"/>
  <c r="AP56" i="2"/>
  <c r="AT47" i="2"/>
  <c r="AR42" i="2"/>
  <c r="AP63" i="2"/>
  <c r="AT65" i="2"/>
  <c r="AR73" i="2"/>
  <c r="AP76" i="2"/>
  <c r="AT95" i="2"/>
  <c r="AR94" i="2"/>
  <c r="AP90" i="2"/>
  <c r="AT104" i="2"/>
  <c r="AR106" i="2"/>
  <c r="AR6" i="2"/>
  <c r="AP8" i="2"/>
  <c r="AT14" i="2"/>
  <c r="AR28" i="2"/>
  <c r="AP25" i="2"/>
  <c r="AT49" i="2"/>
  <c r="AR24" i="2"/>
  <c r="AP30" i="2"/>
  <c r="AT39" i="2"/>
  <c r="AR56" i="2"/>
  <c r="AP78" i="2"/>
  <c r="AT42" i="2"/>
  <c r="AR63" i="2"/>
  <c r="AP61" i="2"/>
  <c r="AT73" i="2"/>
  <c r="AR76" i="2"/>
  <c r="AP74" i="2"/>
  <c r="AT94" i="2"/>
  <c r="AR90" i="2"/>
  <c r="AP98" i="2"/>
  <c r="AT106" i="2"/>
  <c r="AP4" i="2"/>
  <c r="AT6" i="2"/>
  <c r="AR8" i="2"/>
  <c r="AP10" i="2"/>
  <c r="AT28" i="2"/>
  <c r="AR25" i="2"/>
  <c r="AP44" i="2"/>
  <c r="AT24" i="2"/>
  <c r="AR30" i="2"/>
  <c r="AP46" i="2"/>
  <c r="AT56" i="2"/>
  <c r="AR78" i="2"/>
  <c r="AP58" i="2"/>
  <c r="AT63" i="2"/>
  <c r="AR61" i="2"/>
  <c r="AP67" i="2"/>
  <c r="AT76" i="2"/>
  <c r="AR74" i="2"/>
  <c r="AP100" i="2"/>
  <c r="AT90" i="2"/>
  <c r="AR98" i="2"/>
  <c r="AP101" i="2"/>
  <c r="AR4" i="2"/>
  <c r="AP12" i="2"/>
  <c r="AT8" i="2"/>
  <c r="AR10" i="2"/>
  <c r="AP23" i="2"/>
  <c r="AT25" i="2"/>
  <c r="AR44" i="2"/>
  <c r="AP34" i="2"/>
  <c r="AT30" i="2"/>
  <c r="AR46" i="2"/>
  <c r="AP45" i="2"/>
  <c r="AT78" i="2"/>
  <c r="AR58" i="2"/>
  <c r="AP81" i="2"/>
  <c r="AT61" i="2"/>
  <c r="AR67" i="2"/>
  <c r="AP83" i="2"/>
  <c r="AT74" i="2"/>
  <c r="AR100" i="2"/>
  <c r="AP75" i="2"/>
  <c r="AT98" i="2"/>
  <c r="AR101" i="2"/>
  <c r="AT4" i="2"/>
  <c r="AR12" i="2"/>
  <c r="AP17" i="2"/>
  <c r="AT10" i="2"/>
  <c r="AR23" i="2"/>
  <c r="AP26" i="2"/>
  <c r="AT44" i="2"/>
  <c r="AR34" i="2"/>
  <c r="AP32" i="2"/>
  <c r="AT46" i="2"/>
  <c r="AR45" i="2"/>
  <c r="AP52" i="2"/>
  <c r="AT58" i="2"/>
  <c r="AR81" i="2"/>
  <c r="AP77" i="2"/>
  <c r="AT67" i="2"/>
  <c r="AR83" i="2"/>
  <c r="AP85" i="2"/>
  <c r="AT100" i="2"/>
  <c r="AR75" i="2"/>
  <c r="AP97" i="2"/>
  <c r="AT101" i="2"/>
  <c r="AP5" i="2"/>
  <c r="AT12" i="2"/>
  <c r="AR17" i="2"/>
  <c r="AP13" i="2"/>
  <c r="AT23" i="2"/>
  <c r="AR26" i="2"/>
  <c r="AP20" i="2"/>
  <c r="AT34" i="2"/>
  <c r="AR32" i="2"/>
  <c r="AP43" i="2"/>
  <c r="AT45" i="2"/>
  <c r="AR52" i="2"/>
  <c r="AP53" i="2"/>
  <c r="AT81" i="2"/>
  <c r="AR77" i="2"/>
  <c r="AP84" i="2"/>
  <c r="AT83" i="2"/>
  <c r="AR85" i="2"/>
  <c r="AP92" i="2"/>
  <c r="AT75" i="2"/>
  <c r="AR97" i="2"/>
  <c r="AR5" i="2"/>
  <c r="AP27" i="2"/>
  <c r="AT17" i="2"/>
  <c r="AR13" i="2"/>
  <c r="AP16" i="2"/>
  <c r="AT26" i="2"/>
  <c r="AR20" i="2"/>
  <c r="AP51" i="2"/>
  <c r="AT32" i="2"/>
  <c r="AR43" i="2"/>
  <c r="AP40" i="2"/>
  <c r="AT52" i="2"/>
  <c r="AR53" i="2"/>
  <c r="AP57" i="2"/>
  <c r="AT77" i="2"/>
  <c r="AR84" i="2"/>
  <c r="AP64" i="2"/>
  <c r="AT85" i="2"/>
  <c r="AR92" i="2"/>
  <c r="AP91" i="2"/>
  <c r="AT97" i="2"/>
  <c r="AT5" i="2"/>
  <c r="AR27" i="2"/>
  <c r="AP15" i="2"/>
  <c r="AT13" i="2"/>
  <c r="AR16" i="2"/>
  <c r="AP36" i="2"/>
  <c r="AT20" i="2"/>
  <c r="AR51" i="2"/>
  <c r="AP50" i="2"/>
  <c r="AT43" i="2"/>
  <c r="AR40" i="2"/>
  <c r="AP54" i="2"/>
  <c r="AT53" i="2"/>
  <c r="AR57" i="2"/>
  <c r="AP88" i="2"/>
  <c r="AT84" i="2"/>
  <c r="AR64" i="2"/>
  <c r="AP82" i="2"/>
  <c r="AT92" i="2"/>
  <c r="AR91" i="2"/>
  <c r="AP105" i="2"/>
  <c r="AP7" i="2"/>
  <c r="AT27" i="2"/>
  <c r="AR15" i="2"/>
  <c r="AP19" i="2"/>
  <c r="AT16" i="2"/>
  <c r="AR36" i="2"/>
  <c r="AP31" i="2"/>
  <c r="AT51" i="2"/>
  <c r="AR50" i="2"/>
  <c r="AP41" i="2"/>
  <c r="AT40" i="2"/>
  <c r="AR54" i="2"/>
  <c r="AP48" i="2"/>
  <c r="AT57" i="2"/>
  <c r="AR88" i="2"/>
  <c r="AP80" i="2"/>
  <c r="AT64" i="2"/>
  <c r="AR82" i="2"/>
  <c r="AP89" i="2"/>
  <c r="AT91" i="2"/>
  <c r="AR105" i="2"/>
  <c r="AR7" i="2"/>
  <c r="AP9" i="2"/>
  <c r="AT15" i="2"/>
  <c r="AR19" i="2"/>
  <c r="AP37" i="2"/>
  <c r="AT36" i="2"/>
  <c r="AR31" i="2"/>
  <c r="AP33" i="2"/>
  <c r="AT50" i="2"/>
  <c r="AR41" i="2"/>
  <c r="AP68" i="2"/>
  <c r="AT54" i="2"/>
  <c r="AR48" i="2"/>
  <c r="AP72" i="2"/>
  <c r="AT88" i="2"/>
  <c r="AR80" i="2"/>
  <c r="AP86" i="2"/>
  <c r="AT82" i="2"/>
  <c r="AR89" i="2"/>
  <c r="AP93" i="2"/>
  <c r="AT105" i="2"/>
  <c r="AT7" i="2"/>
  <c r="AR9" i="2"/>
  <c r="AP22" i="2"/>
  <c r="AT19" i="2"/>
  <c r="AR37" i="2"/>
  <c r="AP35" i="2"/>
  <c r="AT31" i="2"/>
  <c r="AR33" i="2"/>
  <c r="AP59" i="2"/>
  <c r="AT41" i="2"/>
  <c r="AR68" i="2"/>
  <c r="AP66" i="2"/>
  <c r="AT48" i="2"/>
  <c r="AR72" i="2"/>
  <c r="AP70" i="2"/>
  <c r="AT80" i="2"/>
  <c r="AR86" i="2"/>
  <c r="AP87" i="2"/>
  <c r="AT89" i="2"/>
  <c r="AR93" i="2"/>
  <c r="AP99" i="2"/>
  <c r="AP3" i="2"/>
  <c r="AT3" i="2"/>
  <c r="AR3" i="2"/>
  <c r="AN104" i="2"/>
  <c r="AL5" i="2"/>
  <c r="AJ29" i="2"/>
  <c r="AN44" i="2"/>
  <c r="AL44" i="2"/>
  <c r="AJ15" i="2"/>
  <c r="AN77" i="2"/>
  <c r="AJ44" i="2"/>
  <c r="AJ59" i="2"/>
  <c r="AL68" i="2"/>
  <c r="AN66" i="2"/>
  <c r="AN91" i="2"/>
  <c r="AJ99" i="2"/>
  <c r="AN78" i="2"/>
  <c r="AJ81" i="2"/>
  <c r="AN82" i="2"/>
  <c r="AJ5" i="2"/>
  <c r="AJ22" i="2"/>
  <c r="AJ31" i="2"/>
  <c r="AJ40" i="2"/>
  <c r="AJ72" i="2"/>
  <c r="AJ85" i="2"/>
  <c r="AJ98" i="2"/>
  <c r="AJ11" i="2"/>
  <c r="AN23" i="2"/>
  <c r="AL81" i="2"/>
  <c r="AN33" i="2"/>
  <c r="AN43" i="2"/>
  <c r="AL79" i="2"/>
  <c r="AL89" i="2"/>
  <c r="AJ6" i="2"/>
  <c r="AN36" i="2"/>
  <c r="AL49" i="2"/>
  <c r="AL78" i="2"/>
  <c r="AJ57" i="2"/>
  <c r="AJ87" i="2"/>
  <c r="AJ105" i="2"/>
  <c r="AJ45" i="2"/>
  <c r="AN53" i="2"/>
  <c r="AN49" i="2"/>
  <c r="AL52" i="2"/>
  <c r="AL57" i="2"/>
  <c r="AL87" i="2"/>
  <c r="AL75" i="2"/>
  <c r="AN4" i="2"/>
  <c r="AN64" i="2"/>
  <c r="AN63" i="2"/>
  <c r="AN27" i="2"/>
  <c r="AN74" i="2"/>
  <c r="AN51" i="2"/>
  <c r="AN59" i="2"/>
  <c r="AN34" i="2"/>
  <c r="AN37" i="2"/>
  <c r="AN6" i="2"/>
  <c r="AN72" i="2"/>
  <c r="AL45" i="2"/>
  <c r="AL11" i="2"/>
  <c r="AL20" i="2"/>
  <c r="AL83" i="2"/>
  <c r="AL82" i="2"/>
  <c r="AN10" i="2"/>
  <c r="AN41" i="2"/>
  <c r="AN83" i="2"/>
  <c r="AL22" i="2"/>
  <c r="AN62" i="2"/>
  <c r="AN80" i="2"/>
  <c r="AJ75" i="2"/>
  <c r="AL36" i="2"/>
  <c r="AN40" i="2"/>
  <c r="AN85" i="2"/>
  <c r="AN98" i="2"/>
  <c r="AJ8" i="2"/>
  <c r="AJ64" i="2"/>
  <c r="AJ27" i="2"/>
  <c r="AN22" i="2"/>
  <c r="AN25" i="2"/>
  <c r="AN24" i="2"/>
  <c r="AL15" i="2"/>
  <c r="AJ54" i="2"/>
  <c r="AJ73" i="2"/>
  <c r="AJ74" i="2"/>
  <c r="AN75" i="2"/>
  <c r="AN45" i="2"/>
  <c r="AJ14" i="2"/>
  <c r="AJ37" i="2"/>
  <c r="AN30" i="2"/>
  <c r="AN54" i="2"/>
  <c r="AN73" i="2"/>
  <c r="AN90" i="2"/>
  <c r="AL19" i="2"/>
  <c r="AL21" i="2"/>
  <c r="AJ58" i="2"/>
  <c r="AJ88" i="2"/>
  <c r="AN57" i="2"/>
  <c r="AJ65" i="2"/>
  <c r="AL14" i="2"/>
  <c r="AJ26" i="2"/>
  <c r="AJ46" i="2"/>
  <c r="AJ68" i="2"/>
  <c r="AJ77" i="2"/>
  <c r="AJ94" i="2"/>
  <c r="AN19" i="2"/>
  <c r="AN21" i="2"/>
  <c r="AJ38" i="2"/>
  <c r="AL58" i="2"/>
  <c r="AL88" i="2"/>
  <c r="AL65" i="2"/>
  <c r="AN14" i="2"/>
  <c r="AL26" i="2"/>
  <c r="AL46" i="2"/>
  <c r="AL77" i="2"/>
  <c r="AL94" i="2"/>
  <c r="AL7" i="2"/>
  <c r="AL64" i="2"/>
  <c r="AL63" i="2"/>
  <c r="AL27" i="2"/>
  <c r="AL105" i="2"/>
  <c r="AL74" i="2"/>
  <c r="AL51" i="2"/>
  <c r="AL59" i="2"/>
  <c r="AL37" i="2"/>
  <c r="AL6" i="2"/>
  <c r="AL38" i="2"/>
  <c r="AN68" i="2"/>
  <c r="AN58" i="2"/>
  <c r="AJ61" i="2"/>
  <c r="AN88" i="2"/>
  <c r="AJ84" i="2"/>
  <c r="AN65" i="2"/>
  <c r="AJ86" i="2"/>
  <c r="AN67" i="2"/>
  <c r="AJ100" i="2"/>
  <c r="AN92" i="2"/>
  <c r="AJ91" i="2"/>
  <c r="AN55" i="2"/>
  <c r="AN26" i="2"/>
  <c r="AN46" i="2"/>
  <c r="AN94" i="2"/>
  <c r="AN7" i="2"/>
  <c r="AJ55" i="2"/>
  <c r="AN38" i="2"/>
  <c r="AN32" i="2"/>
  <c r="AL61" i="2"/>
  <c r="AL84" i="2"/>
  <c r="AL86" i="2"/>
  <c r="AL100" i="2"/>
  <c r="AL91" i="2"/>
  <c r="AJ13" i="2"/>
  <c r="AJ20" i="2"/>
  <c r="AJ51" i="2"/>
  <c r="AJ48" i="2"/>
  <c r="AJ83" i="2"/>
  <c r="AJ82" i="2"/>
  <c r="AL55" i="2"/>
  <c r="AJ78" i="2"/>
  <c r="AN61" i="2"/>
  <c r="AJ70" i="2"/>
  <c r="AN84" i="2"/>
  <c r="AN86" i="2"/>
  <c r="AJ76" i="2"/>
  <c r="AN100" i="2"/>
  <c r="AL13" i="2"/>
  <c r="AL41" i="2"/>
  <c r="AL48" i="2"/>
  <c r="AL104" i="2"/>
  <c r="AJ23" i="2"/>
  <c r="AJ30" i="2"/>
  <c r="AN11" i="2"/>
  <c r="AN20" i="2"/>
  <c r="AN48" i="2"/>
  <c r="AL23" i="2"/>
  <c r="AL31" i="2"/>
  <c r="AL40" i="2"/>
  <c r="AL72" i="2"/>
  <c r="AL85" i="2"/>
  <c r="AL98" i="2"/>
  <c r="AJ52" i="2"/>
  <c r="AJ79" i="2"/>
  <c r="AJ89" i="2"/>
  <c r="AN5" i="2"/>
  <c r="AN31" i="2"/>
  <c r="AN81" i="2"/>
  <c r="AJ16" i="2"/>
  <c r="AN15" i="2"/>
  <c r="AL30" i="2"/>
  <c r="AL54" i="2"/>
  <c r="AL73" i="2"/>
  <c r="AJ92" i="2"/>
  <c r="AJ97" i="2"/>
  <c r="AJ67" i="2"/>
  <c r="AN87" i="2"/>
  <c r="AL9" i="2"/>
  <c r="AL35" i="2"/>
  <c r="AL39" i="2"/>
  <c r="AL56" i="2"/>
  <c r="AL70" i="2"/>
  <c r="AL76" i="2"/>
  <c r="AL99" i="2"/>
  <c r="AJ7" i="2"/>
  <c r="AJ42" i="2"/>
  <c r="AJ39" i="2"/>
  <c r="AJ35" i="2"/>
  <c r="AJ9" i="2"/>
  <c r="AJ56" i="2"/>
  <c r="AJ50" i="2"/>
  <c r="AN9" i="2"/>
  <c r="AJ10" i="2"/>
  <c r="AN35" i="2"/>
  <c r="AJ34" i="2"/>
  <c r="AN39" i="2"/>
  <c r="AJ32" i="2"/>
  <c r="AN56" i="2"/>
  <c r="AN52" i="2"/>
  <c r="AJ62" i="2"/>
  <c r="AN70" i="2"/>
  <c r="AJ80" i="2"/>
  <c r="AN76" i="2"/>
  <c r="AJ90" i="2"/>
  <c r="AN99" i="2"/>
  <c r="AJ19" i="2"/>
  <c r="AJ53" i="2"/>
  <c r="AJ106" i="2"/>
  <c r="AL42" i="2"/>
  <c r="AL50" i="2"/>
  <c r="AL60" i="2"/>
  <c r="AL12" i="2"/>
  <c r="AL97" i="2"/>
  <c r="AL92" i="2"/>
  <c r="AL29" i="2"/>
  <c r="AL16" i="2"/>
  <c r="AL10" i="2"/>
  <c r="AL34" i="2"/>
  <c r="AL32" i="2"/>
  <c r="AL62" i="2"/>
  <c r="AL80" i="2"/>
  <c r="AL90" i="2"/>
  <c r="AJ12" i="2"/>
  <c r="AJ25" i="2"/>
  <c r="AJ33" i="2"/>
  <c r="AL53" i="2"/>
  <c r="AJ102" i="2"/>
  <c r="AL106" i="2"/>
  <c r="AN42" i="2"/>
  <c r="AN50" i="2"/>
  <c r="AN60" i="2"/>
  <c r="AN12" i="2"/>
  <c r="AN97" i="2"/>
  <c r="AN29" i="2"/>
  <c r="AN16" i="2"/>
  <c r="AN13" i="2"/>
  <c r="AN105" i="2"/>
  <c r="AJ18" i="2"/>
  <c r="AJ36" i="2"/>
  <c r="AJ49" i="2"/>
  <c r="AJ63" i="2"/>
  <c r="AJ95" i="2"/>
  <c r="AJ93" i="2"/>
  <c r="AL18" i="2"/>
  <c r="AJ17" i="2"/>
  <c r="AL25" i="2"/>
  <c r="AL33" i="2"/>
  <c r="AL95" i="2"/>
  <c r="AL102" i="2"/>
  <c r="AN106" i="2"/>
  <c r="AJ4" i="2"/>
  <c r="AN18" i="2"/>
  <c r="AL17" i="2"/>
  <c r="AJ28" i="2"/>
  <c r="AJ43" i="2"/>
  <c r="AJ47" i="2"/>
  <c r="AN95" i="2"/>
  <c r="AN102" i="2"/>
  <c r="AJ101" i="2"/>
  <c r="AL4" i="2"/>
  <c r="AN17" i="2"/>
  <c r="AL28" i="2"/>
  <c r="AJ21" i="2"/>
  <c r="AJ24" i="2"/>
  <c r="AL43" i="2"/>
  <c r="AL47" i="2"/>
  <c r="AN79" i="2"/>
  <c r="AL93" i="2"/>
  <c r="AL101" i="2"/>
  <c r="AL8" i="2"/>
  <c r="AN28" i="2"/>
  <c r="AL24" i="2"/>
  <c r="AN47" i="2"/>
  <c r="AJ66" i="2"/>
  <c r="AL67" i="2"/>
  <c r="AN93" i="2"/>
  <c r="AN101" i="2"/>
  <c r="AN8" i="2"/>
  <c r="AJ60" i="2"/>
  <c r="AJ41" i="2"/>
  <c r="AL66" i="2"/>
  <c r="AN89" i="2"/>
  <c r="AJ104" i="2"/>
  <c r="AJ3" i="2"/>
  <c r="AL3" i="2"/>
  <c r="AN3" i="2"/>
  <c r="E28" i="2"/>
  <c r="G49" i="2"/>
  <c r="E14" i="2"/>
  <c r="G74" i="2"/>
  <c r="E47" i="2"/>
  <c r="E52" i="2"/>
  <c r="E50" i="2"/>
  <c r="E99" i="2"/>
  <c r="I18" i="2"/>
  <c r="I13" i="2"/>
  <c r="I55" i="2"/>
  <c r="I40" i="2"/>
  <c r="I33" i="2"/>
  <c r="G15" i="2"/>
  <c r="I43" i="2"/>
  <c r="G4" i="2"/>
  <c r="G64" i="2"/>
  <c r="I94" i="2"/>
  <c r="I78" i="2"/>
  <c r="G70" i="2"/>
  <c r="G48" i="2"/>
  <c r="G35" i="2"/>
  <c r="G72" i="2"/>
  <c r="E92" i="2"/>
  <c r="E83" i="2"/>
  <c r="I101" i="2"/>
  <c r="E64" i="2"/>
  <c r="I80" i="2"/>
  <c r="I32" i="2"/>
  <c r="G63" i="2"/>
  <c r="G101" i="2"/>
  <c r="G42" i="2"/>
  <c r="I29" i="2"/>
  <c r="I90" i="2"/>
  <c r="E41" i="2"/>
  <c r="G51" i="2"/>
  <c r="I48" i="2"/>
  <c r="E45" i="2"/>
  <c r="G58" i="2"/>
  <c r="E105" i="2"/>
  <c r="G66" i="2"/>
  <c r="E101" i="2"/>
  <c r="I98" i="2"/>
  <c r="E85" i="2"/>
  <c r="I95" i="2"/>
  <c r="I61" i="2"/>
  <c r="I45" i="2"/>
  <c r="I51" i="2"/>
  <c r="I9" i="2"/>
  <c r="I27" i="2"/>
  <c r="I12" i="2"/>
  <c r="G92" i="2"/>
  <c r="G102" i="2"/>
  <c r="G29" i="2"/>
  <c r="G47" i="2"/>
  <c r="G31" i="2"/>
  <c r="G19" i="2"/>
  <c r="E74" i="2"/>
  <c r="E57" i="2"/>
  <c r="E46" i="2"/>
  <c r="E81" i="2"/>
  <c r="E72" i="2"/>
  <c r="E59" i="2"/>
  <c r="I104" i="2"/>
  <c r="G98" i="2"/>
  <c r="I70" i="2"/>
  <c r="I89" i="2"/>
  <c r="I41" i="2"/>
  <c r="I49" i="2"/>
  <c r="I39" i="2"/>
  <c r="I24" i="2"/>
  <c r="G99" i="2"/>
  <c r="G73" i="2"/>
  <c r="G20" i="2"/>
  <c r="G62" i="2"/>
  <c r="G44" i="2"/>
  <c r="G53" i="2"/>
  <c r="E76" i="2"/>
  <c r="E80" i="2"/>
  <c r="E82" i="2"/>
  <c r="E54" i="2"/>
  <c r="E42" i="2"/>
  <c r="E21" i="2"/>
  <c r="G104" i="2"/>
  <c r="E98" i="2"/>
  <c r="I63" i="2"/>
  <c r="I93" i="2"/>
  <c r="I22" i="2"/>
  <c r="I56" i="2"/>
  <c r="I17" i="2"/>
  <c r="I34" i="2"/>
  <c r="G105" i="2"/>
  <c r="G38" i="2"/>
  <c r="G16" i="2"/>
  <c r="G43" i="2"/>
  <c r="G14" i="2"/>
  <c r="G6" i="2"/>
  <c r="E67" i="2"/>
  <c r="E48" i="2"/>
  <c r="E84" i="2"/>
  <c r="E10" i="2"/>
  <c r="E37" i="2"/>
  <c r="E55" i="2"/>
  <c r="E104" i="2"/>
  <c r="I91" i="2"/>
  <c r="I74" i="2"/>
  <c r="I57" i="2"/>
  <c r="I46" i="2"/>
  <c r="I81" i="2"/>
  <c r="I72" i="2"/>
  <c r="I59" i="2"/>
  <c r="G79" i="2"/>
  <c r="G77" i="2"/>
  <c r="G25" i="2"/>
  <c r="G33" i="2"/>
  <c r="G28" i="2"/>
  <c r="G5" i="2"/>
  <c r="E88" i="2"/>
  <c r="E66" i="2"/>
  <c r="E36" i="2"/>
  <c r="E23" i="2"/>
  <c r="E60" i="2"/>
  <c r="E13" i="2"/>
  <c r="I100" i="2"/>
  <c r="G91" i="2"/>
  <c r="I76" i="2"/>
  <c r="E12" i="2"/>
  <c r="E44" i="2"/>
  <c r="E56" i="2"/>
  <c r="E77" i="2"/>
  <c r="E68" i="2"/>
  <c r="G13" i="2"/>
  <c r="G17" i="2"/>
  <c r="G32" i="2"/>
  <c r="G80" i="2"/>
  <c r="G95" i="2"/>
  <c r="I21" i="2"/>
  <c r="I62" i="2"/>
  <c r="I36" i="2"/>
  <c r="I79" i="2"/>
  <c r="I64" i="2"/>
  <c r="E15" i="2"/>
  <c r="E31" i="2"/>
  <c r="E49" i="2"/>
  <c r="E38" i="2"/>
  <c r="E86" i="2"/>
  <c r="G55" i="2"/>
  <c r="G39" i="2"/>
  <c r="G78" i="2"/>
  <c r="G57" i="2"/>
  <c r="G87" i="2"/>
  <c r="I11" i="2"/>
  <c r="I47" i="2"/>
  <c r="I84" i="2"/>
  <c r="I105" i="2"/>
  <c r="E91" i="2"/>
  <c r="E5" i="2"/>
  <c r="E30" i="2"/>
  <c r="E51" i="2"/>
  <c r="E73" i="2"/>
  <c r="E63" i="2"/>
  <c r="G21" i="2"/>
  <c r="G9" i="2"/>
  <c r="G36" i="2"/>
  <c r="G93" i="2"/>
  <c r="I28" i="2"/>
  <c r="I52" i="2"/>
  <c r="I82" i="2"/>
  <c r="I99" i="2"/>
  <c r="E106" i="2"/>
  <c r="E6" i="2"/>
  <c r="E26" i="2"/>
  <c r="E35" i="2"/>
  <c r="E102" i="2"/>
  <c r="E70" i="2"/>
  <c r="G59" i="2"/>
  <c r="G40" i="2"/>
  <c r="G84" i="2"/>
  <c r="G89" i="2"/>
  <c r="I14" i="2"/>
  <c r="I50" i="2"/>
  <c r="I83" i="2"/>
  <c r="I92" i="2"/>
  <c r="G106" i="2"/>
  <c r="E53" i="2"/>
  <c r="E17" i="2"/>
  <c r="E25" i="2"/>
  <c r="E65" i="2"/>
  <c r="E95" i="2"/>
  <c r="G34" i="2"/>
  <c r="G52" i="2"/>
  <c r="G82" i="2"/>
  <c r="G61" i="2"/>
  <c r="I44" i="2"/>
  <c r="I23" i="2"/>
  <c r="I77" i="2"/>
  <c r="I68" i="2"/>
  <c r="I106" i="2"/>
  <c r="E19" i="2"/>
  <c r="E39" i="2"/>
  <c r="E16" i="2"/>
  <c r="E58" i="2"/>
  <c r="E87" i="2"/>
  <c r="G24" i="2"/>
  <c r="G50" i="2"/>
  <c r="G46" i="2"/>
  <c r="G94" i="2"/>
  <c r="I15" i="2"/>
  <c r="I31" i="2"/>
  <c r="I10" i="2"/>
  <c r="I38" i="2"/>
  <c r="I86" i="2"/>
  <c r="E4" i="2"/>
  <c r="E9" i="2"/>
  <c r="E20" i="2"/>
  <c r="E93" i="2"/>
  <c r="G27" i="2"/>
  <c r="G23" i="2"/>
  <c r="G22" i="2"/>
  <c r="G68" i="2"/>
  <c r="I5" i="2"/>
  <c r="I30" i="2"/>
  <c r="I54" i="2"/>
  <c r="I73" i="2"/>
  <c r="I88" i="2"/>
  <c r="E18" i="2"/>
  <c r="E40" i="2"/>
  <c r="E29" i="2"/>
  <c r="E89" i="2"/>
  <c r="G11" i="2"/>
  <c r="G10" i="2"/>
  <c r="G41" i="2"/>
  <c r="G86" i="2"/>
  <c r="I6" i="2"/>
  <c r="I26" i="2"/>
  <c r="I35" i="2"/>
  <c r="I102" i="2"/>
  <c r="I67" i="2"/>
  <c r="G85" i="2"/>
  <c r="E34" i="2"/>
  <c r="E33" i="2"/>
  <c r="E32" i="2"/>
  <c r="E61" i="2"/>
  <c r="G30" i="2"/>
  <c r="G54" i="2"/>
  <c r="G45" i="2"/>
  <c r="G88" i="2"/>
  <c r="I53" i="2"/>
  <c r="I60" i="2"/>
  <c r="I25" i="2"/>
  <c r="I65" i="2"/>
  <c r="I87" i="2"/>
  <c r="I85" i="2"/>
  <c r="E24" i="2"/>
  <c r="E43" i="2"/>
  <c r="E78" i="2"/>
  <c r="E94" i="2"/>
  <c r="G26" i="2"/>
  <c r="G81" i="2"/>
  <c r="G83" i="2"/>
  <c r="G67" i="2"/>
  <c r="I19" i="2"/>
  <c r="I37" i="2"/>
  <c r="I16" i="2"/>
  <c r="I58" i="2"/>
  <c r="E90" i="2"/>
  <c r="E100" i="2"/>
  <c r="E27" i="2"/>
  <c r="E62" i="2"/>
  <c r="E22" i="2"/>
  <c r="E79" i="2"/>
  <c r="G12" i="2"/>
  <c r="G60" i="2"/>
  <c r="G56" i="2"/>
  <c r="G65" i="2"/>
  <c r="G76" i="2"/>
  <c r="I4" i="2"/>
  <c r="I42" i="2"/>
  <c r="I20" i="2"/>
  <c r="I66" i="2"/>
  <c r="G90" i="2"/>
  <c r="G100" i="2"/>
  <c r="K4" i="2"/>
  <c r="K99" i="2"/>
  <c r="O64" i="2"/>
  <c r="M3" i="2"/>
  <c r="M7" i="2"/>
  <c r="M5" i="2"/>
  <c r="M6" i="2"/>
  <c r="M4" i="2"/>
  <c r="O3" i="2"/>
  <c r="M27" i="2"/>
  <c r="O7" i="2"/>
  <c r="K3" i="2"/>
  <c r="M28" i="2"/>
  <c r="O5" i="2"/>
  <c r="O27" i="2"/>
  <c r="K7" i="2"/>
  <c r="CM7" i="2" s="1"/>
  <c r="M45" i="2"/>
  <c r="O6" i="2"/>
  <c r="K8" i="2"/>
  <c r="O4" i="2"/>
  <c r="K5" i="2"/>
  <c r="O49" i="2"/>
  <c r="K6" i="2"/>
  <c r="K23" i="2"/>
  <c r="K86" i="2"/>
  <c r="K84" i="2"/>
  <c r="M12" i="2"/>
  <c r="K24" i="2"/>
  <c r="M23" i="2"/>
  <c r="O101" i="2"/>
  <c r="K98" i="2"/>
  <c r="O105" i="2"/>
  <c r="O78" i="2"/>
  <c r="O33" i="2"/>
  <c r="M105" i="2"/>
  <c r="M41" i="2"/>
  <c r="M47" i="2"/>
  <c r="M11" i="2"/>
  <c r="K80" i="2"/>
  <c r="K32" i="2"/>
  <c r="K17" i="2"/>
  <c r="K13" i="2"/>
  <c r="M101" i="2"/>
  <c r="O79" i="2"/>
  <c r="O32" i="2"/>
  <c r="O40" i="2"/>
  <c r="O19" i="2"/>
  <c r="M79" i="2"/>
  <c r="M36" i="2"/>
  <c r="M62" i="2"/>
  <c r="K70" i="2"/>
  <c r="K48" i="2"/>
  <c r="K29" i="2"/>
  <c r="K72" i="2"/>
  <c r="K18" i="2"/>
  <c r="K101" i="2"/>
  <c r="O94" i="2"/>
  <c r="O29" i="2"/>
  <c r="O9" i="2"/>
  <c r="O53" i="2"/>
  <c r="M94" i="2"/>
  <c r="M78" i="2"/>
  <c r="M43" i="2"/>
  <c r="M24" i="2"/>
  <c r="K63" i="2"/>
  <c r="K66" i="2"/>
  <c r="K20" i="2"/>
  <c r="K42" i="2"/>
  <c r="O85" i="2"/>
  <c r="O61" i="2"/>
  <c r="O20" i="2"/>
  <c r="O39" i="2"/>
  <c r="M61" i="2"/>
  <c r="M32" i="2"/>
  <c r="M33" i="2"/>
  <c r="M13" i="2"/>
  <c r="K74" i="2"/>
  <c r="K58" i="2"/>
  <c r="K49" i="2"/>
  <c r="K37" i="2"/>
  <c r="K19" i="2"/>
  <c r="O26" i="2"/>
  <c r="M89" i="2"/>
  <c r="M29" i="2"/>
  <c r="M40" i="2"/>
  <c r="K76" i="2"/>
  <c r="K65" i="2"/>
  <c r="K56" i="2"/>
  <c r="K60" i="2"/>
  <c r="K53" i="2"/>
  <c r="K85" i="2"/>
  <c r="O58" i="2"/>
  <c r="O25" i="2"/>
  <c r="O30" i="2"/>
  <c r="O15" i="2"/>
  <c r="M66" i="2"/>
  <c r="M20" i="2"/>
  <c r="M9" i="2"/>
  <c r="K67" i="2"/>
  <c r="K81" i="2"/>
  <c r="K26" i="2"/>
  <c r="O106" i="2"/>
  <c r="O65" i="2"/>
  <c r="O35" i="2"/>
  <c r="O31" i="2"/>
  <c r="O12" i="2"/>
  <c r="M87" i="2"/>
  <c r="M58" i="2"/>
  <c r="M16" i="2"/>
  <c r="M19" i="2"/>
  <c r="K88" i="2"/>
  <c r="K73" i="2"/>
  <c r="K54" i="2"/>
  <c r="K30" i="2"/>
  <c r="K91" i="2"/>
  <c r="M85" i="2"/>
  <c r="O89" i="2"/>
  <c r="O16" i="2"/>
  <c r="M18" i="2"/>
  <c r="K102" i="2"/>
  <c r="M39" i="2"/>
  <c r="K50" i="2"/>
  <c r="K92" i="2"/>
  <c r="M14" i="2"/>
  <c r="M83" i="2"/>
  <c r="O51" i="2"/>
  <c r="O87" i="2"/>
  <c r="K68" i="2"/>
  <c r="M44" i="2"/>
  <c r="M77" i="2"/>
  <c r="O18" i="2"/>
  <c r="O41" i="2"/>
  <c r="K10" i="2"/>
  <c r="M31" i="2"/>
  <c r="M38" i="2"/>
  <c r="O34" i="2"/>
  <c r="O45" i="2"/>
  <c r="K55" i="2"/>
  <c r="K78" i="2"/>
  <c r="M30" i="2"/>
  <c r="M73" i="2"/>
  <c r="O24" i="2"/>
  <c r="O83" i="2"/>
  <c r="M98" i="2"/>
  <c r="K100" i="2"/>
  <c r="K21" i="2"/>
  <c r="K36" i="2"/>
  <c r="M26" i="2"/>
  <c r="M102" i="2"/>
  <c r="O11" i="2"/>
  <c r="O77" i="2"/>
  <c r="O98" i="2"/>
  <c r="M100" i="2"/>
  <c r="K59" i="2"/>
  <c r="M8" i="2"/>
  <c r="M60" i="2"/>
  <c r="M65" i="2"/>
  <c r="O28" i="2"/>
  <c r="O38" i="2"/>
  <c r="O100" i="2"/>
  <c r="K34" i="2"/>
  <c r="K82" i="2"/>
  <c r="M52" i="2"/>
  <c r="M99" i="2"/>
  <c r="O14" i="2"/>
  <c r="O73" i="2"/>
  <c r="K46" i="2"/>
  <c r="M15" i="2"/>
  <c r="M50" i="2"/>
  <c r="M92" i="2"/>
  <c r="O44" i="2"/>
  <c r="O102" i="2"/>
  <c r="K44" i="2"/>
  <c r="K22" i="2"/>
  <c r="M68" i="2"/>
  <c r="O43" i="2"/>
  <c r="O99" i="2"/>
  <c r="K64" i="2"/>
  <c r="K106" i="2"/>
  <c r="K31" i="2"/>
  <c r="K41" i="2"/>
  <c r="M49" i="2"/>
  <c r="M86" i="2"/>
  <c r="O62" i="2"/>
  <c r="O92" i="2"/>
  <c r="M64" i="2"/>
  <c r="M106" i="2"/>
  <c r="K39" i="2"/>
  <c r="K57" i="2"/>
  <c r="M53" i="2"/>
  <c r="M51" i="2"/>
  <c r="M88" i="2"/>
  <c r="O47" i="2"/>
  <c r="O68" i="2"/>
  <c r="K62" i="2"/>
  <c r="K93" i="2"/>
  <c r="M35" i="2"/>
  <c r="M70" i="2"/>
  <c r="O8" i="2"/>
  <c r="O52" i="2"/>
  <c r="O86" i="2"/>
  <c r="K47" i="2"/>
  <c r="K89" i="2"/>
  <c r="M25" i="2"/>
  <c r="M95" i="2"/>
  <c r="O50" i="2"/>
  <c r="O70" i="2"/>
  <c r="O63" i="2"/>
  <c r="O93" i="2"/>
  <c r="O22" i="2"/>
  <c r="O56" i="2"/>
  <c r="O17" i="2"/>
  <c r="O59" i="2"/>
  <c r="M63" i="2"/>
  <c r="M93" i="2"/>
  <c r="M22" i="2"/>
  <c r="M56" i="2"/>
  <c r="M17" i="2"/>
  <c r="M34" i="2"/>
  <c r="K105" i="2"/>
  <c r="K38" i="2"/>
  <c r="K16" i="2"/>
  <c r="K43" i="2"/>
  <c r="K14" i="2"/>
  <c r="O90" i="2"/>
  <c r="O74" i="2"/>
  <c r="O57" i="2"/>
  <c r="O46" i="2"/>
  <c r="O81" i="2"/>
  <c r="O72" i="2"/>
  <c r="O21" i="2"/>
  <c r="M74" i="2"/>
  <c r="M57" i="2"/>
  <c r="M46" i="2"/>
  <c r="M81" i="2"/>
  <c r="M72" i="2"/>
  <c r="M59" i="2"/>
  <c r="K79" i="2"/>
  <c r="K77" i="2"/>
  <c r="K25" i="2"/>
  <c r="K33" i="2"/>
  <c r="K28" i="2"/>
  <c r="O104" i="2"/>
  <c r="M90" i="2"/>
  <c r="O76" i="2"/>
  <c r="O80" i="2"/>
  <c r="O82" i="2"/>
  <c r="O54" i="2"/>
  <c r="O42" i="2"/>
  <c r="O55" i="2"/>
  <c r="M76" i="2"/>
  <c r="M80" i="2"/>
  <c r="M82" i="2"/>
  <c r="M54" i="2"/>
  <c r="M42" i="2"/>
  <c r="M21" i="2"/>
  <c r="K87" i="2"/>
  <c r="K94" i="2"/>
  <c r="K83" i="2"/>
  <c r="K35" i="2"/>
  <c r="K40" i="2"/>
  <c r="K11" i="2"/>
  <c r="K15" i="2"/>
  <c r="M104" i="2"/>
  <c r="O91" i="2"/>
  <c r="K90" i="2"/>
  <c r="O67" i="2"/>
  <c r="O48" i="2"/>
  <c r="O84" i="2"/>
  <c r="O10" i="2"/>
  <c r="O37" i="2"/>
  <c r="O13" i="2"/>
  <c r="M67" i="2"/>
  <c r="M48" i="2"/>
  <c r="M84" i="2"/>
  <c r="M10" i="2"/>
  <c r="M37" i="2"/>
  <c r="M55" i="2"/>
  <c r="K95" i="2"/>
  <c r="K61" i="2"/>
  <c r="K45" i="2"/>
  <c r="K51" i="2"/>
  <c r="K9" i="2"/>
  <c r="K27" i="2"/>
  <c r="K12" i="2"/>
  <c r="K104" i="2"/>
  <c r="M91" i="2"/>
  <c r="O88" i="2"/>
  <c r="O66" i="2"/>
  <c r="O36" i="2"/>
  <c r="O23" i="2"/>
  <c r="O60" i="2"/>
  <c r="U30" i="2"/>
  <c r="S30" i="2"/>
  <c r="S19" i="2"/>
  <c r="Q14" i="2"/>
  <c r="S14" i="2"/>
  <c r="U14" i="2"/>
  <c r="Q28" i="2"/>
  <c r="S28" i="2"/>
  <c r="U28" i="2"/>
  <c r="S50" i="2"/>
  <c r="U19" i="2"/>
  <c r="U49" i="2"/>
  <c r="S52" i="2"/>
  <c r="Q58" i="2"/>
  <c r="S12" i="2"/>
  <c r="Q82" i="2"/>
  <c r="Q3" i="2"/>
  <c r="U76" i="2"/>
  <c r="S3" i="2"/>
  <c r="Q33" i="2"/>
  <c r="Q92" i="2"/>
  <c r="U3" i="2"/>
  <c r="S39" i="2"/>
  <c r="U101" i="2"/>
  <c r="Q49" i="2"/>
  <c r="S49" i="2"/>
  <c r="S47" i="2"/>
  <c r="Q12" i="2"/>
  <c r="S68" i="2"/>
  <c r="S34" i="2"/>
  <c r="U12" i="2"/>
  <c r="U34" i="2"/>
  <c r="Q19" i="2"/>
  <c r="U39" i="2"/>
  <c r="S62" i="2"/>
  <c r="U52" i="2"/>
  <c r="U68" i="2"/>
  <c r="S82" i="2"/>
  <c r="Q80" i="2"/>
  <c r="S92" i="2"/>
  <c r="S101" i="2"/>
  <c r="Q101" i="2"/>
  <c r="Q40" i="2"/>
  <c r="U62" i="2"/>
  <c r="Q81" i="2"/>
  <c r="U82" i="2"/>
  <c r="U80" i="2"/>
  <c r="U92" i="2"/>
  <c r="U91" i="2"/>
  <c r="S91" i="2"/>
  <c r="U90" i="2"/>
  <c r="S94" i="2"/>
  <c r="U63" i="2"/>
  <c r="U102" i="2"/>
  <c r="U73" i="2"/>
  <c r="Q68" i="2"/>
  <c r="S54" i="2"/>
  <c r="U61" i="2"/>
  <c r="Q62" i="2"/>
  <c r="S78" i="2"/>
  <c r="U38" i="2"/>
  <c r="Q50" i="2"/>
  <c r="S17" i="2"/>
  <c r="U51" i="2"/>
  <c r="Q34" i="2"/>
  <c r="S22" i="2"/>
  <c r="Q18" i="2"/>
  <c r="S6" i="2"/>
  <c r="Q100" i="2"/>
  <c r="Q91" i="2"/>
  <c r="S90" i="2"/>
  <c r="Q94" i="2"/>
  <c r="S63" i="2"/>
  <c r="S102" i="2"/>
  <c r="S73" i="2"/>
  <c r="U66" i="2"/>
  <c r="Q54" i="2"/>
  <c r="S61" i="2"/>
  <c r="U45" i="2"/>
  <c r="Q78" i="2"/>
  <c r="S38" i="2"/>
  <c r="U32" i="2"/>
  <c r="Q17" i="2"/>
  <c r="S51" i="2"/>
  <c r="U37" i="2"/>
  <c r="Q22" i="2"/>
  <c r="U15" i="2"/>
  <c r="Q6" i="2"/>
  <c r="Q90" i="2"/>
  <c r="S89" i="2"/>
  <c r="Q63" i="2"/>
  <c r="Q102" i="2"/>
  <c r="Q73" i="2"/>
  <c r="S66" i="2"/>
  <c r="U46" i="2"/>
  <c r="Q61" i="2"/>
  <c r="S45" i="2"/>
  <c r="U56" i="2"/>
  <c r="Q38" i="2"/>
  <c r="S32" i="2"/>
  <c r="U26" i="2"/>
  <c r="Q51" i="2"/>
  <c r="S37" i="2"/>
  <c r="U9" i="2"/>
  <c r="S15" i="2"/>
  <c r="Q89" i="2"/>
  <c r="U74" i="2"/>
  <c r="U86" i="2"/>
  <c r="U65" i="2"/>
  <c r="Q66" i="2"/>
  <c r="S46" i="2"/>
  <c r="U72" i="2"/>
  <c r="Q45" i="2"/>
  <c r="S56" i="2"/>
  <c r="U43" i="2"/>
  <c r="Q32" i="2"/>
  <c r="S26" i="2"/>
  <c r="U24" i="2"/>
  <c r="Q37" i="2"/>
  <c r="S9" i="2"/>
  <c r="U13" i="2"/>
  <c r="Q15" i="2"/>
  <c r="U98" i="2"/>
  <c r="Q99" i="2"/>
  <c r="U93" i="2"/>
  <c r="S74" i="2"/>
  <c r="S86" i="2"/>
  <c r="S65" i="2"/>
  <c r="U48" i="2"/>
  <c r="Q46" i="2"/>
  <c r="S72" i="2"/>
  <c r="U47" i="2"/>
  <c r="Q56" i="2"/>
  <c r="S43" i="2"/>
  <c r="Q13" i="2"/>
  <c r="Q9" i="2"/>
  <c r="S33" i="2"/>
  <c r="S40" i="2"/>
  <c r="U50" i="2"/>
  <c r="Q16" i="2"/>
  <c r="Q41" i="2"/>
  <c r="S58" i="2"/>
  <c r="S81" i="2"/>
  <c r="Q86" i="2"/>
  <c r="Q70" i="2"/>
  <c r="S13" i="2"/>
  <c r="U22" i="2"/>
  <c r="U33" i="2"/>
  <c r="U40" i="2"/>
  <c r="Q23" i="2"/>
  <c r="S16" i="2"/>
  <c r="S41" i="2"/>
  <c r="U58" i="2"/>
  <c r="U81" i="2"/>
  <c r="Q67" i="2"/>
  <c r="S70" i="2"/>
  <c r="Q31" i="2"/>
  <c r="Q26" i="2"/>
  <c r="S23" i="2"/>
  <c r="U16" i="2"/>
  <c r="U41" i="2"/>
  <c r="U54" i="2"/>
  <c r="Q57" i="2"/>
  <c r="U67" i="2"/>
  <c r="U70" i="2"/>
  <c r="Q27" i="2"/>
  <c r="S31" i="2"/>
  <c r="U17" i="2"/>
  <c r="U23" i="2"/>
  <c r="U78" i="2"/>
  <c r="Q42" i="2"/>
  <c r="Q84" i="2"/>
  <c r="S57" i="2"/>
  <c r="Q88" i="2"/>
  <c r="Q93" i="2"/>
  <c r="Q104" i="2"/>
  <c r="S27" i="2"/>
  <c r="U31" i="2"/>
  <c r="Q53" i="2"/>
  <c r="Q59" i="2"/>
  <c r="Q35" i="2"/>
  <c r="S42" i="2"/>
  <c r="S84" i="2"/>
  <c r="U57" i="2"/>
  <c r="S88" i="2"/>
  <c r="S93" i="2"/>
  <c r="S104" i="2"/>
  <c r="U27" i="2"/>
  <c r="Q55" i="2"/>
  <c r="Q24" i="2"/>
  <c r="S53" i="2"/>
  <c r="S59" i="2"/>
  <c r="S35" i="2"/>
  <c r="U42" i="2"/>
  <c r="U84" i="2"/>
  <c r="Q65" i="2"/>
  <c r="U88" i="2"/>
  <c r="U94" i="2"/>
  <c r="U104" i="2"/>
  <c r="S18" i="2"/>
  <c r="S55" i="2"/>
  <c r="S24" i="2"/>
  <c r="U53" i="2"/>
  <c r="U59" i="2"/>
  <c r="U35" i="2"/>
  <c r="Q72" i="2"/>
  <c r="Q77" i="2"/>
  <c r="Q20" i="2"/>
  <c r="Q83" i="2"/>
  <c r="S95" i="2"/>
  <c r="Q85" i="2"/>
  <c r="Q98" i="2"/>
  <c r="U18" i="2"/>
  <c r="U55" i="2"/>
  <c r="Q44" i="2"/>
  <c r="Q60" i="2"/>
  <c r="Q43" i="2"/>
  <c r="Q29" i="2"/>
  <c r="Q36" i="2"/>
  <c r="S77" i="2"/>
  <c r="S20" i="2"/>
  <c r="S83" i="2"/>
  <c r="U95" i="2"/>
  <c r="S85" i="2"/>
  <c r="S98" i="2"/>
  <c r="Q8" i="2"/>
  <c r="Q21" i="2"/>
  <c r="Q10" i="2"/>
  <c r="S44" i="2"/>
  <c r="S60" i="2"/>
  <c r="Q25" i="2"/>
  <c r="S29" i="2"/>
  <c r="S36" i="2"/>
  <c r="U77" i="2"/>
  <c r="Q79" i="2"/>
  <c r="U83" i="2"/>
  <c r="Q105" i="2"/>
  <c r="U85" i="2"/>
  <c r="S8" i="2"/>
  <c r="S21" i="2"/>
  <c r="S10" i="2"/>
  <c r="U44" i="2"/>
  <c r="U60" i="2"/>
  <c r="S25" i="2"/>
  <c r="U29" i="2"/>
  <c r="U36" i="2"/>
  <c r="Q48" i="2"/>
  <c r="S79" i="2"/>
  <c r="Q74" i="2"/>
  <c r="S105" i="2"/>
  <c r="U6" i="2"/>
  <c r="U8" i="2"/>
  <c r="U21" i="2"/>
  <c r="U10" i="2"/>
  <c r="Q39" i="2"/>
  <c r="Q30" i="2"/>
  <c r="U25" i="2"/>
  <c r="Q47" i="2"/>
  <c r="Q52" i="2"/>
  <c r="S48" i="2"/>
  <c r="U79" i="2"/>
  <c r="S76" i="2"/>
  <c r="U105" i="2"/>
  <c r="U20" i="2"/>
  <c r="S67" i="2"/>
  <c r="Q76" i="2"/>
  <c r="U89" i="2"/>
  <c r="S99" i="2"/>
  <c r="Q106" i="2"/>
  <c r="S100" i="2"/>
  <c r="U99" i="2"/>
  <c r="Q64" i="2"/>
  <c r="S106" i="2"/>
  <c r="U100" i="2"/>
  <c r="Q87" i="2"/>
  <c r="S64" i="2"/>
  <c r="U106" i="2"/>
  <c r="S87" i="2"/>
  <c r="U64" i="2"/>
  <c r="S80" i="2"/>
  <c r="Q95" i="2"/>
  <c r="U87" i="2"/>
  <c r="Y55" i="2"/>
  <c r="W4" i="2"/>
  <c r="W55" i="2"/>
  <c r="W41" i="2"/>
  <c r="W3" i="2"/>
  <c r="Y18" i="2"/>
  <c r="Y3" i="2"/>
  <c r="AA6" i="2"/>
  <c r="AA3" i="2"/>
  <c r="Y6" i="2"/>
  <c r="W6" i="2"/>
  <c r="W30" i="2"/>
  <c r="AA5" i="2"/>
  <c r="AA9" i="2"/>
  <c r="Y5" i="2"/>
  <c r="Y9" i="2"/>
  <c r="W5" i="2"/>
  <c r="W9" i="2"/>
  <c r="AA7" i="2"/>
  <c r="AA17" i="2"/>
  <c r="Y7" i="2"/>
  <c r="Y17" i="2"/>
  <c r="AA12" i="2"/>
  <c r="Y13" i="2"/>
  <c r="W21" i="2"/>
  <c r="AA26" i="2"/>
  <c r="Y44" i="2"/>
  <c r="W32" i="2"/>
  <c r="AA30" i="2"/>
  <c r="Y40" i="2"/>
  <c r="W59" i="2"/>
  <c r="AA45" i="2"/>
  <c r="Y58" i="2"/>
  <c r="AA63" i="2"/>
  <c r="W27" i="2"/>
  <c r="AA13" i="2"/>
  <c r="Y21" i="2"/>
  <c r="W31" i="2"/>
  <c r="AA44" i="2"/>
  <c r="Y32" i="2"/>
  <c r="W16" i="2"/>
  <c r="AA40" i="2"/>
  <c r="W46" i="2"/>
  <c r="AA58" i="2"/>
  <c r="W68" i="2"/>
  <c r="Y43" i="2"/>
  <c r="Y59" i="2"/>
  <c r="W8" i="2"/>
  <c r="AA54" i="2"/>
  <c r="Y27" i="2"/>
  <c r="W14" i="2"/>
  <c r="AA21" i="2"/>
  <c r="Y31" i="2"/>
  <c r="W25" i="2"/>
  <c r="AA32" i="2"/>
  <c r="Y16" i="2"/>
  <c r="W49" i="2"/>
  <c r="AA59" i="2"/>
  <c r="Y46" i="2"/>
  <c r="W36" i="2"/>
  <c r="Y68" i="2"/>
  <c r="AA27" i="2"/>
  <c r="Y14" i="2"/>
  <c r="W10" i="2"/>
  <c r="AA31" i="2"/>
  <c r="Y25" i="2"/>
  <c r="W50" i="2"/>
  <c r="AA16" i="2"/>
  <c r="Y49" i="2"/>
  <c r="W20" i="2"/>
  <c r="AA46" i="2"/>
  <c r="Y36" i="2"/>
  <c r="W54" i="2"/>
  <c r="AA68" i="2"/>
  <c r="W81" i="2"/>
  <c r="AA14" i="2"/>
  <c r="Y10" i="2"/>
  <c r="W37" i="2"/>
  <c r="AA25" i="2"/>
  <c r="Y50" i="2"/>
  <c r="W43" i="2"/>
  <c r="AA49" i="2"/>
  <c r="Y20" i="2"/>
  <c r="W47" i="2"/>
  <c r="AA36" i="2"/>
  <c r="Y54" i="2"/>
  <c r="Y81" i="2"/>
  <c r="Y8" i="2"/>
  <c r="W19" i="2"/>
  <c r="AA10" i="2"/>
  <c r="Y37" i="2"/>
  <c r="W60" i="2"/>
  <c r="AA50" i="2"/>
  <c r="W51" i="2"/>
  <c r="AA20" i="2"/>
  <c r="Y47" i="2"/>
  <c r="AA81" i="2"/>
  <c r="AA8" i="2"/>
  <c r="Y19" i="2"/>
  <c r="AA37" i="2"/>
  <c r="Y60" i="2"/>
  <c r="AA43" i="2"/>
  <c r="W35" i="2"/>
  <c r="W66" i="2"/>
  <c r="W70" i="2"/>
  <c r="AA18" i="2"/>
  <c r="W34" i="2"/>
  <c r="Y29" i="2"/>
  <c r="Y35" i="2"/>
  <c r="W58" i="2"/>
  <c r="Y63" i="2"/>
  <c r="Y34" i="2"/>
  <c r="AA29" i="2"/>
  <c r="AA35" i="2"/>
  <c r="Y70" i="2"/>
  <c r="W56" i="2"/>
  <c r="W52" i="2"/>
  <c r="AA70" i="2"/>
  <c r="W67" i="2"/>
  <c r="AA28" i="2"/>
  <c r="W33" i="2"/>
  <c r="Y56" i="2"/>
  <c r="Y52" i="2"/>
  <c r="Y67" i="2"/>
  <c r="W13" i="2"/>
  <c r="W26" i="2"/>
  <c r="AA56" i="2"/>
  <c r="AA52" i="2"/>
  <c r="AA67" i="2"/>
  <c r="Y26" i="2"/>
  <c r="AA33" i="2"/>
  <c r="W40" i="2"/>
  <c r="W45" i="2"/>
  <c r="W24" i="2"/>
  <c r="Y51" i="2"/>
  <c r="Y45" i="2"/>
  <c r="Y24" i="2"/>
  <c r="AA51" i="2"/>
  <c r="AA47" i="2"/>
  <c r="Y15" i="2"/>
  <c r="W39" i="2"/>
  <c r="Y66" i="2"/>
  <c r="W64" i="2"/>
  <c r="W11" i="2"/>
  <c r="AA15" i="2"/>
  <c r="W22" i="2"/>
  <c r="W23" i="2"/>
  <c r="Y39" i="2"/>
  <c r="Y38" i="2"/>
  <c r="Y64" i="2"/>
  <c r="Y11" i="2"/>
  <c r="W12" i="2"/>
  <c r="Y23" i="2"/>
  <c r="AA38" i="2"/>
  <c r="AA64" i="2"/>
  <c r="AA11" i="2"/>
  <c r="Y12" i="2"/>
  <c r="W28" i="2"/>
  <c r="AA19" i="2"/>
  <c r="W38" i="2"/>
  <c r="Y22" i="2"/>
  <c r="Y28" i="2"/>
  <c r="AA34" i="2"/>
  <c r="Y33" i="2"/>
  <c r="W57" i="2"/>
  <c r="Y57" i="2"/>
  <c r="W15" i="2"/>
  <c r="AA57" i="2"/>
  <c r="AA24" i="2"/>
  <c r="AA66" i="2"/>
  <c r="AA39" i="2"/>
  <c r="W48" i="2"/>
  <c r="AA60" i="2"/>
  <c r="W18" i="2"/>
  <c r="W44" i="2"/>
  <c r="W63" i="2"/>
  <c r="AA23" i="2"/>
  <c r="AA48" i="2"/>
  <c r="Y48" i="2"/>
  <c r="AA41" i="2"/>
  <c r="Y41" i="2"/>
  <c r="AA22" i="2"/>
  <c r="W29" i="2"/>
  <c r="Y30" i="2"/>
  <c r="AD97" i="2"/>
  <c r="AF97" i="2"/>
  <c r="AH97" i="2"/>
  <c r="P107" i="2" l="1"/>
  <c r="J107" i="2"/>
  <c r="N107" i="2"/>
  <c r="R107" i="2"/>
  <c r="T107" i="2"/>
  <c r="F107" i="2"/>
  <c r="H107" i="2"/>
  <c r="L108" i="2"/>
  <c r="T108" i="2"/>
  <c r="V107" i="2"/>
  <c r="CO108" i="2"/>
  <c r="R108" i="2"/>
  <c r="F108" i="2"/>
  <c r="CO107" i="2"/>
  <c r="P108" i="2"/>
  <c r="N108" i="2"/>
  <c r="J108" i="2"/>
  <c r="V108" i="2"/>
  <c r="H108" i="2"/>
  <c r="L107" i="2"/>
  <c r="CM11" i="2"/>
  <c r="DA8" i="2"/>
  <c r="CQ8" i="2"/>
  <c r="CQ7" i="2"/>
  <c r="CQ34" i="2"/>
  <c r="CQ9" i="2"/>
  <c r="CQ17" i="2"/>
  <c r="CQ51" i="2"/>
  <c r="CM52" i="2"/>
  <c r="DA52" i="2"/>
  <c r="CM25" i="2"/>
  <c r="DA25" i="2"/>
  <c r="CQ56" i="2"/>
  <c r="CQ45" i="2"/>
  <c r="CQ29" i="2"/>
  <c r="DA7" i="2"/>
  <c r="DA32" i="2"/>
  <c r="CM32" i="2"/>
  <c r="CQ22" i="2"/>
  <c r="CM40" i="2"/>
  <c r="DA40" i="2"/>
  <c r="CQ63" i="2"/>
  <c r="CQ38" i="2"/>
  <c r="CQ68" i="2"/>
  <c r="CQ64" i="2"/>
  <c r="CQ24" i="2"/>
  <c r="CQ32" i="2"/>
  <c r="CQ43" i="2"/>
  <c r="CQ39" i="2"/>
  <c r="CQ20" i="2"/>
  <c r="CQ58" i="2"/>
  <c r="CQ54" i="2"/>
  <c r="CQ31" i="2"/>
  <c r="CQ23" i="2"/>
  <c r="CQ50" i="2"/>
  <c r="CQ52" i="2"/>
  <c r="CQ47" i="2"/>
  <c r="CQ36" i="2"/>
  <c r="CQ59" i="2"/>
  <c r="CQ49" i="2"/>
  <c r="CQ33" i="2"/>
  <c r="CQ16" i="2"/>
  <c r="CQ25" i="2"/>
  <c r="CQ35" i="2"/>
  <c r="CQ30" i="2"/>
  <c r="CQ15" i="2"/>
  <c r="CQ44" i="2"/>
  <c r="CQ14" i="2"/>
  <c r="CQ28" i="2"/>
  <c r="CQ11" i="2"/>
  <c r="CQ41" i="2"/>
  <c r="CQ40" i="2"/>
  <c r="DA3" i="2"/>
  <c r="CQ66" i="2"/>
  <c r="CQ67" i="2"/>
  <c r="CQ10" i="2"/>
  <c r="CM67" i="2"/>
  <c r="DA67" i="2"/>
  <c r="CQ4" i="2"/>
  <c r="CQ37" i="2"/>
  <c r="CQ60" i="2"/>
  <c r="CQ26" i="2"/>
  <c r="CQ5" i="2"/>
  <c r="CQ21" i="2"/>
  <c r="CQ81" i="2"/>
  <c r="CQ55" i="2"/>
  <c r="CQ19" i="2"/>
  <c r="CQ6" i="2"/>
  <c r="CQ46" i="2"/>
  <c r="CQ70" i="2"/>
  <c r="CQ13" i="2"/>
  <c r="CM8" i="2"/>
  <c r="CQ57" i="2"/>
  <c r="CQ12" i="2"/>
  <c r="CQ48" i="2"/>
  <c r="CQ18" i="2"/>
  <c r="DA11" i="2"/>
  <c r="CQ27" i="2"/>
  <c r="CM22" i="2"/>
  <c r="DA22" i="2"/>
  <c r="CM27" i="2"/>
  <c r="DA27" i="2"/>
  <c r="CM43" i="2"/>
  <c r="DA43" i="2"/>
  <c r="CM24" i="2"/>
  <c r="DA24" i="2"/>
  <c r="CM33" i="2"/>
  <c r="DA33" i="2"/>
  <c r="CM34" i="2"/>
  <c r="DA34" i="2"/>
  <c r="CM29" i="2"/>
  <c r="DA29" i="2"/>
  <c r="CM18" i="2"/>
  <c r="DA18" i="2"/>
  <c r="CM20" i="2"/>
  <c r="DA20" i="2"/>
  <c r="CM9" i="2"/>
  <c r="DA9" i="2"/>
  <c r="CM4" i="2"/>
  <c r="CO4" i="2" s="1"/>
  <c r="DA4" i="2"/>
  <c r="CM58" i="2"/>
  <c r="CO58" i="2" s="1"/>
  <c r="DA58" i="2"/>
  <c r="CM16" i="2"/>
  <c r="DA16" i="2"/>
  <c r="CM39" i="2"/>
  <c r="DA39" i="2"/>
  <c r="DA19" i="2"/>
  <c r="CM19" i="2"/>
  <c r="DA17" i="2"/>
  <c r="CM17" i="2"/>
  <c r="CM70" i="2"/>
  <c r="CO70" i="2" s="1"/>
  <c r="DA70" i="2"/>
  <c r="CM35" i="2"/>
  <c r="DA35" i="2"/>
  <c r="DA26" i="2"/>
  <c r="CM26" i="2"/>
  <c r="CM6" i="2"/>
  <c r="DA6" i="2"/>
  <c r="DA63" i="2"/>
  <c r="CM63" i="2"/>
  <c r="CM51" i="2"/>
  <c r="DA51" i="2"/>
  <c r="DA30" i="2"/>
  <c r="CM30" i="2"/>
  <c r="CM5" i="2"/>
  <c r="DA5" i="2"/>
  <c r="CM38" i="2"/>
  <c r="DA38" i="2"/>
  <c r="CM49" i="2"/>
  <c r="DA49" i="2"/>
  <c r="CM31" i="2"/>
  <c r="DA31" i="2"/>
  <c r="CM15" i="2"/>
  <c r="DA15" i="2"/>
  <c r="CM68" i="2"/>
  <c r="DA68" i="2"/>
  <c r="CM56" i="2"/>
  <c r="DA56" i="2"/>
  <c r="CM44" i="2"/>
  <c r="DA44" i="2"/>
  <c r="CM12" i="2"/>
  <c r="DA12" i="2"/>
  <c r="DA13" i="2"/>
  <c r="CM13" i="2"/>
  <c r="CM60" i="2"/>
  <c r="DA60" i="2"/>
  <c r="DA23" i="2"/>
  <c r="CM23" i="2"/>
  <c r="CM36" i="2"/>
  <c r="DA36" i="2"/>
  <c r="CM66" i="2"/>
  <c r="DA66" i="2"/>
  <c r="CM55" i="2"/>
  <c r="DA55" i="2"/>
  <c r="DA37" i="2"/>
  <c r="CM37" i="2"/>
  <c r="DA10" i="2"/>
  <c r="CM10" i="2"/>
  <c r="CM48" i="2"/>
  <c r="DA48" i="2"/>
  <c r="CM21" i="2"/>
  <c r="DA21" i="2"/>
  <c r="CM54" i="2"/>
  <c r="DA54" i="2"/>
  <c r="DA59" i="2"/>
  <c r="CM59" i="2"/>
  <c r="CM81" i="2"/>
  <c r="DA81" i="2"/>
  <c r="CM46" i="2"/>
  <c r="DA46" i="2"/>
  <c r="CM57" i="2"/>
  <c r="DA57" i="2"/>
  <c r="CM45" i="2"/>
  <c r="DA45" i="2"/>
  <c r="DA41" i="2"/>
  <c r="CM41" i="2"/>
  <c r="CM64" i="2"/>
  <c r="DA64" i="2"/>
  <c r="DA50" i="2"/>
  <c r="CM50" i="2"/>
  <c r="DA47" i="2"/>
  <c r="CM47" i="2"/>
  <c r="CM14" i="2"/>
  <c r="DA14" i="2"/>
  <c r="CM28" i="2"/>
  <c r="DA28" i="2"/>
  <c r="CO96" i="2"/>
  <c r="CO103" i="2"/>
  <c r="CO69" i="2"/>
  <c r="CO71" i="2"/>
  <c r="CO11" i="2"/>
  <c r="CO7" i="2"/>
  <c r="CQ3" i="2"/>
  <c r="CM3" i="2"/>
  <c r="F1" i="2"/>
  <c r="R1" i="2"/>
  <c r="L1" i="2"/>
  <c r="H96" i="2"/>
  <c r="V96" i="2"/>
  <c r="N96" i="2"/>
  <c r="T96" i="2"/>
  <c r="L96" i="2"/>
  <c r="R96" i="2"/>
  <c r="F96" i="2"/>
  <c r="P96" i="2"/>
  <c r="J96" i="2"/>
  <c r="F103" i="2"/>
  <c r="V103" i="2"/>
  <c r="N103" i="2"/>
  <c r="H103" i="2"/>
  <c r="T103" i="2"/>
  <c r="R103" i="2"/>
  <c r="L103" i="2"/>
  <c r="P103" i="2"/>
  <c r="J103" i="2"/>
  <c r="H71" i="2"/>
  <c r="L69" i="2"/>
  <c r="T71" i="2"/>
  <c r="R69" i="2"/>
  <c r="F69" i="2"/>
  <c r="P69" i="2"/>
  <c r="J69" i="2"/>
  <c r="V69" i="2"/>
  <c r="N69" i="2"/>
  <c r="R71" i="2"/>
  <c r="N71" i="2"/>
  <c r="F71" i="2"/>
  <c r="P71" i="2"/>
  <c r="L71" i="2"/>
  <c r="J71" i="2"/>
  <c r="H69" i="2"/>
  <c r="T69" i="2"/>
  <c r="V71" i="2"/>
  <c r="H97" i="2"/>
  <c r="L75" i="2"/>
  <c r="P97" i="2"/>
  <c r="N75" i="2"/>
  <c r="V75" i="2"/>
  <c r="T75" i="2"/>
  <c r="J75" i="2"/>
  <c r="F75" i="2"/>
  <c r="R75" i="2"/>
  <c r="T97" i="2"/>
  <c r="AD75" i="2"/>
  <c r="P75" i="2"/>
  <c r="J97" i="2"/>
  <c r="H75" i="2"/>
  <c r="R97" i="2"/>
  <c r="V97" i="2"/>
  <c r="AH75" i="2"/>
  <c r="N97" i="2"/>
  <c r="AF75" i="2"/>
  <c r="L97" i="2"/>
  <c r="F97" i="2"/>
  <c r="F32" i="2"/>
  <c r="F27" i="2"/>
  <c r="F63" i="2"/>
  <c r="F85" i="2"/>
  <c r="J67" i="2"/>
  <c r="J82" i="2"/>
  <c r="J76" i="2"/>
  <c r="F23" i="2"/>
  <c r="H70" i="2"/>
  <c r="F16" i="2"/>
  <c r="H62" i="2"/>
  <c r="F34" i="2"/>
  <c r="J106" i="2"/>
  <c r="F106" i="2"/>
  <c r="F91" i="2"/>
  <c r="F15" i="2"/>
  <c r="F44" i="2"/>
  <c r="F84" i="2"/>
  <c r="J63" i="2"/>
  <c r="H99" i="2"/>
  <c r="J38" i="2"/>
  <c r="J66" i="2"/>
  <c r="F90" i="2"/>
  <c r="J77" i="2"/>
  <c r="J79" i="2"/>
  <c r="F24" i="2"/>
  <c r="J86" i="2"/>
  <c r="H106" i="2"/>
  <c r="H90" i="2"/>
  <c r="J99" i="2"/>
  <c r="F62" i="2"/>
  <c r="F33" i="2"/>
  <c r="F40" i="2"/>
  <c r="F50" i="2"/>
  <c r="F21" i="2"/>
  <c r="F19" i="2"/>
  <c r="F53" i="2"/>
  <c r="F5" i="2"/>
  <c r="F31" i="2"/>
  <c r="F56" i="2"/>
  <c r="H33" i="2"/>
  <c r="F10" i="2"/>
  <c r="J93" i="2"/>
  <c r="H73" i="2"/>
  <c r="J95" i="2"/>
  <c r="H101" i="2"/>
  <c r="H64" i="2"/>
  <c r="H63" i="2"/>
  <c r="J64" i="2"/>
  <c r="H77" i="2"/>
  <c r="F48" i="2"/>
  <c r="F98" i="2"/>
  <c r="F81" i="2"/>
  <c r="J45" i="2"/>
  <c r="J29" i="2"/>
  <c r="J78" i="2"/>
  <c r="H104" i="2"/>
  <c r="H31" i="2"/>
  <c r="F101" i="2"/>
  <c r="J80" i="2"/>
  <c r="J58" i="2"/>
  <c r="J54" i="2"/>
  <c r="J31" i="2"/>
  <c r="J50" i="2"/>
  <c r="J47" i="2"/>
  <c r="H91" i="2"/>
  <c r="H6" i="2"/>
  <c r="H47" i="2"/>
  <c r="H66" i="2"/>
  <c r="J42" i="2"/>
  <c r="J25" i="2"/>
  <c r="J15" i="2"/>
  <c r="J14" i="2"/>
  <c r="J13" i="2"/>
  <c r="H29" i="2"/>
  <c r="F105" i="2"/>
  <c r="J18" i="2"/>
  <c r="J26" i="2"/>
  <c r="H94" i="2"/>
  <c r="H61" i="2"/>
  <c r="H89" i="2"/>
  <c r="H93" i="2"/>
  <c r="J21" i="2"/>
  <c r="H102" i="2"/>
  <c r="H76" i="2"/>
  <c r="H92" i="2"/>
  <c r="F45" i="2"/>
  <c r="H22" i="2"/>
  <c r="H9" i="2"/>
  <c r="H72" i="2"/>
  <c r="J104" i="2"/>
  <c r="H12" i="2"/>
  <c r="H26" i="2"/>
  <c r="H30" i="2"/>
  <c r="H35" i="2"/>
  <c r="F93" i="2"/>
  <c r="F58" i="2"/>
  <c r="F65" i="2"/>
  <c r="F102" i="2"/>
  <c r="F73" i="2"/>
  <c r="F86" i="2"/>
  <c r="H13" i="2"/>
  <c r="F88" i="2"/>
  <c r="F104" i="2"/>
  <c r="J17" i="2"/>
  <c r="H44" i="2"/>
  <c r="F72" i="2"/>
  <c r="J51" i="2"/>
  <c r="J90" i="2"/>
  <c r="F79" i="2"/>
  <c r="F94" i="2"/>
  <c r="F61" i="2"/>
  <c r="F89" i="2"/>
  <c r="F20" i="2"/>
  <c r="F25" i="2"/>
  <c r="F35" i="2"/>
  <c r="F51" i="2"/>
  <c r="F38" i="2"/>
  <c r="F68" i="2"/>
  <c r="H5" i="2"/>
  <c r="F55" i="2"/>
  <c r="J56" i="2"/>
  <c r="F78" i="2"/>
  <c r="F29" i="2"/>
  <c r="F9" i="2"/>
  <c r="F39" i="2"/>
  <c r="F26" i="2"/>
  <c r="F49" i="2"/>
  <c r="F77" i="2"/>
  <c r="H28" i="2"/>
  <c r="F37" i="2"/>
  <c r="J22" i="2"/>
  <c r="H20" i="2"/>
  <c r="F46" i="2"/>
  <c r="J61" i="2"/>
  <c r="H42" i="2"/>
  <c r="J94" i="2"/>
  <c r="J24" i="2"/>
  <c r="H19" i="2"/>
  <c r="J73" i="2"/>
  <c r="J33" i="2"/>
  <c r="J9" i="2"/>
  <c r="J7" i="2"/>
  <c r="J48" i="2"/>
  <c r="J49" i="2"/>
  <c r="H27" i="2"/>
  <c r="H11" i="2"/>
  <c r="H24" i="2"/>
  <c r="H17" i="2"/>
  <c r="H7" i="2"/>
  <c r="H68" i="2"/>
  <c r="H80" i="2"/>
  <c r="J100" i="2"/>
  <c r="J20" i="2"/>
  <c r="J28" i="2"/>
  <c r="J27" i="2"/>
  <c r="J57" i="2"/>
  <c r="J84" i="2"/>
  <c r="F22" i="2"/>
  <c r="F43" i="2"/>
  <c r="F12" i="2"/>
  <c r="H74" i="2"/>
  <c r="F13" i="2"/>
  <c r="F74" i="2"/>
  <c r="F57" i="2"/>
  <c r="H65" i="2"/>
  <c r="H10" i="2"/>
  <c r="F52" i="2"/>
  <c r="F54" i="2"/>
  <c r="H82" i="2"/>
  <c r="J91" i="2"/>
  <c r="H100" i="2"/>
  <c r="J62" i="2"/>
  <c r="J5" i="2"/>
  <c r="J12" i="2"/>
  <c r="J46" i="2"/>
  <c r="J10" i="2"/>
  <c r="F17" i="2"/>
  <c r="F14" i="2"/>
  <c r="F87" i="2"/>
  <c r="H79" i="2"/>
  <c r="H57" i="2"/>
  <c r="H84" i="2"/>
  <c r="H55" i="2"/>
  <c r="F18" i="2"/>
  <c r="H32" i="2"/>
  <c r="H86" i="2"/>
  <c r="F30" i="2"/>
  <c r="F80" i="2"/>
  <c r="H54" i="2"/>
  <c r="F64" i="2"/>
  <c r="F100" i="2"/>
  <c r="J44" i="2"/>
  <c r="J87" i="2"/>
  <c r="J70" i="2"/>
  <c r="J81" i="2"/>
  <c r="J37" i="2"/>
  <c r="F7" i="2"/>
  <c r="F6" i="2"/>
  <c r="H25" i="2"/>
  <c r="H46" i="2"/>
  <c r="H37" i="2"/>
  <c r="H105" i="2"/>
  <c r="H23" i="2"/>
  <c r="H58" i="2"/>
  <c r="F4" i="2"/>
  <c r="F28" i="2"/>
  <c r="J98" i="2"/>
  <c r="J53" i="2"/>
  <c r="J89" i="2"/>
  <c r="J72" i="2"/>
  <c r="J55" i="2"/>
  <c r="H87" i="2"/>
  <c r="J65" i="2"/>
  <c r="F83" i="2"/>
  <c r="H81" i="2"/>
  <c r="J68" i="2"/>
  <c r="H38" i="2"/>
  <c r="H83" i="2"/>
  <c r="F59" i="2"/>
  <c r="H50" i="2"/>
  <c r="H21" i="2"/>
  <c r="J85" i="2"/>
  <c r="J105" i="2"/>
  <c r="J83" i="2"/>
  <c r="J41" i="2"/>
  <c r="J59" i="2"/>
  <c r="J88" i="2"/>
  <c r="J32" i="2"/>
  <c r="F70" i="2"/>
  <c r="J92" i="2"/>
  <c r="H16" i="2"/>
  <c r="H40" i="2"/>
  <c r="F67" i="2"/>
  <c r="H18" i="2"/>
  <c r="H34" i="2"/>
  <c r="F76" i="2"/>
  <c r="H49" i="2"/>
  <c r="H85" i="2"/>
  <c r="J101" i="2"/>
  <c r="J35" i="2"/>
  <c r="J39" i="2"/>
  <c r="J3" i="2"/>
  <c r="J36" i="2"/>
  <c r="J52" i="2"/>
  <c r="H59" i="2"/>
  <c r="J102" i="2"/>
  <c r="H43" i="2"/>
  <c r="H15" i="2"/>
  <c r="H56" i="2"/>
  <c r="F60" i="2"/>
  <c r="F42" i="2"/>
  <c r="H53" i="2"/>
  <c r="J16" i="2"/>
  <c r="J40" i="2"/>
  <c r="J23" i="2"/>
  <c r="J30" i="2"/>
  <c r="F11" i="2"/>
  <c r="F41" i="2"/>
  <c r="H3" i="2"/>
  <c r="H14" i="2"/>
  <c r="H88" i="2"/>
  <c r="H52" i="2"/>
  <c r="F82" i="2"/>
  <c r="J43" i="2"/>
  <c r="J11" i="2"/>
  <c r="J8" i="2"/>
  <c r="J60" i="2"/>
  <c r="J4" i="2"/>
  <c r="H78" i="2"/>
  <c r="H4" i="2"/>
  <c r="F92" i="2"/>
  <c r="J74" i="2"/>
  <c r="H48" i="2"/>
  <c r="H41" i="2"/>
  <c r="H95" i="2"/>
  <c r="F95" i="2"/>
  <c r="F99" i="2"/>
  <c r="H36" i="2"/>
  <c r="F66" i="2"/>
  <c r="H98" i="2"/>
  <c r="J6" i="2"/>
  <c r="H39" i="2"/>
  <c r="J19" i="2"/>
  <c r="H60" i="2"/>
  <c r="H67" i="2"/>
  <c r="H8" i="2"/>
  <c r="H45" i="2"/>
  <c r="F8" i="2"/>
  <c r="F3" i="2"/>
  <c r="F36" i="2"/>
  <c r="F47" i="2"/>
  <c r="H51" i="2"/>
  <c r="J34" i="2"/>
  <c r="N52" i="2"/>
  <c r="P45" i="2"/>
  <c r="N102" i="2"/>
  <c r="N38" i="2"/>
  <c r="L49" i="2"/>
  <c r="L63" i="2"/>
  <c r="P58" i="2"/>
  <c r="N41" i="2"/>
  <c r="N43" i="2"/>
  <c r="N105" i="2"/>
  <c r="P38" i="2"/>
  <c r="L100" i="2"/>
  <c r="P18" i="2"/>
  <c r="P90" i="2"/>
  <c r="P66" i="2"/>
  <c r="N84" i="2"/>
  <c r="N57" i="2"/>
  <c r="N34" i="2"/>
  <c r="N95" i="2"/>
  <c r="N51" i="2"/>
  <c r="P99" i="2"/>
  <c r="N48" i="2"/>
  <c r="P80" i="2"/>
  <c r="N30" i="2"/>
  <c r="N53" i="2"/>
  <c r="N91" i="2"/>
  <c r="N67" i="2"/>
  <c r="P76" i="2"/>
  <c r="P21" i="2"/>
  <c r="L89" i="2"/>
  <c r="L34" i="2"/>
  <c r="L36" i="2"/>
  <c r="N4" i="2"/>
  <c r="P31" i="2"/>
  <c r="L47" i="2"/>
  <c r="L39" i="2"/>
  <c r="L22" i="2"/>
  <c r="P41" i="2"/>
  <c r="P16" i="2"/>
  <c r="P35" i="2"/>
  <c r="L53" i="2"/>
  <c r="P89" i="2"/>
  <c r="N94" i="2"/>
  <c r="P19" i="2"/>
  <c r="P78" i="2"/>
  <c r="L81" i="2"/>
  <c r="P79" i="2"/>
  <c r="N36" i="2"/>
  <c r="L74" i="2"/>
  <c r="L70" i="2"/>
  <c r="N26" i="2"/>
  <c r="P13" i="2"/>
  <c r="N32" i="2"/>
  <c r="N74" i="2"/>
  <c r="N14" i="2"/>
  <c r="L60" i="2"/>
  <c r="L105" i="2"/>
  <c r="L40" i="2"/>
  <c r="P82" i="2"/>
  <c r="N39" i="2"/>
  <c r="N87" i="2"/>
  <c r="P25" i="2"/>
  <c r="N47" i="2"/>
  <c r="N6" i="2"/>
  <c r="P51" i="2"/>
  <c r="L13" i="2"/>
  <c r="L78" i="2"/>
  <c r="L99" i="2"/>
  <c r="L16" i="2"/>
  <c r="L94" i="2"/>
  <c r="P88" i="2"/>
  <c r="L35" i="2"/>
  <c r="N17" i="2"/>
  <c r="N25" i="2"/>
  <c r="P43" i="2"/>
  <c r="L82" i="2"/>
  <c r="N31" i="2"/>
  <c r="L102" i="2"/>
  <c r="P64" i="2"/>
  <c r="P4" i="2"/>
  <c r="P3" i="2"/>
  <c r="P95" i="2"/>
  <c r="P42" i="2"/>
  <c r="P63" i="2"/>
  <c r="P60" i="2"/>
  <c r="P23" i="2"/>
  <c r="P20" i="2"/>
  <c r="P6" i="2"/>
  <c r="P68" i="2"/>
  <c r="P36" i="2"/>
  <c r="P73" i="2"/>
  <c r="P15" i="2"/>
  <c r="P55" i="2"/>
  <c r="P24" i="2"/>
  <c r="P14" i="2"/>
  <c r="P48" i="2"/>
  <c r="P11" i="2"/>
  <c r="P74" i="2"/>
  <c r="P39" i="2"/>
  <c r="P98" i="2"/>
  <c r="L58" i="2"/>
  <c r="N24" i="2"/>
  <c r="N62" i="2"/>
  <c r="N46" i="2"/>
  <c r="P9" i="2"/>
  <c r="L50" i="2"/>
  <c r="L20" i="2"/>
  <c r="L43" i="2"/>
  <c r="L85" i="2"/>
  <c r="N90" i="2"/>
  <c r="L83" i="2"/>
  <c r="N56" i="2"/>
  <c r="L57" i="2"/>
  <c r="N68" i="2"/>
  <c r="L10" i="2"/>
  <c r="N11" i="2"/>
  <c r="N104" i="2"/>
  <c r="N5" i="2"/>
  <c r="N28" i="2"/>
  <c r="N58" i="2"/>
  <c r="N99" i="2"/>
  <c r="N83" i="2"/>
  <c r="N76" i="2"/>
  <c r="N19" i="2"/>
  <c r="N3" i="2"/>
  <c r="N8" i="2"/>
  <c r="N12" i="2"/>
  <c r="N66" i="2"/>
  <c r="N59" i="2"/>
  <c r="N27" i="2"/>
  <c r="N88" i="2"/>
  <c r="N55" i="2"/>
  <c r="N72" i="2"/>
  <c r="N29" i="2"/>
  <c r="N101" i="2"/>
  <c r="N81" i="2"/>
  <c r="P27" i="2"/>
  <c r="L76" i="2"/>
  <c r="L26" i="2"/>
  <c r="L93" i="2"/>
  <c r="L62" i="2"/>
  <c r="L3" i="2"/>
  <c r="L64" i="2"/>
  <c r="L104" i="2"/>
  <c r="P72" i="2"/>
  <c r="N22" i="2"/>
  <c r="P100" i="2"/>
  <c r="L21" i="2"/>
  <c r="N13" i="2"/>
  <c r="N78" i="2"/>
  <c r="N79" i="2"/>
  <c r="P33" i="2"/>
  <c r="N92" i="2"/>
  <c r="N21" i="2"/>
  <c r="P12" i="2"/>
  <c r="L18" i="2"/>
  <c r="L44" i="2"/>
  <c r="L61" i="2"/>
  <c r="L98" i="2"/>
  <c r="L4" i="2"/>
  <c r="L66" i="2"/>
  <c r="L106" i="2"/>
  <c r="L52" i="2"/>
  <c r="L15" i="2"/>
  <c r="L29" i="2"/>
  <c r="L11" i="2"/>
  <c r="L38" i="2"/>
  <c r="L95" i="2"/>
  <c r="L12" i="2"/>
  <c r="L32" i="2"/>
  <c r="L55" i="2"/>
  <c r="L42" i="2"/>
  <c r="L6" i="2"/>
  <c r="L37" i="2"/>
  <c r="L54" i="2"/>
  <c r="L46" i="2"/>
  <c r="L90" i="2"/>
  <c r="L51" i="2"/>
  <c r="L7" i="2"/>
  <c r="L30" i="2"/>
  <c r="L84" i="2"/>
  <c r="L80" i="2"/>
  <c r="P37" i="2"/>
  <c r="L87" i="2"/>
  <c r="P104" i="2"/>
  <c r="P81" i="2"/>
  <c r="N93" i="2"/>
  <c r="P86" i="2"/>
  <c r="N106" i="2"/>
  <c r="P65" i="2"/>
  <c r="N33" i="2"/>
  <c r="P70" i="2"/>
  <c r="L24" i="2"/>
  <c r="L45" i="2"/>
  <c r="N100" i="2"/>
  <c r="L27" i="2"/>
  <c r="P10" i="2"/>
  <c r="P46" i="2"/>
  <c r="N63" i="2"/>
  <c r="P52" i="2"/>
  <c r="N64" i="2"/>
  <c r="P102" i="2"/>
  <c r="P28" i="2"/>
  <c r="N77" i="2"/>
  <c r="N85" i="2"/>
  <c r="P106" i="2"/>
  <c r="L56" i="2"/>
  <c r="P40" i="2"/>
  <c r="N44" i="2"/>
  <c r="N61" i="2"/>
  <c r="P32" i="2"/>
  <c r="L8" i="2"/>
  <c r="P30" i="2"/>
  <c r="L19" i="2"/>
  <c r="L9" i="2"/>
  <c r="P84" i="2"/>
  <c r="N42" i="2"/>
  <c r="P57" i="2"/>
  <c r="P59" i="2"/>
  <c r="P8" i="2"/>
  <c r="P92" i="2"/>
  <c r="P44" i="2"/>
  <c r="N65" i="2"/>
  <c r="L65" i="2"/>
  <c r="N45" i="2"/>
  <c r="L25" i="2"/>
  <c r="N54" i="2"/>
  <c r="P62" i="2"/>
  <c r="N60" i="2"/>
  <c r="L68" i="2"/>
  <c r="N70" i="2"/>
  <c r="N10" i="2"/>
  <c r="P49" i="2"/>
  <c r="L17" i="2"/>
  <c r="L73" i="2"/>
  <c r="L33" i="2"/>
  <c r="P5" i="2"/>
  <c r="P54" i="2"/>
  <c r="N82" i="2"/>
  <c r="L77" i="2"/>
  <c r="N35" i="2"/>
  <c r="N86" i="2"/>
  <c r="N50" i="2"/>
  <c r="N73" i="2"/>
  <c r="P87" i="2"/>
  <c r="N40" i="2"/>
  <c r="P94" i="2"/>
  <c r="N23" i="2"/>
  <c r="N89" i="2"/>
  <c r="N37" i="2"/>
  <c r="N9" i="2"/>
  <c r="P50" i="2"/>
  <c r="P105" i="2"/>
  <c r="P56" i="2"/>
  <c r="L28" i="2"/>
  <c r="P29" i="2"/>
  <c r="P91" i="2"/>
  <c r="P101" i="2"/>
  <c r="N80" i="2"/>
  <c r="L79" i="2"/>
  <c r="L14" i="2"/>
  <c r="P22" i="2"/>
  <c r="N15" i="2"/>
  <c r="L59" i="2"/>
  <c r="P61" i="2"/>
  <c r="L101" i="2"/>
  <c r="P26" i="2"/>
  <c r="P17" i="2"/>
  <c r="L5" i="2"/>
  <c r="P53" i="2"/>
  <c r="P93" i="2"/>
  <c r="L41" i="2"/>
  <c r="L88" i="2"/>
  <c r="N20" i="2"/>
  <c r="P85" i="2"/>
  <c r="N49" i="2"/>
  <c r="L67" i="2"/>
  <c r="P34" i="2"/>
  <c r="P83" i="2"/>
  <c r="P67" i="2"/>
  <c r="L31" i="2"/>
  <c r="L72" i="2"/>
  <c r="N16" i="2"/>
  <c r="N18" i="2"/>
  <c r="L48" i="2"/>
  <c r="P7" i="2"/>
  <c r="L91" i="2"/>
  <c r="P47" i="2"/>
  <c r="L92" i="2"/>
  <c r="L86" i="2"/>
  <c r="N7" i="2"/>
  <c r="L23" i="2"/>
  <c r="P77" i="2"/>
  <c r="N98" i="2"/>
  <c r="V100" i="2"/>
  <c r="V99" i="2"/>
  <c r="T100" i="2"/>
  <c r="R106" i="2"/>
  <c r="V87" i="2"/>
  <c r="T99" i="2"/>
  <c r="R85" i="2"/>
  <c r="V89" i="2"/>
  <c r="T104" i="2"/>
  <c r="R47" i="2"/>
  <c r="V15" i="2"/>
  <c r="T67" i="2"/>
  <c r="V106" i="2"/>
  <c r="R35" i="2"/>
  <c r="T9" i="2"/>
  <c r="R34" i="2"/>
  <c r="V58" i="2"/>
  <c r="V92" i="2"/>
  <c r="R38" i="2"/>
  <c r="V66" i="2"/>
  <c r="V14" i="2"/>
  <c r="R42" i="2"/>
  <c r="V37" i="2"/>
  <c r="R90" i="2"/>
  <c r="R14" i="2"/>
  <c r="V23" i="2"/>
  <c r="T20" i="2"/>
  <c r="T56" i="2"/>
  <c r="V54" i="2"/>
  <c r="R54" i="2"/>
  <c r="T98" i="2"/>
  <c r="T95" i="2"/>
  <c r="T22" i="2"/>
  <c r="T81" i="2"/>
  <c r="R50" i="2"/>
  <c r="V36" i="2"/>
  <c r="R36" i="2"/>
  <c r="V64" i="2"/>
  <c r="R98" i="2"/>
  <c r="R3" i="2"/>
  <c r="R95" i="2"/>
  <c r="R55" i="2"/>
  <c r="R81" i="2"/>
  <c r="T13" i="2"/>
  <c r="R24" i="2"/>
  <c r="V8" i="2"/>
  <c r="V10" i="2"/>
  <c r="R77" i="2"/>
  <c r="V19" i="2"/>
  <c r="R19" i="2"/>
  <c r="T43" i="2"/>
  <c r="T54" i="2"/>
  <c r="R37" i="2"/>
  <c r="V30" i="2"/>
  <c r="T23" i="2"/>
  <c r="R100" i="2"/>
  <c r="V104" i="2"/>
  <c r="T93" i="2"/>
  <c r="R66" i="2"/>
  <c r="V88" i="2"/>
  <c r="T57" i="2"/>
  <c r="V76" i="2"/>
  <c r="R5" i="2"/>
  <c r="V9" i="2"/>
  <c r="V50" i="2"/>
  <c r="V52" i="2"/>
  <c r="V93" i="2"/>
  <c r="V13" i="2"/>
  <c r="V105" i="2"/>
  <c r="R13" i="2"/>
  <c r="T32" i="2"/>
  <c r="T36" i="2"/>
  <c r="V11" i="2"/>
  <c r="V26" i="2"/>
  <c r="V4" i="2"/>
  <c r="V98" i="2"/>
  <c r="V91" i="2"/>
  <c r="V90" i="2"/>
  <c r="R102" i="2"/>
  <c r="R46" i="2"/>
  <c r="R99" i="2"/>
  <c r="V7" i="2"/>
  <c r="V40" i="2"/>
  <c r="R78" i="2"/>
  <c r="R31" i="2"/>
  <c r="V29" i="2"/>
  <c r="T66" i="2"/>
  <c r="R30" i="2"/>
  <c r="V72" i="2"/>
  <c r="R89" i="2"/>
  <c r="V17" i="2"/>
  <c r="R105" i="2"/>
  <c r="V49" i="2"/>
  <c r="R26" i="2"/>
  <c r="T78" i="2"/>
  <c r="R9" i="2"/>
  <c r="V43" i="2"/>
  <c r="T27" i="2"/>
  <c r="R6" i="2"/>
  <c r="T82" i="2"/>
  <c r="R87" i="2"/>
  <c r="R45" i="2"/>
  <c r="V28" i="2"/>
  <c r="T16" i="2"/>
  <c r="V59" i="2"/>
  <c r="T64" i="2"/>
  <c r="R101" i="2"/>
  <c r="R92" i="2"/>
  <c r="T80" i="2"/>
  <c r="T94" i="2"/>
  <c r="R76" i="2"/>
  <c r="V38" i="2"/>
  <c r="T15" i="2"/>
  <c r="V61" i="2"/>
  <c r="T48" i="2"/>
  <c r="V20" i="2"/>
  <c r="V53" i="2"/>
  <c r="R63" i="2"/>
  <c r="T6" i="2"/>
  <c r="R15" i="2"/>
  <c r="T41" i="2"/>
  <c r="V18" i="2"/>
  <c r="T38" i="2"/>
  <c r="V74" i="2"/>
  <c r="V62" i="2"/>
  <c r="V57" i="2"/>
  <c r="T46" i="2"/>
  <c r="T79" i="2"/>
  <c r="R94" i="2"/>
  <c r="V81" i="2"/>
  <c r="T18" i="2"/>
  <c r="T31" i="2"/>
  <c r="V47" i="2"/>
  <c r="T102" i="2"/>
  <c r="T68" i="2"/>
  <c r="T74" i="2"/>
  <c r="T105" i="2"/>
  <c r="R33" i="2"/>
  <c r="R16" i="2"/>
  <c r="V95" i="2"/>
  <c r="T14" i="2"/>
  <c r="R17" i="2"/>
  <c r="T91" i="2"/>
  <c r="T59" i="2"/>
  <c r="T58" i="2"/>
  <c r="T49" i="2"/>
  <c r="V25" i="2"/>
  <c r="R67" i="2"/>
  <c r="T47" i="2"/>
  <c r="V3" i="2"/>
  <c r="T76" i="2"/>
  <c r="V24" i="2"/>
  <c r="R25" i="2"/>
  <c r="R10" i="2"/>
  <c r="V16" i="2"/>
  <c r="T12" i="2"/>
  <c r="R22" i="2"/>
  <c r="T85" i="2"/>
  <c r="R21" i="2"/>
  <c r="T40" i="2"/>
  <c r="R23" i="2"/>
  <c r="T63" i="2"/>
  <c r="V44" i="2"/>
  <c r="T70" i="2"/>
  <c r="T60" i="2"/>
  <c r="V55" i="2"/>
  <c r="V31" i="2"/>
  <c r="V6" i="2"/>
  <c r="T33" i="2"/>
  <c r="V65" i="2"/>
  <c r="T5" i="2"/>
  <c r="R104" i="2"/>
  <c r="R65" i="2"/>
  <c r="R8" i="2"/>
  <c r="T92" i="2"/>
  <c r="R80" i="2"/>
  <c r="R82" i="2"/>
  <c r="R88" i="2"/>
  <c r="T11" i="2"/>
  <c r="V42" i="2"/>
  <c r="R93" i="2"/>
  <c r="R44" i="2"/>
  <c r="T34" i="2"/>
  <c r="T88" i="2"/>
  <c r="V35" i="2"/>
  <c r="V48" i="2"/>
  <c r="R62" i="2"/>
  <c r="R48" i="2"/>
  <c r="T87" i="2"/>
  <c r="T77" i="2"/>
  <c r="T4" i="2"/>
  <c r="T10" i="2"/>
  <c r="V56" i="2"/>
  <c r="V73" i="2"/>
  <c r="T84" i="2"/>
  <c r="V94" i="2"/>
  <c r="V70" i="2"/>
  <c r="R28" i="2"/>
  <c r="R43" i="2"/>
  <c r="R70" i="2"/>
  <c r="T21" i="2"/>
  <c r="T73" i="2"/>
  <c r="V46" i="2"/>
  <c r="V67" i="2"/>
  <c r="T50" i="2"/>
  <c r="V68" i="2"/>
  <c r="T52" i="2"/>
  <c r="R68" i="2"/>
  <c r="R74" i="2"/>
  <c r="V21" i="2"/>
  <c r="R32" i="2"/>
  <c r="T83" i="2"/>
  <c r="R27" i="2"/>
  <c r="V45" i="2"/>
  <c r="V85" i="2"/>
  <c r="T90" i="2"/>
  <c r="V79" i="2"/>
  <c r="T30" i="2"/>
  <c r="T62" i="2"/>
  <c r="R49" i="2"/>
  <c r="R61" i="2"/>
  <c r="R79" i="2"/>
  <c r="T72" i="2"/>
  <c r="T89" i="2"/>
  <c r="R18" i="2"/>
  <c r="T53" i="2"/>
  <c r="V84" i="2"/>
  <c r="R84" i="2"/>
  <c r="T86" i="2"/>
  <c r="V12" i="2"/>
  <c r="V51" i="2"/>
  <c r="V82" i="2"/>
  <c r="R7" i="2"/>
  <c r="V32" i="2"/>
  <c r="V86" i="2"/>
  <c r="T26" i="2"/>
  <c r="T35" i="2"/>
  <c r="V60" i="2"/>
  <c r="V78" i="2"/>
  <c r="V77" i="2"/>
  <c r="T45" i="2"/>
  <c r="V63" i="2"/>
  <c r="R4" i="2"/>
  <c r="T39" i="2"/>
  <c r="T42" i="2"/>
  <c r="R56" i="2"/>
  <c r="R52" i="2"/>
  <c r="R73" i="2"/>
  <c r="V27" i="2"/>
  <c r="V34" i="2"/>
  <c r="T65" i="2"/>
  <c r="R57" i="2"/>
  <c r="T51" i="2"/>
  <c r="T106" i="2"/>
  <c r="R91" i="2"/>
  <c r="V80" i="2"/>
  <c r="V5" i="2"/>
  <c r="R51" i="2"/>
  <c r="T55" i="2"/>
  <c r="T24" i="2"/>
  <c r="T25" i="2"/>
  <c r="R60" i="2"/>
  <c r="R58" i="2"/>
  <c r="V102" i="2"/>
  <c r="R11" i="2"/>
  <c r="R53" i="2"/>
  <c r="V33" i="2"/>
  <c r="T17" i="2"/>
  <c r="V41" i="2"/>
  <c r="V83" i="2"/>
  <c r="T7" i="2"/>
  <c r="R41" i="2"/>
  <c r="T28" i="2"/>
  <c r="R59" i="2"/>
  <c r="R64" i="2"/>
  <c r="V101" i="2"/>
  <c r="T3" i="2"/>
  <c r="R83" i="2"/>
  <c r="V22" i="2"/>
  <c r="T8" i="2"/>
  <c r="T37" i="2"/>
  <c r="V39" i="2"/>
  <c r="R72" i="2"/>
  <c r="R20" i="2"/>
  <c r="R39" i="2"/>
  <c r="T19" i="2"/>
  <c r="T44" i="2"/>
  <c r="T29" i="2"/>
  <c r="R86" i="2"/>
  <c r="R40" i="2"/>
  <c r="R29" i="2"/>
  <c r="R12" i="2"/>
  <c r="T61" i="2"/>
  <c r="T101" i="2"/>
  <c r="AF82" i="2"/>
  <c r="AH25" i="2"/>
  <c r="AF64" i="2"/>
  <c r="AF54" i="2"/>
  <c r="AF83" i="2"/>
  <c r="AF101" i="2"/>
  <c r="AD64" i="2"/>
  <c r="AD95" i="2"/>
  <c r="AF30" i="2"/>
  <c r="AH63" i="2"/>
  <c r="AH48" i="2"/>
  <c r="AD66" i="2"/>
  <c r="AD32" i="2"/>
  <c r="AD22" i="2"/>
  <c r="AH5" i="2"/>
  <c r="AF21" i="2"/>
  <c r="AH88" i="2"/>
  <c r="AF8" i="2"/>
  <c r="AH94" i="2"/>
  <c r="AF38" i="2"/>
  <c r="AF93" i="2"/>
  <c r="AH84" i="2"/>
  <c r="AD26" i="2"/>
  <c r="AH4" i="2"/>
  <c r="AH105" i="2"/>
  <c r="AD52" i="2"/>
  <c r="AH6" i="2"/>
  <c r="AH20" i="2"/>
  <c r="AH57" i="2"/>
  <c r="AH38" i="2"/>
  <c r="AH16" i="2"/>
  <c r="AH9" i="2"/>
  <c r="AH65" i="2"/>
  <c r="AH13" i="2"/>
  <c r="AH29" i="2"/>
  <c r="AH106" i="2"/>
  <c r="AH87" i="2"/>
  <c r="AH104" i="2"/>
  <c r="AH22" i="2"/>
  <c r="AH30" i="2"/>
  <c r="AH86" i="2"/>
  <c r="AH58" i="2"/>
  <c r="AH56" i="2"/>
  <c r="AH45" i="2"/>
  <c r="AH76" i="2"/>
  <c r="AH59" i="2"/>
  <c r="AH91" i="2"/>
  <c r="AH44" i="2"/>
  <c r="AH61" i="2"/>
  <c r="AH15" i="2"/>
  <c r="AH55" i="2"/>
  <c r="AH79" i="2"/>
  <c r="AH28" i="2"/>
  <c r="AH85" i="2"/>
  <c r="AD27" i="2"/>
  <c r="AF9" i="2"/>
  <c r="AH17" i="2"/>
  <c r="AD54" i="2"/>
  <c r="AH11" i="2"/>
  <c r="AD67" i="2"/>
  <c r="AH35" i="2"/>
  <c r="AH89" i="2"/>
  <c r="AD63" i="2"/>
  <c r="AF20" i="2"/>
  <c r="AD100" i="2"/>
  <c r="AF47" i="2"/>
  <c r="AH101" i="2"/>
  <c r="AF6" i="2"/>
  <c r="AH14" i="2"/>
  <c r="AD14" i="2"/>
  <c r="AD33" i="2"/>
  <c r="AF98" i="2"/>
  <c r="AF72" i="2"/>
  <c r="AD16" i="2"/>
  <c r="AD58" i="2"/>
  <c r="AF57" i="2"/>
  <c r="AH19" i="2"/>
  <c r="AF102" i="2"/>
  <c r="AH41" i="2"/>
  <c r="AD3" i="2"/>
  <c r="AH99" i="2"/>
  <c r="AD6" i="2"/>
  <c r="AD99" i="2"/>
  <c r="AF5" i="2"/>
  <c r="AF25" i="2"/>
  <c r="AH92" i="2"/>
  <c r="AH70" i="2"/>
  <c r="AF31" i="2"/>
  <c r="AF36" i="2"/>
  <c r="AH42" i="2"/>
  <c r="AD28" i="2"/>
  <c r="AH77" i="2"/>
  <c r="AD78" i="2"/>
  <c r="AD91" i="2"/>
  <c r="AF76" i="2"/>
  <c r="AH23" i="2"/>
  <c r="AD82" i="2"/>
  <c r="AH37" i="2"/>
  <c r="AH40" i="2"/>
  <c r="AD37" i="2"/>
  <c r="AF55" i="2"/>
  <c r="AD80" i="2"/>
  <c r="AF32" i="2"/>
  <c r="AF104" i="2"/>
  <c r="AH49" i="2"/>
  <c r="AF41" i="2"/>
  <c r="AH39" i="2"/>
  <c r="AD12" i="2"/>
  <c r="AH3" i="2"/>
  <c r="AF105" i="2"/>
  <c r="AF87" i="2"/>
  <c r="AD73" i="2"/>
  <c r="AH82" i="2"/>
  <c r="AD21" i="2"/>
  <c r="AF67" i="2"/>
  <c r="AF16" i="2"/>
  <c r="AD10" i="2"/>
  <c r="AD38" i="2"/>
  <c r="AF28" i="2"/>
  <c r="AH12" i="2"/>
  <c r="AH64" i="2"/>
  <c r="AH50" i="2"/>
  <c r="AH68" i="2"/>
  <c r="AD98" i="2"/>
  <c r="AH43" i="2"/>
  <c r="AF19" i="2"/>
  <c r="AD49" i="2"/>
  <c r="AF65" i="2"/>
  <c r="AH74" i="2"/>
  <c r="AF62" i="2"/>
  <c r="AD74" i="2"/>
  <c r="AF17" i="2"/>
  <c r="AH72" i="2"/>
  <c r="AH31" i="2"/>
  <c r="AF35" i="2"/>
  <c r="AF106" i="2"/>
  <c r="AD84" i="2"/>
  <c r="AH32" i="2"/>
  <c r="AD4" i="2"/>
  <c r="AD101" i="2"/>
  <c r="AF92" i="2"/>
  <c r="AH73" i="2"/>
  <c r="AD65" i="2"/>
  <c r="AH54" i="2"/>
  <c r="AF95" i="2"/>
  <c r="AH8" i="2"/>
  <c r="AD83" i="2"/>
  <c r="AD23" i="2"/>
  <c r="AH26" i="2"/>
  <c r="AH100" i="2"/>
  <c r="AF61" i="2"/>
  <c r="AD39" i="2"/>
  <c r="AF34" i="2"/>
  <c r="AD17" i="2"/>
  <c r="AD79" i="2"/>
  <c r="AF73" i="2"/>
  <c r="AH83" i="2"/>
  <c r="AD5" i="2"/>
  <c r="AF88" i="2"/>
  <c r="AF10" i="2"/>
  <c r="AD31" i="2"/>
  <c r="AD89" i="2"/>
  <c r="AH52" i="2"/>
  <c r="AF44" i="2"/>
  <c r="AH10" i="2"/>
  <c r="AD85" i="2"/>
  <c r="AH27" i="2"/>
  <c r="AH24" i="2"/>
  <c r="AD56" i="2"/>
  <c r="AH98" i="2"/>
  <c r="AF48" i="2"/>
  <c r="AF53" i="2"/>
  <c r="AD76" i="2"/>
  <c r="AH95" i="2"/>
  <c r="AF78" i="2"/>
  <c r="AF59" i="2"/>
  <c r="AH36" i="2"/>
  <c r="AF79" i="2"/>
  <c r="AD81" i="2"/>
  <c r="AH47" i="2"/>
  <c r="AD30" i="2"/>
  <c r="AH33" i="2"/>
  <c r="AD24" i="2"/>
  <c r="AF86" i="2"/>
  <c r="AF12" i="2"/>
  <c r="AH62" i="2"/>
  <c r="AH46" i="2"/>
  <c r="AH66" i="2"/>
  <c r="AH18" i="2"/>
  <c r="AH93" i="2"/>
  <c r="AF37" i="2"/>
  <c r="AF90" i="2"/>
  <c r="AD42" i="2"/>
  <c r="AH60" i="2"/>
  <c r="AH81" i="2"/>
  <c r="AH34" i="2"/>
  <c r="AH51" i="2"/>
  <c r="AD34" i="2"/>
  <c r="AD25" i="2"/>
  <c r="AD8" i="2"/>
  <c r="AD92" i="2"/>
  <c r="AF89" i="2"/>
  <c r="AH80" i="2"/>
  <c r="AF29" i="2"/>
  <c r="AD19" i="2"/>
  <c r="AD47" i="2"/>
  <c r="AD50" i="2"/>
  <c r="AD43" i="2"/>
  <c r="AF33" i="2"/>
  <c r="AH67" i="2"/>
  <c r="AF23" i="2"/>
  <c r="AF11" i="2"/>
  <c r="AF94" i="2"/>
  <c r="AH90" i="2"/>
  <c r="AD86" i="2"/>
  <c r="AH78" i="2"/>
  <c r="AF13" i="2"/>
  <c r="AD68" i="2"/>
  <c r="AF18" i="2"/>
  <c r="AD94" i="2"/>
  <c r="AD36" i="2"/>
  <c r="AF84" i="2"/>
  <c r="AF39" i="2"/>
  <c r="AF4" i="2"/>
  <c r="AD44" i="2"/>
  <c r="AD104" i="2"/>
  <c r="AF3" i="2"/>
  <c r="AF50" i="2"/>
  <c r="AD48" i="2"/>
  <c r="AF99" i="2"/>
  <c r="AD59" i="2"/>
  <c r="AD62" i="2"/>
  <c r="AF68" i="2"/>
  <c r="AF45" i="2"/>
  <c r="AF66" i="2"/>
  <c r="AD72" i="2"/>
  <c r="AF85" i="2"/>
  <c r="AD18" i="2"/>
  <c r="AF40" i="2"/>
  <c r="AD106" i="2"/>
  <c r="AD61" i="2"/>
  <c r="AF60" i="2"/>
  <c r="AD15" i="2"/>
  <c r="AD105" i="2"/>
  <c r="AF81" i="2"/>
  <c r="AF24" i="2"/>
  <c r="AF70" i="2"/>
  <c r="AD11" i="2"/>
  <c r="AF15" i="2"/>
  <c r="AD57" i="2"/>
  <c r="AF100" i="2"/>
  <c r="AD20" i="2"/>
  <c r="AF52" i="2"/>
  <c r="AD102" i="2"/>
  <c r="AF7" i="2"/>
  <c r="AF91" i="2"/>
  <c r="AD60" i="2"/>
  <c r="AH53" i="2"/>
  <c r="AD87" i="2"/>
  <c r="AH21" i="2"/>
  <c r="AD51" i="2"/>
  <c r="AD46" i="2"/>
  <c r="AD45" i="2"/>
  <c r="AD70" i="2"/>
  <c r="AH7" i="2"/>
  <c r="AD35" i="2"/>
  <c r="AF42" i="2"/>
  <c r="AH102" i="2"/>
  <c r="AF77" i="2"/>
  <c r="AD13" i="2"/>
  <c r="AD88" i="2"/>
  <c r="AD7" i="2"/>
  <c r="AF22" i="2"/>
  <c r="AD41" i="2"/>
  <c r="AF74" i="2"/>
  <c r="AD9" i="2"/>
  <c r="AD53" i="2"/>
  <c r="AF46" i="2"/>
  <c r="AF49" i="2"/>
  <c r="AF56" i="2"/>
  <c r="AF63" i="2"/>
  <c r="AF26" i="2"/>
  <c r="AD90" i="2"/>
  <c r="AD29" i="2"/>
  <c r="AF27" i="2"/>
  <c r="AD77" i="2"/>
  <c r="AF43" i="2"/>
  <c r="AF14" i="2"/>
  <c r="AF51" i="2"/>
  <c r="AF58" i="2"/>
  <c r="AD93" i="2"/>
  <c r="AD40" i="2"/>
  <c r="AF80" i="2"/>
  <c r="AD55" i="2"/>
  <c r="CO40" i="2" l="1"/>
  <c r="CO52" i="2"/>
  <c r="CO3" i="2"/>
  <c r="CO47" i="2"/>
  <c r="CO67" i="2"/>
  <c r="CO50" i="2"/>
  <c r="CO59" i="2"/>
  <c r="CO32" i="2"/>
  <c r="CO23" i="2"/>
  <c r="CO81" i="2"/>
  <c r="CO48" i="2"/>
  <c r="CO8" i="2"/>
  <c r="CO41" i="2"/>
  <c r="CO31" i="2"/>
  <c r="CO51" i="2"/>
  <c r="CO64" i="2"/>
  <c r="CO25" i="2"/>
  <c r="CO28" i="2"/>
  <c r="CO14" i="2"/>
  <c r="CO45" i="2"/>
  <c r="CO57" i="2"/>
  <c r="CO46" i="2"/>
  <c r="CO54" i="2"/>
  <c r="CO21" i="2"/>
  <c r="CO10" i="2"/>
  <c r="CO37" i="2"/>
  <c r="CO55" i="2"/>
  <c r="CO66" i="2"/>
  <c r="CO36" i="2"/>
  <c r="CO60" i="2"/>
  <c r="CO13" i="2"/>
  <c r="CO12" i="2"/>
  <c r="CO44" i="2"/>
  <c r="CO56" i="2"/>
  <c r="CO68" i="2"/>
  <c r="CO15" i="2"/>
  <c r="CO49" i="2"/>
  <c r="CO38" i="2"/>
  <c r="CO5" i="2"/>
  <c r="CO30" i="2"/>
  <c r="CO63" i="2"/>
  <c r="CO6" i="2"/>
  <c r="CO26" i="2"/>
  <c r="CO35" i="2"/>
  <c r="CO17" i="2"/>
  <c r="CO19" i="2"/>
  <c r="CO39" i="2"/>
  <c r="CO16" i="2"/>
  <c r="CO9" i="2"/>
  <c r="CO20" i="2"/>
  <c r="CO18" i="2"/>
  <c r="CO29" i="2"/>
  <c r="CO34" i="2"/>
  <c r="CO33" i="2"/>
  <c r="CO24" i="2"/>
  <c r="CO43" i="2"/>
  <c r="CO27" i="2"/>
  <c r="CO22" i="2"/>
  <c r="Y94" i="2"/>
  <c r="Y79" i="2"/>
  <c r="Y91" i="2"/>
  <c r="Y86" i="2"/>
  <c r="Y92" i="2"/>
  <c r="Y74" i="2"/>
  <c r="Y84" i="2"/>
  <c r="Y98" i="2"/>
  <c r="AA85" i="2"/>
  <c r="CQ85" i="2" s="1"/>
  <c r="Y106" i="2"/>
  <c r="Y99" i="2"/>
  <c r="Y93" i="2"/>
  <c r="AA61" i="2"/>
  <c r="CQ61" i="2" s="1"/>
  <c r="Y89" i="2"/>
  <c r="Y102" i="2"/>
  <c r="Y100" i="2"/>
  <c r="AA104" i="2"/>
  <c r="CQ104" i="2" s="1"/>
  <c r="Y88" i="2"/>
  <c r="Y83" i="2"/>
  <c r="AA101" i="2"/>
  <c r="CQ101" i="2" s="1"/>
  <c r="Y90" i="2"/>
  <c r="AA105" i="2"/>
  <c r="CQ105" i="2" s="1"/>
  <c r="AA89" i="2"/>
  <c r="CQ89" i="2" s="1"/>
  <c r="AA87" i="2"/>
  <c r="CQ87" i="2" s="1"/>
  <c r="AA91" i="2"/>
  <c r="CQ91" i="2" s="1"/>
  <c r="W62" i="2"/>
  <c r="Y95" i="2"/>
  <c r="AA90" i="2"/>
  <c r="CQ90" i="2" s="1"/>
  <c r="AA92" i="2"/>
  <c r="CQ92" i="2" s="1"/>
  <c r="AA86" i="2"/>
  <c r="CQ86" i="2" s="1"/>
  <c r="Y85" i="2"/>
  <c r="AA106" i="2"/>
  <c r="CQ106" i="2" s="1"/>
  <c r="Y77" i="2"/>
  <c r="AA94" i="2"/>
  <c r="CQ94" i="2" s="1"/>
  <c r="AA72" i="2"/>
  <c r="CQ72" i="2" s="1"/>
  <c r="W87" i="2"/>
  <c r="Y72" i="2"/>
  <c r="W77" i="2"/>
  <c r="AA76" i="2"/>
  <c r="CQ76" i="2" s="1"/>
  <c r="Y101" i="2"/>
  <c r="Y42" i="2"/>
  <c r="AA62" i="2"/>
  <c r="CQ62" i="2" s="1"/>
  <c r="Y61" i="2"/>
  <c r="AA93" i="2"/>
  <c r="CQ93" i="2" s="1"/>
  <c r="AA99" i="2"/>
  <c r="CQ99" i="2" s="1"/>
  <c r="AA74" i="2"/>
  <c r="CQ74" i="2" s="1"/>
  <c r="W89" i="2"/>
  <c r="W92" i="2"/>
  <c r="W99" i="2"/>
  <c r="AA65" i="2"/>
  <c r="CQ65" i="2" s="1"/>
  <c r="AA83" i="2"/>
  <c r="CQ83" i="2" s="1"/>
  <c r="Y65" i="2"/>
  <c r="W72" i="2"/>
  <c r="AA77" i="2"/>
  <c r="CQ77" i="2" s="1"/>
  <c r="W95" i="2"/>
  <c r="AA100" i="2"/>
  <c r="CQ100" i="2" s="1"/>
  <c r="W85" i="2"/>
  <c r="W91" i="2"/>
  <c r="AA82" i="2"/>
  <c r="CQ82" i="2" s="1"/>
  <c r="AA102" i="2"/>
  <c r="CQ102" i="2" s="1"/>
  <c r="Y73" i="2"/>
  <c r="AA80" i="2"/>
  <c r="CQ80" i="2" s="1"/>
  <c r="Y82" i="2"/>
  <c r="AA73" i="2"/>
  <c r="CQ73" i="2" s="1"/>
  <c r="W53" i="2"/>
  <c r="W88" i="2"/>
  <c r="Y53" i="2"/>
  <c r="Y105" i="2"/>
  <c r="W93" i="2"/>
  <c r="Y87" i="2"/>
  <c r="W98" i="2"/>
  <c r="AA79" i="2"/>
  <c r="CQ79" i="2" s="1"/>
  <c r="Y104" i="2"/>
  <c r="Y62" i="2"/>
  <c r="AA98" i="2"/>
  <c r="CQ98" i="2" s="1"/>
  <c r="Y80" i="2"/>
  <c r="W83" i="2"/>
  <c r="AA84" i="2"/>
  <c r="CQ84" i="2" s="1"/>
  <c r="W74" i="2"/>
  <c r="W86" i="2"/>
  <c r="Y76" i="2"/>
  <c r="W80" i="2"/>
  <c r="AA88" i="2"/>
  <c r="CQ88" i="2" s="1"/>
  <c r="W105" i="2"/>
  <c r="W82" i="2"/>
  <c r="W61" i="2"/>
  <c r="W73" i="2"/>
  <c r="W106" i="2"/>
  <c r="W102" i="2"/>
  <c r="W94" i="2"/>
  <c r="W79" i="2"/>
  <c r="W76" i="2"/>
  <c r="W90" i="2"/>
  <c r="AA42" i="2"/>
  <c r="W65" i="2"/>
  <c r="AA78" i="2"/>
  <c r="CQ78" i="2" s="1"/>
  <c r="W42" i="2"/>
  <c r="AA53" i="2"/>
  <c r="CQ53" i="2" s="1"/>
  <c r="W84" i="2"/>
  <c r="W101" i="2"/>
  <c r="W100" i="2"/>
  <c r="W78" i="2"/>
  <c r="Y78" i="2"/>
  <c r="AA95" i="2"/>
  <c r="CQ95" i="2" s="1"/>
  <c r="W104" i="2"/>
  <c r="Z108" i="2" l="1"/>
  <c r="CW108" i="2" s="1"/>
  <c r="Z107" i="2"/>
  <c r="CW107" i="2" s="1"/>
  <c r="X107" i="2"/>
  <c r="CU107" i="2" s="1"/>
  <c r="X108" i="2"/>
  <c r="CU108" i="2" s="1"/>
  <c r="CQ42" i="2"/>
  <c r="CR30" i="2" s="1"/>
  <c r="AB107" i="2"/>
  <c r="CY107" i="2" s="1"/>
  <c r="AB108" i="2"/>
  <c r="CY108" i="2" s="1"/>
  <c r="DA86" i="2"/>
  <c r="CM86" i="2"/>
  <c r="CM77" i="2"/>
  <c r="DA77" i="2"/>
  <c r="DA53" i="2"/>
  <c r="CM53" i="2"/>
  <c r="CR97" i="2"/>
  <c r="CR16" i="2"/>
  <c r="CR39" i="2"/>
  <c r="CR5" i="2"/>
  <c r="CR31" i="2"/>
  <c r="CR64" i="2"/>
  <c r="CR34" i="2"/>
  <c r="CR44" i="2"/>
  <c r="CR24" i="2"/>
  <c r="CR46" i="2"/>
  <c r="CR4" i="2"/>
  <c r="CR50" i="2"/>
  <c r="CR37" i="2"/>
  <c r="CR18" i="2"/>
  <c r="CR57" i="2"/>
  <c r="CR32" i="2"/>
  <c r="CR26" i="2"/>
  <c r="CR66" i="2"/>
  <c r="CR67" i="2"/>
  <c r="CR35" i="2"/>
  <c r="CR20" i="2"/>
  <c r="CR60" i="2"/>
  <c r="CR55" i="2"/>
  <c r="CR21" i="2"/>
  <c r="CR59" i="2"/>
  <c r="CR10" i="2"/>
  <c r="CR45" i="2"/>
  <c r="CR15" i="2"/>
  <c r="CR54" i="2"/>
  <c r="CR27" i="2"/>
  <c r="CR19" i="2"/>
  <c r="CR71" i="2"/>
  <c r="CR14" i="2"/>
  <c r="CR7" i="2"/>
  <c r="CR6" i="2"/>
  <c r="CR33" i="2"/>
  <c r="CR52" i="2"/>
  <c r="CR63" i="2"/>
  <c r="CR22" i="2"/>
  <c r="CR17" i="2"/>
  <c r="CR48" i="2"/>
  <c r="CR43" i="2"/>
  <c r="CR56" i="2"/>
  <c r="CR8" i="2"/>
  <c r="CR103" i="2"/>
  <c r="CR11" i="2"/>
  <c r="CR58" i="2"/>
  <c r="CR49" i="2"/>
  <c r="CR36" i="2"/>
  <c r="CR12" i="2"/>
  <c r="CR29" i="2"/>
  <c r="CR41" i="2"/>
  <c r="CR68" i="2"/>
  <c r="CR9" i="2"/>
  <c r="CR81" i="2"/>
  <c r="CR25" i="2"/>
  <c r="CR70" i="2"/>
  <c r="DA88" i="2"/>
  <c r="CM88" i="2"/>
  <c r="CR47" i="2"/>
  <c r="CM90" i="2"/>
  <c r="DA90" i="2"/>
  <c r="DA74" i="2"/>
  <c r="CM74" i="2"/>
  <c r="CR89" i="2"/>
  <c r="CR85" i="2"/>
  <c r="CM76" i="2"/>
  <c r="DA76" i="2"/>
  <c r="CR84" i="2"/>
  <c r="CR73" i="2"/>
  <c r="CR65" i="2"/>
  <c r="CM87" i="2"/>
  <c r="DA87" i="2"/>
  <c r="CR105" i="2"/>
  <c r="CR51" i="2"/>
  <c r="CR40" i="2"/>
  <c r="CR106" i="2"/>
  <c r="CR93" i="2"/>
  <c r="CR86" i="2"/>
  <c r="CM79" i="2"/>
  <c r="DA79" i="2"/>
  <c r="CR72" i="2"/>
  <c r="CR95" i="2"/>
  <c r="CR80" i="2"/>
  <c r="CM92" i="2"/>
  <c r="DA92" i="2"/>
  <c r="CR101" i="2"/>
  <c r="CM102" i="2"/>
  <c r="DA102" i="2"/>
  <c r="DA78" i="2"/>
  <c r="CM78" i="2"/>
  <c r="CR74" i="2"/>
  <c r="CM73" i="2"/>
  <c r="DA73" i="2"/>
  <c r="CR99" i="2"/>
  <c r="CR79" i="2"/>
  <c r="CM84" i="2"/>
  <c r="DA84" i="2"/>
  <c r="DA98" i="2"/>
  <c r="CM98" i="2"/>
  <c r="CM85" i="2"/>
  <c r="DA85" i="2"/>
  <c r="CR53" i="2"/>
  <c r="CR62" i="2"/>
  <c r="CM42" i="2"/>
  <c r="DA42" i="2"/>
  <c r="CR88" i="2"/>
  <c r="CM93" i="2"/>
  <c r="DA93" i="2"/>
  <c r="CM95" i="2"/>
  <c r="DA95" i="2"/>
  <c r="CR61" i="2"/>
  <c r="CM104" i="2"/>
  <c r="DA104" i="2"/>
  <c r="CM83" i="2"/>
  <c r="DA83" i="2"/>
  <c r="DA99" i="2"/>
  <c r="CM99" i="2"/>
  <c r="CM94" i="2"/>
  <c r="DA94" i="2"/>
  <c r="CR94" i="2"/>
  <c r="CR98" i="2"/>
  <c r="CM89" i="2"/>
  <c r="DA89" i="2"/>
  <c r="CM106" i="2"/>
  <c r="DA106" i="2"/>
  <c r="CR102" i="2"/>
  <c r="DA100" i="2"/>
  <c r="CM100" i="2"/>
  <c r="CR82" i="2"/>
  <c r="CR104" i="2"/>
  <c r="CM101" i="2"/>
  <c r="DA101" i="2"/>
  <c r="CM61" i="2"/>
  <c r="DA61" i="2"/>
  <c r="CM91" i="2"/>
  <c r="DA91" i="2"/>
  <c r="DA82" i="2"/>
  <c r="CM82" i="2"/>
  <c r="CR92" i="2"/>
  <c r="CM105" i="2"/>
  <c r="DA105" i="2"/>
  <c r="CR100" i="2"/>
  <c r="CR90" i="2"/>
  <c r="CR78" i="2"/>
  <c r="CM80" i="2"/>
  <c r="DA80" i="2"/>
  <c r="CR77" i="2"/>
  <c r="CM62" i="2"/>
  <c r="DA62" i="2"/>
  <c r="CM65" i="2"/>
  <c r="DA65" i="2"/>
  <c r="DA72" i="2"/>
  <c r="CM72" i="2"/>
  <c r="CR76" i="2"/>
  <c r="CR91" i="2"/>
  <c r="X1" i="2"/>
  <c r="X96" i="2"/>
  <c r="CU96" i="2" s="1"/>
  <c r="Z96" i="2"/>
  <c r="CW96" i="2" s="1"/>
  <c r="AB96" i="2"/>
  <c r="CY96" i="2" s="1"/>
  <c r="Z103" i="2"/>
  <c r="CW103" i="2" s="1"/>
  <c r="AB103" i="2"/>
  <c r="CY103" i="2" s="1"/>
  <c r="X103" i="2"/>
  <c r="CU103" i="2" s="1"/>
  <c r="AB69" i="2"/>
  <c r="CY69" i="2" s="1"/>
  <c r="AB71" i="2"/>
  <c r="CY71" i="2" s="1"/>
  <c r="X69" i="2"/>
  <c r="CU69" i="2" s="1"/>
  <c r="X71" i="2"/>
  <c r="CU71" i="2" s="1"/>
  <c r="Z69" i="2"/>
  <c r="CW69" i="2" s="1"/>
  <c r="Z71" i="2"/>
  <c r="CW71" i="2" s="1"/>
  <c r="Z75" i="2"/>
  <c r="CW75" i="2" s="1"/>
  <c r="Z97" i="2"/>
  <c r="CW97" i="2" s="1"/>
  <c r="X97" i="2"/>
  <c r="CU97" i="2" s="1"/>
  <c r="X75" i="2"/>
  <c r="CU75" i="2" s="1"/>
  <c r="AB97" i="2"/>
  <c r="CY97" i="2" s="1"/>
  <c r="AB75" i="2"/>
  <c r="CY75" i="2" s="1"/>
  <c r="X61" i="2"/>
  <c r="CU61" i="2" s="1"/>
  <c r="X89" i="2"/>
  <c r="CU89" i="2" s="1"/>
  <c r="AB73" i="2"/>
  <c r="CY73" i="2" s="1"/>
  <c r="X17" i="2"/>
  <c r="CU17" i="2" s="1"/>
  <c r="Z93" i="2"/>
  <c r="CW93" i="2" s="1"/>
  <c r="X74" i="2"/>
  <c r="CU74" i="2" s="1"/>
  <c r="X54" i="2"/>
  <c r="CU54" i="2" s="1"/>
  <c r="Z95" i="2"/>
  <c r="CW95" i="2" s="1"/>
  <c r="X106" i="2"/>
  <c r="CU106" i="2" s="1"/>
  <c r="AB84" i="2"/>
  <c r="CY84" i="2" s="1"/>
  <c r="Z100" i="2"/>
  <c r="CW100" i="2" s="1"/>
  <c r="Z78" i="2"/>
  <c r="CW78" i="2" s="1"/>
  <c r="Z41" i="2"/>
  <c r="CW41" i="2" s="1"/>
  <c r="Z35" i="2"/>
  <c r="CW35" i="2" s="1"/>
  <c r="Z18" i="2"/>
  <c r="CW18" i="2" s="1"/>
  <c r="X11" i="2"/>
  <c r="CU11" i="2" s="1"/>
  <c r="AB77" i="2"/>
  <c r="CY77" i="2" s="1"/>
  <c r="Z4" i="2"/>
  <c r="CW4" i="2" s="1"/>
  <c r="Z10" i="2"/>
  <c r="CW10" i="2" s="1"/>
  <c r="AB101" i="2"/>
  <c r="CY101" i="2" s="1"/>
  <c r="AB47" i="2"/>
  <c r="CY47" i="2" s="1"/>
  <c r="AB4" i="2"/>
  <c r="CY4" i="2" s="1"/>
  <c r="AB5" i="2"/>
  <c r="CY5" i="2" s="1"/>
  <c r="AB51" i="2"/>
  <c r="CY51" i="2" s="1"/>
  <c r="AB49" i="2"/>
  <c r="CY49" i="2" s="1"/>
  <c r="AB56" i="2"/>
  <c r="CY56" i="2" s="1"/>
  <c r="AB41" i="2"/>
  <c r="CY41" i="2" s="1"/>
  <c r="AB21" i="2"/>
  <c r="CY21" i="2" s="1"/>
  <c r="AB13" i="2"/>
  <c r="CY13" i="2" s="1"/>
  <c r="AB8" i="2"/>
  <c r="CY8" i="2" s="1"/>
  <c r="AB34" i="2"/>
  <c r="CY34" i="2" s="1"/>
  <c r="AB12" i="2"/>
  <c r="CY12" i="2" s="1"/>
  <c r="AB48" i="2"/>
  <c r="CY48" i="2" s="1"/>
  <c r="AB6" i="2"/>
  <c r="CY6" i="2" s="1"/>
  <c r="AB7" i="2"/>
  <c r="CY7" i="2" s="1"/>
  <c r="AB26" i="2"/>
  <c r="CY26" i="2" s="1"/>
  <c r="AB105" i="2"/>
  <c r="CY105" i="2" s="1"/>
  <c r="AB89" i="2"/>
  <c r="CY89" i="2" s="1"/>
  <c r="AB29" i="2"/>
  <c r="CY29" i="2" s="1"/>
  <c r="AB14" i="2"/>
  <c r="CY14" i="2" s="1"/>
  <c r="AB54" i="2"/>
  <c r="CY54" i="2" s="1"/>
  <c r="AB30" i="2"/>
  <c r="CY30" i="2" s="1"/>
  <c r="AB86" i="2"/>
  <c r="CY86" i="2" s="1"/>
  <c r="AB106" i="2"/>
  <c r="CY106" i="2" s="1"/>
  <c r="AB72" i="2"/>
  <c r="CY72" i="2" s="1"/>
  <c r="AB39" i="2"/>
  <c r="CY39" i="2" s="1"/>
  <c r="AB52" i="2"/>
  <c r="CY52" i="2" s="1"/>
  <c r="AB63" i="2"/>
  <c r="CY63" i="2" s="1"/>
  <c r="AB92" i="2"/>
  <c r="CY92" i="2" s="1"/>
  <c r="AB85" i="2"/>
  <c r="CY85" i="2" s="1"/>
  <c r="AB20" i="2"/>
  <c r="CY20" i="2" s="1"/>
  <c r="AB10" i="2"/>
  <c r="CY10" i="2" s="1"/>
  <c r="AB66" i="2"/>
  <c r="CY66" i="2" s="1"/>
  <c r="AB76" i="2"/>
  <c r="CY76" i="2" s="1"/>
  <c r="AB17" i="2"/>
  <c r="CY17" i="2" s="1"/>
  <c r="AB28" i="2"/>
  <c r="CY28" i="2" s="1"/>
  <c r="AB81" i="2"/>
  <c r="CY81" i="2" s="1"/>
  <c r="AB18" i="2"/>
  <c r="CY18" i="2" s="1"/>
  <c r="AB16" i="2"/>
  <c r="CY16" i="2" s="1"/>
  <c r="AB25" i="2"/>
  <c r="CY25" i="2" s="1"/>
  <c r="AB67" i="2"/>
  <c r="CY67" i="2" s="1"/>
  <c r="AB59" i="2"/>
  <c r="CY59" i="2" s="1"/>
  <c r="AB45" i="2"/>
  <c r="CY45" i="2" s="1"/>
  <c r="AB57" i="2"/>
  <c r="CY57" i="2" s="1"/>
  <c r="AB43" i="2"/>
  <c r="CY43" i="2" s="1"/>
  <c r="AB44" i="2"/>
  <c r="CY44" i="2" s="1"/>
  <c r="AB60" i="2"/>
  <c r="CY60" i="2" s="1"/>
  <c r="Z66" i="2"/>
  <c r="CW66" i="2" s="1"/>
  <c r="AB3" i="2"/>
  <c r="CY3" i="2" s="1"/>
  <c r="AB9" i="2"/>
  <c r="CY9" i="2" s="1"/>
  <c r="Z63" i="2"/>
  <c r="CW63" i="2" s="1"/>
  <c r="AB53" i="2"/>
  <c r="CY53" i="2" s="1"/>
  <c r="AB35" i="2"/>
  <c r="CY35" i="2" s="1"/>
  <c r="Z62" i="2"/>
  <c r="CW62" i="2" s="1"/>
  <c r="X80" i="2"/>
  <c r="CU80" i="2" s="1"/>
  <c r="AB64" i="2"/>
  <c r="CY64" i="2" s="1"/>
  <c r="Z53" i="2"/>
  <c r="CW53" i="2" s="1"/>
  <c r="AB82" i="2"/>
  <c r="CY82" i="2" s="1"/>
  <c r="AB102" i="2"/>
  <c r="CY102" i="2" s="1"/>
  <c r="X59" i="2"/>
  <c r="CU59" i="2" s="1"/>
  <c r="X31" i="2"/>
  <c r="CU31" i="2" s="1"/>
  <c r="AB55" i="2"/>
  <c r="CY55" i="2" s="1"/>
  <c r="X28" i="2"/>
  <c r="CU28" i="2" s="1"/>
  <c r="AB58" i="2"/>
  <c r="CY58" i="2" s="1"/>
  <c r="Z98" i="2"/>
  <c r="CW98" i="2" s="1"/>
  <c r="AB22" i="2"/>
  <c r="CY22" i="2" s="1"/>
  <c r="X76" i="2"/>
  <c r="CU76" i="2" s="1"/>
  <c r="AB31" i="2"/>
  <c r="CY31" i="2" s="1"/>
  <c r="X104" i="2"/>
  <c r="CU104" i="2" s="1"/>
  <c r="AB38" i="2"/>
  <c r="CY38" i="2" s="1"/>
  <c r="X53" i="2"/>
  <c r="CU53" i="2" s="1"/>
  <c r="Z29" i="2"/>
  <c r="CW29" i="2" s="1"/>
  <c r="Z51" i="2"/>
  <c r="CW51" i="2" s="1"/>
  <c r="Z16" i="2"/>
  <c r="CW16" i="2" s="1"/>
  <c r="Z32" i="2"/>
  <c r="CW32" i="2" s="1"/>
  <c r="Z80" i="2"/>
  <c r="CW80" i="2" s="1"/>
  <c r="Z21" i="2"/>
  <c r="CW21" i="2" s="1"/>
  <c r="Z22" i="2"/>
  <c r="CW22" i="2" s="1"/>
  <c r="Z24" i="2"/>
  <c r="CW24" i="2" s="1"/>
  <c r="X99" i="2"/>
  <c r="CU99" i="2" s="1"/>
  <c r="X50" i="2"/>
  <c r="CU50" i="2" s="1"/>
  <c r="X42" i="2"/>
  <c r="CU42" i="2" s="1"/>
  <c r="Z52" i="2"/>
  <c r="CW52" i="2" s="1"/>
  <c r="AB70" i="2"/>
  <c r="CY70" i="2" s="1"/>
  <c r="AB40" i="2"/>
  <c r="CY40" i="2" s="1"/>
  <c r="X60" i="2"/>
  <c r="CU60" i="2" s="1"/>
  <c r="Z104" i="2"/>
  <c r="CW104" i="2" s="1"/>
  <c r="X91" i="2"/>
  <c r="CU91" i="2" s="1"/>
  <c r="AB100" i="2"/>
  <c r="CY100" i="2" s="1"/>
  <c r="X82" i="2"/>
  <c r="CU82" i="2" s="1"/>
  <c r="AB93" i="2"/>
  <c r="CY93" i="2" s="1"/>
  <c r="Z42" i="2"/>
  <c r="CW42" i="2" s="1"/>
  <c r="AB79" i="2"/>
  <c r="CY79" i="2" s="1"/>
  <c r="Z39" i="2"/>
  <c r="CW39" i="2" s="1"/>
  <c r="Z58" i="2"/>
  <c r="CW58" i="2" s="1"/>
  <c r="X27" i="2"/>
  <c r="CU27" i="2" s="1"/>
  <c r="X47" i="2"/>
  <c r="CU47" i="2" s="1"/>
  <c r="AB27" i="2"/>
  <c r="CY27" i="2" s="1"/>
  <c r="Z102" i="2"/>
  <c r="CW102" i="2" s="1"/>
  <c r="X33" i="2"/>
  <c r="CU33" i="2" s="1"/>
  <c r="Z84" i="2"/>
  <c r="CW84" i="2" s="1"/>
  <c r="X52" i="2"/>
  <c r="CU52" i="2" s="1"/>
  <c r="X45" i="2"/>
  <c r="CU45" i="2" s="1"/>
  <c r="X39" i="2"/>
  <c r="CU39" i="2" s="1"/>
  <c r="X44" i="2"/>
  <c r="CU44" i="2" s="1"/>
  <c r="X36" i="2"/>
  <c r="CU36" i="2" s="1"/>
  <c r="X12" i="2"/>
  <c r="CU12" i="2" s="1"/>
  <c r="X40" i="2"/>
  <c r="CU40" i="2" s="1"/>
  <c r="X5" i="2"/>
  <c r="CU5" i="2" s="1"/>
  <c r="X16" i="2"/>
  <c r="CU16" i="2" s="1"/>
  <c r="X37" i="2"/>
  <c r="CU37" i="2" s="1"/>
  <c r="X34" i="2"/>
  <c r="CU34" i="2" s="1"/>
  <c r="X7" i="2"/>
  <c r="CU7" i="2" s="1"/>
  <c r="X29" i="2"/>
  <c r="CU29" i="2" s="1"/>
  <c r="X32" i="2"/>
  <c r="CU32" i="2" s="1"/>
  <c r="X70" i="2"/>
  <c r="CU70" i="2" s="1"/>
  <c r="X14" i="2"/>
  <c r="CU14" i="2" s="1"/>
  <c r="X24" i="2"/>
  <c r="CU24" i="2" s="1"/>
  <c r="X26" i="2"/>
  <c r="CU26" i="2" s="1"/>
  <c r="X19" i="2"/>
  <c r="CU19" i="2" s="1"/>
  <c r="X23" i="2"/>
  <c r="CU23" i="2" s="1"/>
  <c r="X9" i="2"/>
  <c r="CU9" i="2" s="1"/>
  <c r="X35" i="2"/>
  <c r="CU35" i="2" s="1"/>
  <c r="X25" i="2"/>
  <c r="CU25" i="2" s="1"/>
  <c r="X46" i="2"/>
  <c r="CU46" i="2" s="1"/>
  <c r="X10" i="2"/>
  <c r="CU10" i="2" s="1"/>
  <c r="X90" i="2"/>
  <c r="CU90" i="2" s="1"/>
  <c r="X6" i="2"/>
  <c r="CU6" i="2" s="1"/>
  <c r="X22" i="2"/>
  <c r="CU22" i="2" s="1"/>
  <c r="X43" i="2"/>
  <c r="CU43" i="2" s="1"/>
  <c r="X68" i="2"/>
  <c r="CU68" i="2" s="1"/>
  <c r="X66" i="2"/>
  <c r="CU66" i="2" s="1"/>
  <c r="X57" i="2"/>
  <c r="CU57" i="2" s="1"/>
  <c r="X64" i="2"/>
  <c r="CU64" i="2" s="1"/>
  <c r="X67" i="2"/>
  <c r="CU67" i="2" s="1"/>
  <c r="X13" i="2"/>
  <c r="CU13" i="2" s="1"/>
  <c r="X65" i="2"/>
  <c r="CU65" i="2" s="1"/>
  <c r="X81" i="2"/>
  <c r="CU81" i="2" s="1"/>
  <c r="X15" i="2"/>
  <c r="CU15" i="2" s="1"/>
  <c r="X4" i="2"/>
  <c r="CU4" i="2" s="1"/>
  <c r="X58" i="2"/>
  <c r="CU58" i="2" s="1"/>
  <c r="X49" i="2"/>
  <c r="CU49" i="2" s="1"/>
  <c r="X20" i="2"/>
  <c r="CU20" i="2" s="1"/>
  <c r="X30" i="2"/>
  <c r="CU30" i="2" s="1"/>
  <c r="X79" i="2"/>
  <c r="CU79" i="2" s="1"/>
  <c r="AB88" i="2"/>
  <c r="CY88" i="2" s="1"/>
  <c r="X95" i="2"/>
  <c r="CU95" i="2" s="1"/>
  <c r="Z61" i="2"/>
  <c r="CW61" i="2" s="1"/>
  <c r="AB24" i="2"/>
  <c r="CY24" i="2" s="1"/>
  <c r="AB23" i="2"/>
  <c r="CY23" i="2" s="1"/>
  <c r="AB32" i="2"/>
  <c r="CY32" i="2" s="1"/>
  <c r="AB46" i="2"/>
  <c r="CY46" i="2" s="1"/>
  <c r="X51" i="2"/>
  <c r="CU51" i="2" s="1"/>
  <c r="Z91" i="2"/>
  <c r="CW91" i="2" s="1"/>
  <c r="X63" i="2"/>
  <c r="CU63" i="2" s="1"/>
  <c r="X38" i="2"/>
  <c r="CU38" i="2" s="1"/>
  <c r="X94" i="2"/>
  <c r="CU94" i="2" s="1"/>
  <c r="X105" i="2"/>
  <c r="CU105" i="2" s="1"/>
  <c r="X21" i="2"/>
  <c r="CU21" i="2" s="1"/>
  <c r="Z17" i="2"/>
  <c r="CW17" i="2" s="1"/>
  <c r="AB65" i="2"/>
  <c r="CY65" i="2" s="1"/>
  <c r="X100" i="2"/>
  <c r="CU100" i="2" s="1"/>
  <c r="AB33" i="2"/>
  <c r="CY33" i="2" s="1"/>
  <c r="Z99" i="2"/>
  <c r="CW99" i="2" s="1"/>
  <c r="X48" i="2"/>
  <c r="CU48" i="2" s="1"/>
  <c r="Z87" i="2"/>
  <c r="CW87" i="2" s="1"/>
  <c r="X55" i="2"/>
  <c r="CU55" i="2" s="1"/>
  <c r="Z92" i="2"/>
  <c r="CW92" i="2" s="1"/>
  <c r="X86" i="2"/>
  <c r="CU86" i="2" s="1"/>
  <c r="X83" i="2"/>
  <c r="CU83" i="2" s="1"/>
  <c r="Z82" i="2"/>
  <c r="CW82" i="2" s="1"/>
  <c r="X56" i="2"/>
  <c r="CU56" i="2" s="1"/>
  <c r="AB68" i="2"/>
  <c r="CY68" i="2" s="1"/>
  <c r="X102" i="2"/>
  <c r="CU102" i="2" s="1"/>
  <c r="X93" i="2"/>
  <c r="CU93" i="2" s="1"/>
  <c r="AB37" i="2"/>
  <c r="CY37" i="2" s="1"/>
  <c r="X72" i="2"/>
  <c r="CU72" i="2" s="1"/>
  <c r="X92" i="2"/>
  <c r="CU92" i="2" s="1"/>
  <c r="Z68" i="2"/>
  <c r="CW68" i="2" s="1"/>
  <c r="Z72" i="2"/>
  <c r="CW72" i="2" s="1"/>
  <c r="X41" i="2"/>
  <c r="CU41" i="2" s="1"/>
  <c r="AB78" i="2"/>
  <c r="CY78" i="2" s="1"/>
  <c r="AB61" i="2"/>
  <c r="CY61" i="2" s="1"/>
  <c r="Z79" i="2"/>
  <c r="CW79" i="2" s="1"/>
  <c r="X84" i="2"/>
  <c r="CU84" i="2" s="1"/>
  <c r="AB42" i="2"/>
  <c r="CY42" i="2" s="1"/>
  <c r="AB36" i="2"/>
  <c r="CY36" i="2" s="1"/>
  <c r="AB98" i="2"/>
  <c r="CY98" i="2" s="1"/>
  <c r="Z40" i="2"/>
  <c r="CW40" i="2" s="1"/>
  <c r="X62" i="2"/>
  <c r="CU62" i="2" s="1"/>
  <c r="X78" i="2"/>
  <c r="CU78" i="2" s="1"/>
  <c r="X3" i="2"/>
  <c r="CU3" i="2" s="1"/>
  <c r="Z105" i="2"/>
  <c r="CW105" i="2" s="1"/>
  <c r="Z65" i="2"/>
  <c r="CW65" i="2" s="1"/>
  <c r="AB99" i="2"/>
  <c r="CY99" i="2" s="1"/>
  <c r="Z15" i="2"/>
  <c r="CW15" i="2" s="1"/>
  <c r="AB11" i="2"/>
  <c r="CY11" i="2" s="1"/>
  <c r="Z83" i="2"/>
  <c r="CW83" i="2" s="1"/>
  <c r="AB50" i="2"/>
  <c r="CY50" i="2" s="1"/>
  <c r="AB19" i="2"/>
  <c r="CY19" i="2" s="1"/>
  <c r="X8" i="2"/>
  <c r="CU8" i="2" s="1"/>
  <c r="AB90" i="2"/>
  <c r="CY90" i="2" s="1"/>
  <c r="AB15" i="2"/>
  <c r="CY15" i="2" s="1"/>
  <c r="AB87" i="2"/>
  <c r="CY87" i="2" s="1"/>
  <c r="X85" i="2"/>
  <c r="CU85" i="2" s="1"/>
  <c r="Z74" i="2"/>
  <c r="CW74" i="2" s="1"/>
  <c r="X18" i="2"/>
  <c r="CU18" i="2" s="1"/>
  <c r="AB91" i="2"/>
  <c r="CY91" i="2" s="1"/>
  <c r="AB95" i="2"/>
  <c r="CY95" i="2" s="1"/>
  <c r="X88" i="2"/>
  <c r="CU88" i="2" s="1"/>
  <c r="AB62" i="2"/>
  <c r="CY62" i="2" s="1"/>
  <c r="X73" i="2"/>
  <c r="CU73" i="2" s="1"/>
  <c r="AB94" i="2"/>
  <c r="CY94" i="2" s="1"/>
  <c r="Z19" i="2"/>
  <c r="CW19" i="2" s="1"/>
  <c r="Z59" i="2"/>
  <c r="CW59" i="2" s="1"/>
  <c r="Z43" i="2"/>
  <c r="CW43" i="2" s="1"/>
  <c r="Z3" i="2"/>
  <c r="CW3" i="2" s="1"/>
  <c r="Z45" i="2"/>
  <c r="CW45" i="2" s="1"/>
  <c r="Z13" i="2"/>
  <c r="CW13" i="2" s="1"/>
  <c r="Z56" i="2"/>
  <c r="CW56" i="2" s="1"/>
  <c r="Z70" i="2"/>
  <c r="CW70" i="2" s="1"/>
  <c r="Z54" i="2"/>
  <c r="CW54" i="2" s="1"/>
  <c r="Z60" i="2"/>
  <c r="CW60" i="2" s="1"/>
  <c r="Z44" i="2"/>
  <c r="CW44" i="2" s="1"/>
  <c r="Z86" i="2"/>
  <c r="CW86" i="2" s="1"/>
  <c r="Z94" i="2"/>
  <c r="CW94" i="2" s="1"/>
  <c r="Z47" i="2"/>
  <c r="CW47" i="2" s="1"/>
  <c r="Z7" i="2"/>
  <c r="CW7" i="2" s="1"/>
  <c r="Z55" i="2"/>
  <c r="CW55" i="2" s="1"/>
  <c r="Z48" i="2"/>
  <c r="CW48" i="2" s="1"/>
  <c r="Z57" i="2"/>
  <c r="CW57" i="2" s="1"/>
  <c r="Z11" i="2"/>
  <c r="CW11" i="2" s="1"/>
  <c r="Z81" i="2"/>
  <c r="CW81" i="2" s="1"/>
  <c r="Z49" i="2"/>
  <c r="CW49" i="2" s="1"/>
  <c r="Z12" i="2"/>
  <c r="CW12" i="2" s="1"/>
  <c r="Z9" i="2"/>
  <c r="CW9" i="2" s="1"/>
  <c r="Z27" i="2"/>
  <c r="CW27" i="2" s="1"/>
  <c r="Z26" i="2"/>
  <c r="CW26" i="2" s="1"/>
  <c r="Z64" i="2"/>
  <c r="CW64" i="2" s="1"/>
  <c r="Z23" i="2"/>
  <c r="CW23" i="2" s="1"/>
  <c r="Z67" i="2"/>
  <c r="CW67" i="2" s="1"/>
  <c r="Z101" i="2"/>
  <c r="CW101" i="2" s="1"/>
  <c r="Z6" i="2"/>
  <c r="CW6" i="2" s="1"/>
  <c r="Z28" i="2"/>
  <c r="CW28" i="2" s="1"/>
  <c r="Z34" i="2"/>
  <c r="CW34" i="2" s="1"/>
  <c r="Z8" i="2"/>
  <c r="CW8" i="2" s="1"/>
  <c r="Z46" i="2"/>
  <c r="CW46" i="2" s="1"/>
  <c r="Z5" i="2"/>
  <c r="CW5" i="2" s="1"/>
  <c r="Z20" i="2"/>
  <c r="CW20" i="2" s="1"/>
  <c r="Z50" i="2"/>
  <c r="CW50" i="2" s="1"/>
  <c r="Z31" i="2"/>
  <c r="CW31" i="2" s="1"/>
  <c r="Z25" i="2"/>
  <c r="CW25" i="2" s="1"/>
  <c r="Z76" i="2"/>
  <c r="CW76" i="2" s="1"/>
  <c r="AB83" i="2"/>
  <c r="CY83" i="2" s="1"/>
  <c r="Z37" i="2"/>
  <c r="CW37" i="2" s="1"/>
  <c r="Z14" i="2"/>
  <c r="CW14" i="2" s="1"/>
  <c r="Z90" i="2"/>
  <c r="CW90" i="2" s="1"/>
  <c r="Z88" i="2"/>
  <c r="CW88" i="2" s="1"/>
  <c r="AB104" i="2"/>
  <c r="CY104" i="2" s="1"/>
  <c r="Z33" i="2"/>
  <c r="CW33" i="2" s="1"/>
  <c r="X98" i="2"/>
  <c r="CU98" i="2" s="1"/>
  <c r="AB80" i="2"/>
  <c r="CY80" i="2" s="1"/>
  <c r="Z30" i="2"/>
  <c r="CW30" i="2" s="1"/>
  <c r="Z77" i="2"/>
  <c r="CW77" i="2" s="1"/>
  <c r="Z38" i="2"/>
  <c r="CW38" i="2" s="1"/>
  <c r="Z36" i="2"/>
  <c r="CW36" i="2" s="1"/>
  <c r="Z89" i="2"/>
  <c r="CW89" i="2" s="1"/>
  <c r="Z73" i="2"/>
  <c r="CW73" i="2" s="1"/>
  <c r="X77" i="2"/>
  <c r="CU77" i="2" s="1"/>
  <c r="X101" i="2"/>
  <c r="CU101" i="2" s="1"/>
  <c r="AB74" i="2"/>
  <c r="CY74" i="2" s="1"/>
  <c r="Z106" i="2"/>
  <c r="CW106" i="2" s="1"/>
  <c r="Z85" i="2"/>
  <c r="CW85" i="2" s="1"/>
  <c r="X87" i="2"/>
  <c r="CU87" i="2" s="1"/>
  <c r="CZ108" i="2" l="1"/>
  <c r="CZ107" i="2"/>
  <c r="CR108" i="2"/>
  <c r="CR107" i="2"/>
  <c r="CV108" i="2"/>
  <c r="CN107" i="2"/>
  <c r="CN108" i="2"/>
  <c r="CV107" i="2"/>
  <c r="CR38" i="2"/>
  <c r="CR96" i="2"/>
  <c r="CR13" i="2"/>
  <c r="CR42" i="2"/>
  <c r="CX107" i="2"/>
  <c r="CX108" i="2"/>
  <c r="CR87" i="2"/>
  <c r="CR69" i="2"/>
  <c r="CR23" i="2"/>
  <c r="CR75" i="2"/>
  <c r="CR28" i="2"/>
  <c r="CR83" i="2"/>
  <c r="CX89" i="2"/>
  <c r="CX76" i="2"/>
  <c r="CX64" i="2"/>
  <c r="CX86" i="2"/>
  <c r="CZ62" i="2"/>
  <c r="CZ11" i="2"/>
  <c r="CV86" i="2"/>
  <c r="CV58" i="2"/>
  <c r="CV90" i="2"/>
  <c r="CZ47" i="2"/>
  <c r="CV4" i="2"/>
  <c r="CZ64" i="2"/>
  <c r="CZ63" i="2"/>
  <c r="CZ101" i="2"/>
  <c r="CV74" i="2"/>
  <c r="CV71" i="2"/>
  <c r="CO105" i="2"/>
  <c r="CN105" i="2"/>
  <c r="CO104" i="2"/>
  <c r="CN104" i="2"/>
  <c r="CO79" i="2"/>
  <c r="CN79" i="2"/>
  <c r="CX38" i="2"/>
  <c r="CX31" i="2"/>
  <c r="CX27" i="2"/>
  <c r="CX60" i="2"/>
  <c r="CZ95" i="2"/>
  <c r="CZ99" i="2"/>
  <c r="CV41" i="2"/>
  <c r="CV55" i="2"/>
  <c r="CV51" i="2"/>
  <c r="CV15" i="2"/>
  <c r="CV46" i="2"/>
  <c r="CV37" i="2"/>
  <c r="CV47" i="2"/>
  <c r="CX52" i="2"/>
  <c r="CV104" i="2"/>
  <c r="CV80" i="2"/>
  <c r="CZ67" i="2"/>
  <c r="CZ52" i="2"/>
  <c r="CZ48" i="2"/>
  <c r="CX10" i="2"/>
  <c r="CX93" i="2"/>
  <c r="CV69" i="2"/>
  <c r="CO72" i="2"/>
  <c r="CN72" i="2"/>
  <c r="CN7" i="2"/>
  <c r="CN69" i="2"/>
  <c r="CN51" i="2"/>
  <c r="CN36" i="2"/>
  <c r="CN39" i="2"/>
  <c r="CN58" i="2"/>
  <c r="CN71" i="2"/>
  <c r="CN64" i="2"/>
  <c r="CN6" i="2"/>
  <c r="CN34" i="2"/>
  <c r="CN8" i="2"/>
  <c r="CN40" i="2"/>
  <c r="CN75" i="2"/>
  <c r="CN23" i="2"/>
  <c r="CN48" i="2"/>
  <c r="CN60" i="2"/>
  <c r="CN15" i="2"/>
  <c r="CN16" i="2"/>
  <c r="CN22" i="2"/>
  <c r="CN11" i="2"/>
  <c r="CN50" i="2"/>
  <c r="CN10" i="2"/>
  <c r="CN13" i="2"/>
  <c r="CN49" i="2"/>
  <c r="CN33" i="2"/>
  <c r="CN26" i="2"/>
  <c r="CN9" i="2"/>
  <c r="CN31" i="2"/>
  <c r="CN52" i="2"/>
  <c r="CN47" i="2"/>
  <c r="CN97" i="2"/>
  <c r="CN59" i="2"/>
  <c r="CN38" i="2"/>
  <c r="CN35" i="2"/>
  <c r="CN4" i="2"/>
  <c r="CN81" i="2"/>
  <c r="CN57" i="2"/>
  <c r="CN37" i="2"/>
  <c r="CN12" i="2"/>
  <c r="CN20" i="2"/>
  <c r="CN25" i="2"/>
  <c r="CN46" i="2"/>
  <c r="CN44" i="2"/>
  <c r="CN24" i="2"/>
  <c r="CN55" i="2"/>
  <c r="CN5" i="2"/>
  <c r="CN17" i="2"/>
  <c r="CN67" i="2"/>
  <c r="CN103" i="2"/>
  <c r="CN41" i="2"/>
  <c r="CN54" i="2"/>
  <c r="CN56" i="2"/>
  <c r="CN18" i="2"/>
  <c r="CN43" i="2"/>
  <c r="CN70" i="2"/>
  <c r="CN28" i="2"/>
  <c r="CN30" i="2"/>
  <c r="CN96" i="2"/>
  <c r="CO42" i="2"/>
  <c r="CN19" i="2"/>
  <c r="CN66" i="2"/>
  <c r="CN14" i="2"/>
  <c r="CN29" i="2"/>
  <c r="CN45" i="2"/>
  <c r="CN63" i="2"/>
  <c r="CN32" i="2"/>
  <c r="CN21" i="2"/>
  <c r="CN68" i="2"/>
  <c r="CN42" i="2"/>
  <c r="CN27" i="2"/>
  <c r="CO73" i="2"/>
  <c r="CN73" i="2"/>
  <c r="CV53" i="2"/>
  <c r="CX36" i="2"/>
  <c r="CV34" i="2"/>
  <c r="CZ59" i="2"/>
  <c r="CZ6" i="2"/>
  <c r="CX77" i="2"/>
  <c r="CX50" i="2"/>
  <c r="CX9" i="2"/>
  <c r="CX54" i="2"/>
  <c r="CZ91" i="2"/>
  <c r="CX65" i="2"/>
  <c r="CX72" i="2"/>
  <c r="CX87" i="2"/>
  <c r="CZ46" i="2"/>
  <c r="CV81" i="2"/>
  <c r="CV25" i="2"/>
  <c r="CT25" i="2" s="1"/>
  <c r="CV16" i="2"/>
  <c r="CV27" i="2"/>
  <c r="CV42" i="2"/>
  <c r="CZ31" i="2"/>
  <c r="CX62" i="2"/>
  <c r="CZ25" i="2"/>
  <c r="CZ39" i="2"/>
  <c r="CZ12" i="2"/>
  <c r="CX4" i="2"/>
  <c r="CV17" i="2"/>
  <c r="CZ71" i="2"/>
  <c r="CN82" i="2"/>
  <c r="CO82" i="2"/>
  <c r="CO106" i="2"/>
  <c r="CN106" i="2"/>
  <c r="CO74" i="2"/>
  <c r="CN74" i="2"/>
  <c r="CZ40" i="2"/>
  <c r="CX91" i="2"/>
  <c r="CV18" i="2"/>
  <c r="CZ35" i="2"/>
  <c r="CZ80" i="2"/>
  <c r="CX5" i="2"/>
  <c r="CX49" i="2"/>
  <c r="CX56" i="2"/>
  <c r="CX74" i="2"/>
  <c r="CV92" i="2"/>
  <c r="CX99" i="2"/>
  <c r="CZ23" i="2"/>
  <c r="CV13" i="2"/>
  <c r="CV9" i="2"/>
  <c r="CV40" i="2"/>
  <c r="CX39" i="2"/>
  <c r="CV99" i="2"/>
  <c r="CZ22" i="2"/>
  <c r="CZ53" i="2"/>
  <c r="CZ18" i="2"/>
  <c r="CZ106" i="2"/>
  <c r="CZ8" i="2"/>
  <c r="CV11" i="2"/>
  <c r="CV89" i="2"/>
  <c r="CV103" i="2"/>
  <c r="CO65" i="2"/>
  <c r="CN65" i="2"/>
  <c r="CO89" i="2"/>
  <c r="CN89" i="2"/>
  <c r="CZ45" i="2"/>
  <c r="CX92" i="2"/>
  <c r="CX70" i="2"/>
  <c r="CV5" i="2"/>
  <c r="CZ77" i="2"/>
  <c r="CO78" i="2"/>
  <c r="CN78" i="2"/>
  <c r="CX81" i="2"/>
  <c r="CZ24" i="2"/>
  <c r="CV67" i="2"/>
  <c r="CV23" i="2"/>
  <c r="CV12" i="2"/>
  <c r="CZ79" i="2"/>
  <c r="CX24" i="2"/>
  <c r="CX98" i="2"/>
  <c r="CX63" i="2"/>
  <c r="CZ81" i="2"/>
  <c r="CZ86" i="2"/>
  <c r="CZ13" i="2"/>
  <c r="CX18" i="2"/>
  <c r="CV61" i="2"/>
  <c r="CZ103" i="2"/>
  <c r="CO91" i="2"/>
  <c r="CN91" i="2"/>
  <c r="CO90" i="2"/>
  <c r="CN90" i="2"/>
  <c r="CO53" i="2"/>
  <c r="CN53" i="2"/>
  <c r="CX53" i="2"/>
  <c r="CN76" i="2"/>
  <c r="CO76" i="2"/>
  <c r="CX15" i="2"/>
  <c r="CX20" i="2"/>
  <c r="CV35" i="2"/>
  <c r="CZ34" i="2"/>
  <c r="CX13" i="2"/>
  <c r="CX11" i="2"/>
  <c r="CZ37" i="2"/>
  <c r="CV64" i="2"/>
  <c r="CX42" i="2"/>
  <c r="CX22" i="2"/>
  <c r="CZ58" i="2"/>
  <c r="CZ9" i="2"/>
  <c r="CZ28" i="2"/>
  <c r="CZ30" i="2"/>
  <c r="CZ21" i="2"/>
  <c r="CX35" i="2"/>
  <c r="CZ75" i="2"/>
  <c r="CX103" i="2"/>
  <c r="CO62" i="2"/>
  <c r="CN62" i="2"/>
  <c r="CO102" i="2"/>
  <c r="CN102" i="2"/>
  <c r="CV63" i="2"/>
  <c r="CZ7" i="2"/>
  <c r="CX25" i="2"/>
  <c r="CZ27" i="2"/>
  <c r="CV48" i="2"/>
  <c r="CZ16" i="2"/>
  <c r="CV78" i="2"/>
  <c r="CX8" i="2"/>
  <c r="CV62" i="2"/>
  <c r="CX61" i="2"/>
  <c r="CV36" i="2"/>
  <c r="CX85" i="2"/>
  <c r="CZ104" i="2"/>
  <c r="CX34" i="2"/>
  <c r="CX57" i="2"/>
  <c r="CZ15" i="2"/>
  <c r="CX40" i="2"/>
  <c r="CV93" i="2"/>
  <c r="CZ65" i="2"/>
  <c r="CV95" i="2"/>
  <c r="CV57" i="2"/>
  <c r="CV26" i="2"/>
  <c r="CV44" i="2"/>
  <c r="CZ93" i="2"/>
  <c r="CX21" i="2"/>
  <c r="CV28" i="2"/>
  <c r="CZ17" i="2"/>
  <c r="CZ54" i="2"/>
  <c r="CZ41" i="2"/>
  <c r="CX41" i="2"/>
  <c r="CZ97" i="2"/>
  <c r="CZ96" i="2"/>
  <c r="CN61" i="2"/>
  <c r="CO61" i="2"/>
  <c r="CO85" i="2"/>
  <c r="CN85" i="2"/>
  <c r="CV7" i="2"/>
  <c r="CX26" i="2"/>
  <c r="CZ70" i="2"/>
  <c r="CX68" i="2"/>
  <c r="CV76" i="2"/>
  <c r="CV85" i="2"/>
  <c r="CX33" i="2"/>
  <c r="CZ87" i="2"/>
  <c r="CV100" i="2"/>
  <c r="CV19" i="2"/>
  <c r="CX106" i="2"/>
  <c r="CX88" i="2"/>
  <c r="CX28" i="2"/>
  <c r="CX48" i="2"/>
  <c r="CX43" i="2"/>
  <c r="CZ90" i="2"/>
  <c r="CZ98" i="2"/>
  <c r="CV102" i="2"/>
  <c r="CX17" i="2"/>
  <c r="CZ88" i="2"/>
  <c r="CV66" i="2"/>
  <c r="CV24" i="2"/>
  <c r="CV39" i="2"/>
  <c r="CT39" i="2" s="1"/>
  <c r="CV82" i="2"/>
  <c r="CX80" i="2"/>
  <c r="CZ55" i="2"/>
  <c r="CX66" i="2"/>
  <c r="CZ76" i="2"/>
  <c r="CZ14" i="2"/>
  <c r="CZ56" i="2"/>
  <c r="CX78" i="2"/>
  <c r="CV75" i="2"/>
  <c r="CX96" i="2"/>
  <c r="CO94" i="2"/>
  <c r="CN94" i="2"/>
  <c r="CN98" i="2"/>
  <c r="CO98" i="2"/>
  <c r="CO87" i="2"/>
  <c r="CN87" i="2"/>
  <c r="CN88" i="2"/>
  <c r="CO88" i="2"/>
  <c r="CX69" i="2"/>
  <c r="CV88" i="2"/>
  <c r="CX30" i="2"/>
  <c r="CV65" i="2"/>
  <c r="CX46" i="2"/>
  <c r="CV87" i="2"/>
  <c r="CX45" i="2"/>
  <c r="CZ74" i="2"/>
  <c r="CX90" i="2"/>
  <c r="CX6" i="2"/>
  <c r="CX55" i="2"/>
  <c r="CX59" i="2"/>
  <c r="CV8" i="2"/>
  <c r="CZ36" i="2"/>
  <c r="CZ68" i="2"/>
  <c r="CV21" i="2"/>
  <c r="CV79" i="2"/>
  <c r="CV68" i="2"/>
  <c r="CV14" i="2"/>
  <c r="CV45" i="2"/>
  <c r="CT45" i="2" s="1"/>
  <c r="CZ100" i="2"/>
  <c r="CX32" i="2"/>
  <c r="CV31" i="2"/>
  <c r="CT31" i="2" s="1"/>
  <c r="CZ60" i="2"/>
  <c r="CZ66" i="2"/>
  <c r="CZ29" i="2"/>
  <c r="CZ49" i="2"/>
  <c r="CX100" i="2"/>
  <c r="CV97" i="2"/>
  <c r="CV96" i="2"/>
  <c r="CO80" i="2"/>
  <c r="CN80" i="2"/>
  <c r="CO101" i="2"/>
  <c r="CN101" i="2"/>
  <c r="CO99" i="2"/>
  <c r="CN99" i="2"/>
  <c r="CO92" i="2"/>
  <c r="CN92" i="2"/>
  <c r="CO77" i="2"/>
  <c r="CN77" i="2"/>
  <c r="CZ61" i="2"/>
  <c r="CZ92" i="2"/>
  <c r="CV10" i="2"/>
  <c r="CX105" i="2"/>
  <c r="CV50" i="2"/>
  <c r="CZ73" i="2"/>
  <c r="CV72" i="2"/>
  <c r="CX14" i="2"/>
  <c r="CX19" i="2"/>
  <c r="CZ19" i="2"/>
  <c r="CZ42" i="2"/>
  <c r="CV56" i="2"/>
  <c r="CV105" i="2"/>
  <c r="CV30" i="2"/>
  <c r="CV43" i="2"/>
  <c r="CV70" i="2"/>
  <c r="CV52" i="2"/>
  <c r="CV91" i="2"/>
  <c r="CX16" i="2"/>
  <c r="CV59" i="2"/>
  <c r="CZ44" i="2"/>
  <c r="CZ10" i="2"/>
  <c r="CZ89" i="2"/>
  <c r="CZ51" i="2"/>
  <c r="CZ84" i="2"/>
  <c r="CX97" i="2"/>
  <c r="CO95" i="2"/>
  <c r="CN95" i="2"/>
  <c r="CO86" i="2"/>
  <c r="CN86" i="2"/>
  <c r="CX102" i="2"/>
  <c r="CX44" i="2"/>
  <c r="CZ38" i="2"/>
  <c r="CZ32" i="2"/>
  <c r="CZ72" i="2"/>
  <c r="CV98" i="2"/>
  <c r="CV101" i="2"/>
  <c r="CX101" i="2"/>
  <c r="CV77" i="2"/>
  <c r="CX67" i="2"/>
  <c r="CX47" i="2"/>
  <c r="CZ94" i="2"/>
  <c r="CZ50" i="2"/>
  <c r="CV84" i="2"/>
  <c r="CX82" i="2"/>
  <c r="CV94" i="2"/>
  <c r="CV20" i="2"/>
  <c r="CV22" i="2"/>
  <c r="CV32" i="2"/>
  <c r="CT32" i="2" s="1"/>
  <c r="CX84" i="2"/>
  <c r="CX104" i="2"/>
  <c r="CX51" i="2"/>
  <c r="CZ102" i="2"/>
  <c r="CZ43" i="2"/>
  <c r="CZ20" i="2"/>
  <c r="CZ105" i="2"/>
  <c r="CZ5" i="2"/>
  <c r="CV106" i="2"/>
  <c r="CX75" i="2"/>
  <c r="CO84" i="2"/>
  <c r="CN84" i="2"/>
  <c r="CV54" i="2"/>
  <c r="CZ78" i="2"/>
  <c r="CX12" i="2"/>
  <c r="CX58" i="2"/>
  <c r="CZ69" i="2"/>
  <c r="CZ33" i="2"/>
  <c r="CX7" i="2"/>
  <c r="CX37" i="2"/>
  <c r="CX73" i="2"/>
  <c r="CZ83" i="2"/>
  <c r="CX23" i="2"/>
  <c r="CX94" i="2"/>
  <c r="CV73" i="2"/>
  <c r="CX83" i="2"/>
  <c r="CX79" i="2"/>
  <c r="CV83" i="2"/>
  <c r="CV38" i="2"/>
  <c r="CT38" i="2" s="1"/>
  <c r="CV49" i="2"/>
  <c r="CV6" i="2"/>
  <c r="CV29" i="2"/>
  <c r="CV33" i="2"/>
  <c r="CT33" i="2" s="1"/>
  <c r="CV60" i="2"/>
  <c r="CX29" i="2"/>
  <c r="CZ82" i="2"/>
  <c r="CZ57" i="2"/>
  <c r="CZ85" i="2"/>
  <c r="CZ26" i="2"/>
  <c r="CZ4" i="2"/>
  <c r="CX95" i="2"/>
  <c r="CX71" i="2"/>
  <c r="CO100" i="2"/>
  <c r="CN100" i="2"/>
  <c r="CO83" i="2"/>
  <c r="CN83" i="2"/>
  <c r="CO93" i="2"/>
  <c r="CN93" i="2"/>
  <c r="CX3" i="2"/>
  <c r="CR3" i="2"/>
  <c r="CN3" i="2"/>
  <c r="CZ3" i="2"/>
  <c r="CT8" i="2" l="1"/>
  <c r="CT30" i="2"/>
  <c r="CT37" i="2"/>
  <c r="CT20" i="2"/>
  <c r="CT14" i="2"/>
  <c r="CT7" i="2"/>
  <c r="CT17" i="2"/>
  <c r="CT10" i="2"/>
  <c r="CT26" i="2"/>
  <c r="CT5" i="2"/>
  <c r="CT43" i="2"/>
  <c r="CT41" i="2"/>
  <c r="CT18" i="2"/>
  <c r="CT11" i="2"/>
  <c r="CT19" i="2"/>
  <c r="CT36" i="2"/>
  <c r="CT24" i="2"/>
  <c r="CT9" i="2"/>
  <c r="CT4" i="2"/>
  <c r="CT12" i="2"/>
  <c r="CT13" i="2"/>
  <c r="CT6" i="2"/>
  <c r="CT23" i="2"/>
  <c r="CT16" i="2"/>
  <c r="CT34" i="2"/>
  <c r="CP107" i="2"/>
  <c r="D107" i="2" s="1"/>
  <c r="CP108" i="2"/>
  <c r="D108" i="2" s="1"/>
  <c r="CP101" i="2"/>
  <c r="D101" i="2" s="1"/>
  <c r="CP80" i="2"/>
  <c r="D80" i="2" s="1"/>
  <c r="CP62" i="2"/>
  <c r="D62" i="2" s="1"/>
  <c r="CP84" i="2"/>
  <c r="D84" i="2" s="1"/>
  <c r="CP73" i="2"/>
  <c r="D73" i="2" s="1"/>
  <c r="CP104" i="2"/>
  <c r="D104" i="2" s="1"/>
  <c r="CP72" i="2"/>
  <c r="D72" i="2" s="1"/>
  <c r="CP105" i="2"/>
  <c r="D105" i="2" s="1"/>
  <c r="CP61" i="2"/>
  <c r="D61" i="2" s="1"/>
  <c r="CP76" i="2"/>
  <c r="D76" i="2" s="1"/>
  <c r="CP106" i="2"/>
  <c r="D106" i="2" s="1"/>
  <c r="CP82" i="2"/>
  <c r="D82" i="2" s="1"/>
  <c r="CP88" i="2"/>
  <c r="D88" i="2" s="1"/>
  <c r="CP85" i="2"/>
  <c r="D85" i="2" s="1"/>
  <c r="CP93" i="2"/>
  <c r="D93" i="2" s="1"/>
  <c r="CP95" i="2"/>
  <c r="D95" i="2" s="1"/>
  <c r="CP77" i="2"/>
  <c r="D77" i="2" s="1"/>
  <c r="CP87" i="2"/>
  <c r="D87" i="2" s="1"/>
  <c r="CP102" i="2"/>
  <c r="D102" i="2" s="1"/>
  <c r="CP83" i="2"/>
  <c r="D83" i="2" s="1"/>
  <c r="CP98" i="2"/>
  <c r="D98" i="2" s="1"/>
  <c r="CP53" i="2"/>
  <c r="D53" i="2" s="1"/>
  <c r="CP89" i="2"/>
  <c r="D89" i="2" s="1"/>
  <c r="CP79" i="2"/>
  <c r="D79" i="2" s="1"/>
  <c r="CP78" i="2"/>
  <c r="D78" i="2" s="1"/>
  <c r="CP86" i="2"/>
  <c r="D86" i="2" s="1"/>
  <c r="CP92" i="2"/>
  <c r="D92" i="2" s="1"/>
  <c r="CP100" i="2"/>
  <c r="D100" i="2" s="1"/>
  <c r="CP99" i="2"/>
  <c r="D99" i="2" s="1"/>
  <c r="CP74" i="2"/>
  <c r="D74" i="2" s="1"/>
  <c r="CP91" i="2"/>
  <c r="D91" i="2" s="1"/>
  <c r="CP42" i="2"/>
  <c r="D42" i="2" s="1"/>
  <c r="CP19" i="2"/>
  <c r="D19" i="2" s="1"/>
  <c r="CP30" i="2"/>
  <c r="D30" i="2" s="1"/>
  <c r="CP25" i="2"/>
  <c r="D25" i="2" s="1"/>
  <c r="CP22" i="2"/>
  <c r="D22" i="2" s="1"/>
  <c r="CP64" i="2"/>
  <c r="D64" i="2" s="1"/>
  <c r="CP43" i="2"/>
  <c r="D43" i="2" s="1"/>
  <c r="CP4" i="2"/>
  <c r="D4" i="2" s="1"/>
  <c r="CP28" i="2"/>
  <c r="D28" i="2" s="1"/>
  <c r="CP11" i="2"/>
  <c r="D11" i="2" s="1"/>
  <c r="CP16" i="2"/>
  <c r="D16" i="2" s="1"/>
  <c r="CP58" i="2"/>
  <c r="D58" i="2" s="1"/>
  <c r="CP6" i="2"/>
  <c r="D6" i="2" s="1"/>
  <c r="CP41" i="2"/>
  <c r="D41" i="2" s="1"/>
  <c r="CP7" i="2"/>
  <c r="D7" i="2" s="1"/>
  <c r="CP24" i="2"/>
  <c r="D24" i="2" s="1"/>
  <c r="CP20" i="2"/>
  <c r="D20" i="2" s="1"/>
  <c r="CP15" i="2"/>
  <c r="D15" i="2" s="1"/>
  <c r="CP13" i="2"/>
  <c r="D13" i="2" s="1"/>
  <c r="CP45" i="2"/>
  <c r="D45" i="2" s="1"/>
  <c r="CP44" i="2"/>
  <c r="D44" i="2" s="1"/>
  <c r="CP12" i="2"/>
  <c r="D12" i="2" s="1"/>
  <c r="CP60" i="2"/>
  <c r="D60" i="2" s="1"/>
  <c r="CP39" i="2"/>
  <c r="D39" i="2" s="1"/>
  <c r="CP46" i="2"/>
  <c r="D46" i="2" s="1"/>
  <c r="CP37" i="2"/>
  <c r="D37" i="2" s="1"/>
  <c r="CP51" i="2"/>
  <c r="D51" i="2" s="1"/>
  <c r="CP8" i="2"/>
  <c r="D8" i="2" s="1"/>
  <c r="CP29" i="2"/>
  <c r="D29" i="2" s="1"/>
  <c r="CP67" i="2"/>
  <c r="D67" i="2" s="1"/>
  <c r="CP57" i="2"/>
  <c r="D57" i="2" s="1"/>
  <c r="CP9" i="2"/>
  <c r="D9" i="2" s="1"/>
  <c r="CP48" i="2"/>
  <c r="D48" i="2" s="1"/>
  <c r="CP38" i="2"/>
  <c r="D38" i="2" s="1"/>
  <c r="CP66" i="2"/>
  <c r="D66" i="2" s="1"/>
  <c r="CP17" i="2"/>
  <c r="D17" i="2" s="1"/>
  <c r="CP47" i="2"/>
  <c r="D47" i="2" s="1"/>
  <c r="CP26" i="2"/>
  <c r="D26" i="2" s="1"/>
  <c r="CP23" i="2"/>
  <c r="D23" i="2" s="1"/>
  <c r="CP81" i="2"/>
  <c r="D81" i="2" s="1"/>
  <c r="CP27" i="2"/>
  <c r="D27" i="2" s="1"/>
  <c r="CP14" i="2"/>
  <c r="D14" i="2" s="1"/>
  <c r="CP5" i="2"/>
  <c r="D5" i="2" s="1"/>
  <c r="CP52" i="2"/>
  <c r="D52" i="2" s="1"/>
  <c r="CP40" i="2"/>
  <c r="D40" i="2" s="1"/>
  <c r="CP97" i="2"/>
  <c r="D97" i="2" s="1"/>
  <c r="CP31" i="2"/>
  <c r="D31" i="2" s="1"/>
  <c r="CP36" i="2"/>
  <c r="D36" i="2" s="1"/>
  <c r="CP96" i="2"/>
  <c r="D96" i="2" s="1"/>
  <c r="CP55" i="2"/>
  <c r="D55" i="2" s="1"/>
  <c r="CP49" i="2"/>
  <c r="D49" i="2" s="1"/>
  <c r="CP34" i="2"/>
  <c r="D34" i="2" s="1"/>
  <c r="CP75" i="2"/>
  <c r="D75" i="2" s="1"/>
  <c r="CP33" i="2"/>
  <c r="D33" i="2" s="1"/>
  <c r="CP71" i="2"/>
  <c r="D71" i="2" s="1"/>
  <c r="CP18" i="2"/>
  <c r="D18" i="2" s="1"/>
  <c r="CP69" i="2"/>
  <c r="D69" i="2" s="1"/>
  <c r="CP59" i="2"/>
  <c r="D59" i="2" s="1"/>
  <c r="CP10" i="2"/>
  <c r="D10" i="2" s="1"/>
  <c r="CP103" i="2"/>
  <c r="D103" i="2" s="1"/>
  <c r="CP63" i="2"/>
  <c r="D63" i="2" s="1"/>
  <c r="CP70" i="2"/>
  <c r="D70" i="2" s="1"/>
  <c r="CP56" i="2"/>
  <c r="D56" i="2" s="1"/>
  <c r="CP32" i="2"/>
  <c r="D32" i="2" s="1"/>
  <c r="CP50" i="2"/>
  <c r="D50" i="2" s="1"/>
  <c r="CP68" i="2"/>
  <c r="D68" i="2" s="1"/>
  <c r="CP54" i="2"/>
  <c r="D54" i="2" s="1"/>
  <c r="CP35" i="2"/>
  <c r="D35" i="2" s="1"/>
  <c r="CP21" i="2"/>
  <c r="D21" i="2" s="1"/>
  <c r="CP94" i="2"/>
  <c r="D94" i="2" s="1"/>
  <c r="CP90" i="2"/>
  <c r="D90" i="2" s="1"/>
  <c r="CP65" i="2"/>
  <c r="D65" i="2" s="1"/>
  <c r="CV3" i="2"/>
  <c r="CT3" i="2" s="1"/>
  <c r="CP3" i="2"/>
  <c r="D3" i="2" s="1"/>
  <c r="CS25" i="2" l="1"/>
  <c r="CS13" i="2"/>
  <c r="CS32" i="2"/>
  <c r="CS4" i="2"/>
  <c r="CS8" i="2"/>
  <c r="CS9" i="2"/>
  <c r="CS43" i="2"/>
  <c r="CS24" i="2"/>
  <c r="CS38" i="2"/>
  <c r="CS31" i="2"/>
  <c r="CS5" i="2"/>
  <c r="CS36" i="2"/>
  <c r="CS26" i="2"/>
  <c r="CS39" i="2"/>
  <c r="CS10" i="2"/>
  <c r="CS33" i="2"/>
  <c r="CS19" i="2"/>
  <c r="CS17" i="2"/>
  <c r="CS41" i="2"/>
  <c r="CS34" i="2"/>
  <c r="CS11" i="2"/>
  <c r="CS7" i="2"/>
  <c r="CS12" i="2"/>
  <c r="CS45" i="2"/>
  <c r="CS16" i="2"/>
  <c r="CS18" i="2"/>
  <c r="CS14" i="2"/>
  <c r="CS23" i="2"/>
  <c r="CS30" i="2"/>
  <c r="CS20" i="2"/>
  <c r="CS6" i="2"/>
  <c r="CS37" i="2"/>
  <c r="CK108" i="2"/>
  <c r="CK107" i="2"/>
  <c r="CK96" i="2"/>
  <c r="CS3" i="2"/>
  <c r="CK103" i="2"/>
  <c r="CK69" i="2"/>
  <c r="CK71" i="2"/>
  <c r="CK97" i="2"/>
  <c r="CK75" i="2"/>
  <c r="CK44" i="2"/>
  <c r="CK16" i="2"/>
  <c r="CK49" i="2"/>
  <c r="CK86" i="2"/>
  <c r="CK31" i="2"/>
  <c r="CK73" i="2"/>
  <c r="CK6" i="2"/>
  <c r="CK84" i="2"/>
  <c r="CK98" i="2"/>
  <c r="CK52" i="2"/>
  <c r="CK82" i="2"/>
  <c r="CK83" i="2"/>
  <c r="CK56" i="2"/>
  <c r="CK81" i="2"/>
  <c r="CK100" i="2"/>
  <c r="CK3" i="2"/>
  <c r="CK62" i="2"/>
  <c r="CK78" i="2"/>
  <c r="CK37" i="2"/>
  <c r="CK21" i="2"/>
  <c r="CK18" i="2"/>
  <c r="CK8" i="2"/>
  <c r="CK57" i="2"/>
  <c r="CK101" i="2"/>
  <c r="CK28" i="2"/>
  <c r="CK55" i="2"/>
  <c r="CK27" i="2"/>
  <c r="CK39" i="2"/>
  <c r="CK4" i="2"/>
  <c r="CK43" i="2"/>
  <c r="CK32" i="2"/>
  <c r="CK10" i="2"/>
  <c r="CK80" i="2"/>
  <c r="CK24" i="2"/>
  <c r="CK87" i="2"/>
  <c r="CK12" i="2"/>
  <c r="CK54" i="2"/>
  <c r="CK5" i="2"/>
  <c r="CK50" i="2"/>
  <c r="CK38" i="2"/>
  <c r="CK90" i="2"/>
  <c r="CK91" i="2"/>
  <c r="CK63" i="2"/>
  <c r="CK58" i="2"/>
  <c r="CK67" i="2"/>
  <c r="CK23" i="2"/>
  <c r="CK41" i="2"/>
  <c r="CK77" i="2"/>
  <c r="CK88" i="2"/>
  <c r="CK11" i="2"/>
  <c r="CK59" i="2"/>
  <c r="CK40" i="2"/>
  <c r="CK20" i="2"/>
  <c r="CK105" i="2"/>
  <c r="CK53" i="2"/>
  <c r="CK68" i="2"/>
  <c r="CK17" i="2"/>
  <c r="CK85" i="2"/>
  <c r="CK22" i="2"/>
  <c r="CK70" i="2"/>
  <c r="CK76" i="2"/>
  <c r="CK14" i="2"/>
  <c r="CK51" i="2"/>
  <c r="CK65" i="2"/>
  <c r="CK45" i="2"/>
  <c r="CK29" i="2"/>
  <c r="CK30" i="2"/>
  <c r="CK35" i="2"/>
  <c r="CK19" i="2"/>
  <c r="CK102" i="2"/>
  <c r="CK7" i="2"/>
  <c r="CK33" i="2"/>
  <c r="CK93" i="2"/>
  <c r="CK89" i="2"/>
  <c r="CK47" i="2"/>
  <c r="CK104" i="2"/>
  <c r="CK79" i="2"/>
  <c r="CK72" i="2"/>
  <c r="CK13" i="2"/>
  <c r="CK25" i="2"/>
  <c r="CK61" i="2"/>
  <c r="CK42" i="2"/>
  <c r="CK34" i="2"/>
  <c r="CK64" i="2"/>
  <c r="CK94" i="2"/>
  <c r="CK99" i="2"/>
  <c r="CK26" i="2"/>
  <c r="CK9" i="2"/>
  <c r="CK66" i="2"/>
  <c r="CK60" i="2"/>
  <c r="CK92" i="2"/>
  <c r="CK74" i="2"/>
  <c r="CK36" i="2"/>
  <c r="CK48" i="2"/>
  <c r="CK46" i="2"/>
  <c r="CK15" i="2"/>
  <c r="CK95" i="2"/>
  <c r="CK106" i="2"/>
</calcChain>
</file>

<file path=xl/sharedStrings.xml><?xml version="1.0" encoding="utf-8"?>
<sst xmlns="http://schemas.openxmlformats.org/spreadsheetml/2006/main" count="1976" uniqueCount="482">
  <si>
    <t>Rank</t>
  </si>
  <si>
    <t>Athlete</t>
  </si>
  <si>
    <t>Runs</t>
  </si>
  <si>
    <t>--</t>
  </si>
  <si>
    <t>Sérgio Miguel Sérgio Miguel</t>
  </si>
  <si>
    <t>João Abreu João Abreu</t>
  </si>
  <si>
    <t>Carmen Ferreira Carmen Ferreira</t>
  </si>
  <si>
    <t>José Manso José Manso</t>
  </si>
  <si>
    <t>Miguel Amaral Miguel Amaral</t>
  </si>
  <si>
    <t>Carlos Vaz Vignolo Carlos Vaz Vignolo</t>
  </si>
  <si>
    <t>João Veiga João Veiga</t>
  </si>
  <si>
    <t>Luís Carvalho Luís Carvalho</t>
  </si>
  <si>
    <t>Adalberto Grilo Adalberto Grilo</t>
  </si>
  <si>
    <t>Sara Pedrosa Sara Pedrosa</t>
  </si>
  <si>
    <t>Alexandre Jorge Alexandre Jorge</t>
  </si>
  <si>
    <t>Sandra Romano Sandra Romano</t>
  </si>
  <si>
    <t>Arede ??????  Arede ??????</t>
  </si>
  <si>
    <t>Guida Monteiro Guida Monteiro</t>
  </si>
  <si>
    <t>Pedro Esteves Pedro Esteves</t>
  </si>
  <si>
    <t>Paulo Dias Paulo Dias</t>
  </si>
  <si>
    <t>Inês Sepúlveda Inês Sepúlveda</t>
  </si>
  <si>
    <t>Carla Rebelo Carla Rebelo</t>
  </si>
  <si>
    <t>Miguel Dias Miguel Dias</t>
  </si>
  <si>
    <t>Teodoro Trindade Teodoro Trindade</t>
  </si>
  <si>
    <t>João Antunes ???? João Antunes ????</t>
  </si>
  <si>
    <t>Rui Faria Rui Faria</t>
  </si>
  <si>
    <t>Jorge Paulo Jorge Paulo</t>
  </si>
  <si>
    <t>Ana Chocalheiro Ana Chocalheiro</t>
  </si>
  <si>
    <t>Moises Rodrigues Moises Rodrigues</t>
  </si>
  <si>
    <t>Sara Catita Sara Catita</t>
  </si>
  <si>
    <t>António Carlos Teixeira Duarte António Carlos Teixeira Duarte</t>
  </si>
  <si>
    <t>Paulo Machado Paulo Machado</t>
  </si>
  <si>
    <t>Rita Vicente Rita Vicente</t>
  </si>
  <si>
    <t>Jose Matos Jose Matos</t>
  </si>
  <si>
    <t>Marina Marques Marina Marques</t>
  </si>
  <si>
    <t>Tiago Martins Tiago Martins</t>
  </si>
  <si>
    <t>Rute Fernandes Rute Fernandes</t>
  </si>
  <si>
    <t>Gonçalo Fontes de Melo Gonçalo Fontes de Melo</t>
  </si>
  <si>
    <t>Gabriela Grade Gabriela Grade</t>
  </si>
  <si>
    <t>Paulo Raposo Paulo Raposo</t>
  </si>
  <si>
    <t>Marta Pereira Marta Pereira</t>
  </si>
  <si>
    <t>Francisco Afonso Francisco Afonso</t>
  </si>
  <si>
    <t>Vitor Pires Vitor Pires</t>
  </si>
  <si>
    <t>Cristina Morgado Cristina Morgado</t>
  </si>
  <si>
    <t>Pedro Simões Pedro Simões</t>
  </si>
  <si>
    <t>Pedro Machado Pedro Machado</t>
  </si>
  <si>
    <t>Sandra Oliveira Sandra Oliveira</t>
  </si>
  <si>
    <t>Cesar Moreira Cesar Moreira</t>
  </si>
  <si>
    <t>Ricardo Mateus Ricardo Mateus</t>
  </si>
  <si>
    <t>Paulo Vintém Oliveira Paulo Vintém Oliveira</t>
  </si>
  <si>
    <t>Francisco Sanches-Osorio Francisco Sanches-Osorio</t>
  </si>
  <si>
    <t>Ana Rute Matos Ana Rute Matos</t>
  </si>
  <si>
    <t>Fernando Rosete  Fernando Rosete</t>
  </si>
  <si>
    <t>Emanuel Silva Emanuel Silva</t>
  </si>
  <si>
    <t>António  Rego ???????? António Rego ????????</t>
  </si>
  <si>
    <t>Vera Rochinha Vera Rochinha</t>
  </si>
  <si>
    <t>Pedro  Ribeiro Pedro Ribeiro</t>
  </si>
  <si>
    <t>Joana Lucas Joana Lucas</t>
  </si>
  <si>
    <t>claudia pargana claudia pargana</t>
  </si>
  <si>
    <t>Andreia Oliveira Andreia Oliveira</t>
  </si>
  <si>
    <t>Jose Magalhaes Jose Magalhaes</t>
  </si>
  <si>
    <t>Sandra S Sandra S</t>
  </si>
  <si>
    <t>Ruben Costa Ruben Costa</t>
  </si>
  <si>
    <t>Pedro Morgado Pedro Morgado</t>
  </si>
  <si>
    <t>Luis Madeira Luis Madeira</t>
  </si>
  <si>
    <t>Fernando Carvalhão ?? Fernando Carvalhão ??</t>
  </si>
  <si>
    <t>rita felizol rita felizol</t>
  </si>
  <si>
    <t>Pedro Fonseca Pedro Fonseca</t>
  </si>
  <si>
    <t>joão sousa joão sousa</t>
  </si>
  <si>
    <t>Rafaela Dinis Rafaela Dinis</t>
  </si>
  <si>
    <t>Nayara Pinheiro Nayara Pinheiro</t>
  </si>
  <si>
    <t>Filipe Côrte-Real Filipe Côrte-Real</t>
  </si>
  <si>
    <t>Ana Melo Ana Melo</t>
  </si>
  <si>
    <t>Patrícia Calado Patrícia Calado</t>
  </si>
  <si>
    <t>Claudio Monteiro Claudio Monteiro</t>
  </si>
  <si>
    <t>Marta Reis Marta Reis</t>
  </si>
  <si>
    <t>Nuno Alves Nuno Alves</t>
  </si>
  <si>
    <t>Joao Barreira Joao Barreira</t>
  </si>
  <si>
    <t>Zana Duarte Zana Duarte</t>
  </si>
  <si>
    <t>Vítor Martins Vítor Martins</t>
  </si>
  <si>
    <t>Luis Matos Ferreira | dorsal1967.blogspot.com Luis Matos Ferreira | dorsal1967.blogspot.com</t>
  </si>
  <si>
    <t>Gelson Baía ???? Gelson Baía ????</t>
  </si>
  <si>
    <t>Distance</t>
  </si>
  <si>
    <t>Longest</t>
  </si>
  <si>
    <t>Avg. Pace</t>
  </si>
  <si>
    <t>Elev. Gain</t>
  </si>
  <si>
    <t>Sérgio Miguel</t>
  </si>
  <si>
    <t>João Abreu</t>
  </si>
  <si>
    <t>Carmen Ferreira</t>
  </si>
  <si>
    <t>José Manso</t>
  </si>
  <si>
    <t>Miguel Amaral</t>
  </si>
  <si>
    <t>João Veiga</t>
  </si>
  <si>
    <t>Luís Carvalho</t>
  </si>
  <si>
    <t>Adalberto Grilo</t>
  </si>
  <si>
    <t>Sara Pedrosa</t>
  </si>
  <si>
    <t>Alexandre Jorge</t>
  </si>
  <si>
    <t>Sandra Romano</t>
  </si>
  <si>
    <t>Guida Monteiro</t>
  </si>
  <si>
    <t>Pedro Esteves</t>
  </si>
  <si>
    <t>Paulo Dias</t>
  </si>
  <si>
    <t>Inês Sepúlveda</t>
  </si>
  <si>
    <t>Carla Rebelo</t>
  </si>
  <si>
    <t>Miguel Dias</t>
  </si>
  <si>
    <t>Teodoro Trindade</t>
  </si>
  <si>
    <t>João Antunes</t>
  </si>
  <si>
    <t>Rui Faria</t>
  </si>
  <si>
    <t>Jorge Paulo</t>
  </si>
  <si>
    <t>Ana Chocalheiro</t>
  </si>
  <si>
    <t>Moises Rodrigues</t>
  </si>
  <si>
    <t>Sara Catita</t>
  </si>
  <si>
    <t>Paulo Machado</t>
  </si>
  <si>
    <t>Rita Vicente</t>
  </si>
  <si>
    <t>Jose Matos</t>
  </si>
  <si>
    <t>Marina Marques</t>
  </si>
  <si>
    <t>Tiago Martins</t>
  </si>
  <si>
    <t>Rute Fernandes</t>
  </si>
  <si>
    <t>Gabriela Grade</t>
  </si>
  <si>
    <t>Paulo Raposo</t>
  </si>
  <si>
    <t>Marta Pereira</t>
  </si>
  <si>
    <t>Francisco Afonso</t>
  </si>
  <si>
    <t>Cristina Morgado</t>
  </si>
  <si>
    <t>Pedro Simões</t>
  </si>
  <si>
    <t>Pedro Machado</t>
  </si>
  <si>
    <t>Sandra Oliveira</t>
  </si>
  <si>
    <t>Ricardo Mateus</t>
  </si>
  <si>
    <t>Fernando Rosete</t>
  </si>
  <si>
    <t>Emanuel Silva</t>
  </si>
  <si>
    <t>Vera Rochinha</t>
  </si>
  <si>
    <t>Joana Lucas</t>
  </si>
  <si>
    <t>Andreia Oliveira</t>
  </si>
  <si>
    <t>Ruben Costa</t>
  </si>
  <si>
    <t>Pedro Morgado</t>
  </si>
  <si>
    <t>Fernando Carvalhão</t>
  </si>
  <si>
    <t>Pedro Fonseca</t>
  </si>
  <si>
    <t>Rafaela Dinis</t>
  </si>
  <si>
    <t>Nayara Pinheiro</t>
  </si>
  <si>
    <t>Ana Melo</t>
  </si>
  <si>
    <t>Patrícia Calado</t>
  </si>
  <si>
    <t>Marta Reis</t>
  </si>
  <si>
    <t>Nuno Alves</t>
  </si>
  <si>
    <t>Zana Duarte</t>
  </si>
  <si>
    <t>Vítor Martins</t>
  </si>
  <si>
    <t>Gelson Baía</t>
  </si>
  <si>
    <t>Sandra Simões</t>
  </si>
  <si>
    <t>Carlos Vaz Vignolo</t>
  </si>
  <si>
    <t>Joaquim José Monteiro</t>
  </si>
  <si>
    <t>Paulo Vintém Oliveira</t>
  </si>
  <si>
    <t>Ana Rute Matos</t>
  </si>
  <si>
    <t>Filipe Côrte-Real</t>
  </si>
  <si>
    <t>Gonçalo Fontes de Melo</t>
  </si>
  <si>
    <t>António Carlos Teixeira Duarte</t>
  </si>
  <si>
    <t>António Arede</t>
  </si>
  <si>
    <t>Cláudio Monteiro</t>
  </si>
  <si>
    <t>João Barreira</t>
  </si>
  <si>
    <t>Luís Matos Ferreira</t>
  </si>
  <si>
    <t>João Sousa</t>
  </si>
  <si>
    <t>Rita Felizol</t>
  </si>
  <si>
    <t>Luís Madeira</t>
  </si>
  <si>
    <t>José Magalhães</t>
  </si>
  <si>
    <t>Claudia Pargana</t>
  </si>
  <si>
    <t>Pedro Ribeiro</t>
  </si>
  <si>
    <t>António Rego</t>
  </si>
  <si>
    <t>Francisco Sanches-Osório</t>
  </si>
  <si>
    <t>César Moreira</t>
  </si>
  <si>
    <t>Vítor Pires</t>
  </si>
  <si>
    <t>w1</t>
  </si>
  <si>
    <t>Name</t>
  </si>
  <si>
    <t>acc</t>
  </si>
  <si>
    <t>Pos.</t>
  </si>
  <si>
    <t>Name STRAVA</t>
  </si>
  <si>
    <t>Excl.</t>
  </si>
  <si>
    <t>?</t>
  </si>
  <si>
    <t>HDP Fernandes HDP Fernandes</t>
  </si>
  <si>
    <t>Raúl Matos Raúl Matos</t>
  </si>
  <si>
    <t>Paula Carvalho Paula Carvalho</t>
  </si>
  <si>
    <t>João Bettencourt João Bettencourt</t>
  </si>
  <si>
    <t>Pedro Rodrigues Pedro Rodrigues</t>
  </si>
  <si>
    <t>Bruno Pinto Bruno Pinto</t>
  </si>
  <si>
    <t>Rui Próspero Rui Próspero</t>
  </si>
  <si>
    <t>Pedro Silva Pedro Silva</t>
  </si>
  <si>
    <t>Ana Silva Ana Silva</t>
  </si>
  <si>
    <t>Tiago Ribeiro Tiago Ribeiro</t>
  </si>
  <si>
    <t>HDP Fernandes</t>
  </si>
  <si>
    <t>Raúl Matos</t>
  </si>
  <si>
    <t>Paula Carvalho</t>
  </si>
  <si>
    <t>João Bettencourt</t>
  </si>
  <si>
    <t>Pedro Rodrigues</t>
  </si>
  <si>
    <t>Bruno Pinto</t>
  </si>
  <si>
    <t>Rui Próspero</t>
  </si>
  <si>
    <t>Pedro Silva</t>
  </si>
  <si>
    <t>Ana Silva</t>
  </si>
  <si>
    <t>Tiago Ribeiro</t>
  </si>
  <si>
    <t>w2</t>
  </si>
  <si>
    <t>Luis Afonso Luis Afonso</t>
  </si>
  <si>
    <t>Odília Pereira ???? Odília Pereira ????</t>
  </si>
  <si>
    <t>André Amaral André Amaral</t>
  </si>
  <si>
    <t>Rogério Matos Rogério Matos</t>
  </si>
  <si>
    <t>Cláudia Gama Cláudia Gama</t>
  </si>
  <si>
    <t>Cristina Neves Cristina Neves</t>
  </si>
  <si>
    <t>w3</t>
  </si>
  <si>
    <t>Luis Afonso</t>
  </si>
  <si>
    <t>Odília Pereira</t>
  </si>
  <si>
    <t>André Amaral</t>
  </si>
  <si>
    <t>Rogério Matos</t>
  </si>
  <si>
    <t>Cláudia Gama</t>
  </si>
  <si>
    <t>Cristina Neves</t>
  </si>
  <si>
    <t>St.Dev.</t>
  </si>
  <si>
    <t>RANK</t>
  </si>
  <si>
    <t>Aux1</t>
  </si>
  <si>
    <t>Aux2</t>
  </si>
  <si>
    <t>Michele Marconi Michele Marconi</t>
  </si>
  <si>
    <t>w4</t>
  </si>
  <si>
    <t>Michele Marconi</t>
  </si>
  <si>
    <t>Ana Tavares Ana Tavares</t>
  </si>
  <si>
    <t>Yoko Tsuno Yoko Tsuno</t>
  </si>
  <si>
    <t>w5</t>
  </si>
  <si>
    <t>Filipa Ferro</t>
  </si>
  <si>
    <t>Ana Tavares</t>
  </si>
  <si>
    <t>w6</t>
  </si>
  <si>
    <t>Elizabeth Silva Elizabeth Silva</t>
  </si>
  <si>
    <t>Nuno Dias de Almeida Nuno Dias de Almeida</t>
  </si>
  <si>
    <t>Joaquim José Monteiro Joaquim JoséMonteiro</t>
  </si>
  <si>
    <t>Elizabeth Silva</t>
  </si>
  <si>
    <t>Nuno Dias de Almeida</t>
  </si>
  <si>
    <t>127.3 km</t>
  </si>
  <si>
    <t>22.2 km</t>
  </si>
  <si>
    <t>6:00 /km</t>
  </si>
  <si>
    <t>2,374 m</t>
  </si>
  <si>
    <t>70.4 km</t>
  </si>
  <si>
    <t>42.7 km</t>
  </si>
  <si>
    <t>5:26 /km</t>
  </si>
  <si>
    <t>126 m</t>
  </si>
  <si>
    <t>63.3 km</t>
  </si>
  <si>
    <t>19.8 km</t>
  </si>
  <si>
    <t>6:20 /km</t>
  </si>
  <si>
    <t>1,381 m</t>
  </si>
  <si>
    <t>63.0 km</t>
  </si>
  <si>
    <t>42.5 km</t>
  </si>
  <si>
    <t>5:22 /km</t>
  </si>
  <si>
    <t>145 m</t>
  </si>
  <si>
    <t>61.4 km</t>
  </si>
  <si>
    <t>14.5 km</t>
  </si>
  <si>
    <t>5:48 /km</t>
  </si>
  <si>
    <t>1,208 m</t>
  </si>
  <si>
    <t>59.0 km</t>
  </si>
  <si>
    <t>25.0 km</t>
  </si>
  <si>
    <t>5:49 /km</t>
  </si>
  <si>
    <t>365 m</t>
  </si>
  <si>
    <t>56.3 km</t>
  </si>
  <si>
    <t>25.8 km</t>
  </si>
  <si>
    <t>5:32 /km</t>
  </si>
  <si>
    <t>187 m</t>
  </si>
  <si>
    <t>55.8 km</t>
  </si>
  <si>
    <t>7:27 /km</t>
  </si>
  <si>
    <t>1,587 m</t>
  </si>
  <si>
    <t>49.9 km</t>
  </si>
  <si>
    <t>17.7 km</t>
  </si>
  <si>
    <t>7:03 /km</t>
  </si>
  <si>
    <t>732 m</t>
  </si>
  <si>
    <t>49.6 km</t>
  </si>
  <si>
    <t>22.3 km</t>
  </si>
  <si>
    <t>7:35 /km</t>
  </si>
  <si>
    <t>1,532 m</t>
  </si>
  <si>
    <t>48.6 km</t>
  </si>
  <si>
    <t>28.4 km</t>
  </si>
  <si>
    <t>8:33 /km</t>
  </si>
  <si>
    <t>1,975 m</t>
  </si>
  <si>
    <t>48.2 km</t>
  </si>
  <si>
    <t>28.8 km</t>
  </si>
  <si>
    <t>9:01 /km</t>
  </si>
  <si>
    <t>1,915 m</t>
  </si>
  <si>
    <t>47.9 km</t>
  </si>
  <si>
    <t>28.5 km</t>
  </si>
  <si>
    <t>10:25 /km</t>
  </si>
  <si>
    <t>1,731 m</t>
  </si>
  <si>
    <t>44.7 km</t>
  </si>
  <si>
    <t>24.3 km</t>
  </si>
  <si>
    <t>4:28 /km</t>
  </si>
  <si>
    <t>317 m</t>
  </si>
  <si>
    <t>43.0 km</t>
  </si>
  <si>
    <t>9.5 km</t>
  </si>
  <si>
    <t>13:39 /km</t>
  </si>
  <si>
    <t>46 m</t>
  </si>
  <si>
    <t>42.6 km</t>
  </si>
  <si>
    <t>11.2 km</t>
  </si>
  <si>
    <t>4:58 /km</t>
  </si>
  <si>
    <t>936 m</t>
  </si>
  <si>
    <t>41.4 km</t>
  </si>
  <si>
    <t>19.3 km</t>
  </si>
  <si>
    <t>9:03 /km</t>
  </si>
  <si>
    <t>1,513 m</t>
  </si>
  <si>
    <t>10.5 km</t>
  </si>
  <si>
    <t>7:49 /km</t>
  </si>
  <si>
    <t>412 m</t>
  </si>
  <si>
    <t>41.0 km</t>
  </si>
  <si>
    <t>8:27 /km</t>
  </si>
  <si>
    <t>1,845 m</t>
  </si>
  <si>
    <t>36.6 km</t>
  </si>
  <si>
    <t>10.1 km</t>
  </si>
  <si>
    <t>6:07 /km</t>
  </si>
  <si>
    <t>81 m</t>
  </si>
  <si>
    <t>35.4 km</t>
  </si>
  <si>
    <t>16.0 km</t>
  </si>
  <si>
    <t>6:10 /km</t>
  </si>
  <si>
    <t>358 m</t>
  </si>
  <si>
    <t>33.5 km</t>
  </si>
  <si>
    <t>22.5 km</t>
  </si>
  <si>
    <t>7:07 /km</t>
  </si>
  <si>
    <t>1,321 m</t>
  </si>
  <si>
    <t>32.4 km</t>
  </si>
  <si>
    <t>10.3 km</t>
  </si>
  <si>
    <t>6:32 /km</t>
  </si>
  <si>
    <t>88 m</t>
  </si>
  <si>
    <t>30.6 km</t>
  </si>
  <si>
    <t>280 m</t>
  </si>
  <si>
    <t>30.3 km</t>
  </si>
  <si>
    <t>9:13 /km</t>
  </si>
  <si>
    <t>1,178 m</t>
  </si>
  <si>
    <t>29.6 km</t>
  </si>
  <si>
    <t>17.4 km</t>
  </si>
  <si>
    <t>7:45 /km</t>
  </si>
  <si>
    <t>487 m</t>
  </si>
  <si>
    <t>29.0 km</t>
  </si>
  <si>
    <t>9:10 /km</t>
  </si>
  <si>
    <t>1,357 m</t>
  </si>
  <si>
    <t>17.6 km</t>
  </si>
  <si>
    <t>7:10 /km</t>
  </si>
  <si>
    <t>296 m</t>
  </si>
  <si>
    <t>28.2 km</t>
  </si>
  <si>
    <t>1,154 m</t>
  </si>
  <si>
    <t>27.9 km</t>
  </si>
  <si>
    <t>5:47 /km</t>
  </si>
  <si>
    <t>26.3 km</t>
  </si>
  <si>
    <t>16.3 km</t>
  </si>
  <si>
    <t>8:22 /km</t>
  </si>
  <si>
    <t>639 m</t>
  </si>
  <si>
    <t>14.8 km</t>
  </si>
  <si>
    <t>410 m</t>
  </si>
  <si>
    <t>16.4 km</t>
  </si>
  <si>
    <t>6:58 /km</t>
  </si>
  <si>
    <t>298 m</t>
  </si>
  <si>
    <t>23.9 km</t>
  </si>
  <si>
    <t>7.0 km</t>
  </si>
  <si>
    <t>6:04 /km</t>
  </si>
  <si>
    <t>315 m</t>
  </si>
  <si>
    <t>23.5 km</t>
  </si>
  <si>
    <t>7:15 /km</t>
  </si>
  <si>
    <t>336 m</t>
  </si>
  <si>
    <t>21.4 km</t>
  </si>
  <si>
    <t>11.8 km</t>
  </si>
  <si>
    <t>8:43 /km</t>
  </si>
  <si>
    <t>20 m</t>
  </si>
  <si>
    <t>21.2 km</t>
  </si>
  <si>
    <t>6.0 km</t>
  </si>
  <si>
    <t>6:50 /km</t>
  </si>
  <si>
    <t>240 m</t>
  </si>
  <si>
    <t>21.1 km</t>
  </si>
  <si>
    <t>10.8 km</t>
  </si>
  <si>
    <t>5:28 /km</t>
  </si>
  <si>
    <t>102 m</t>
  </si>
  <si>
    <t>20.8 km</t>
  </si>
  <si>
    <t>10:44 /km</t>
  </si>
  <si>
    <t>947 m</t>
  </si>
  <si>
    <t>19.6 km</t>
  </si>
  <si>
    <t>6:45 /km</t>
  </si>
  <si>
    <t>130 m</t>
  </si>
  <si>
    <t>19.0 km</t>
  </si>
  <si>
    <t>10:40 /km</t>
  </si>
  <si>
    <t>1,052 m</t>
  </si>
  <si>
    <t>18.9 km</t>
  </si>
  <si>
    <t>10.0 km</t>
  </si>
  <si>
    <t>6:29 /km</t>
  </si>
  <si>
    <t>305 m</t>
  </si>
  <si>
    <t>18.3 km</t>
  </si>
  <si>
    <t>6:49 /km</t>
  </si>
  <si>
    <t>382 m</t>
  </si>
  <si>
    <t>18.2 km</t>
  </si>
  <si>
    <t>166 m</t>
  </si>
  <si>
    <t>18.0 km</t>
  </si>
  <si>
    <t>7:22 /km</t>
  </si>
  <si>
    <t>199 m</t>
  </si>
  <si>
    <t>6:16 /km</t>
  </si>
  <si>
    <t>103 m</t>
  </si>
  <si>
    <t>5:09 /km</t>
  </si>
  <si>
    <t>204 m</t>
  </si>
  <si>
    <t>17.1 km</t>
  </si>
  <si>
    <t>9.0 km</t>
  </si>
  <si>
    <t>5:33 /km</t>
  </si>
  <si>
    <t>110 m</t>
  </si>
  <si>
    <t>5:31 /km</t>
  </si>
  <si>
    <t>159 m</t>
  </si>
  <si>
    <t>14.9 km</t>
  </si>
  <si>
    <t>7.1 km</t>
  </si>
  <si>
    <t>10:57 /km</t>
  </si>
  <si>
    <t>78 m</t>
  </si>
  <si>
    <t>13.5 km</t>
  </si>
  <si>
    <t>5:54 /km</t>
  </si>
  <si>
    <t>13.3 km</t>
  </si>
  <si>
    <t>6:09 /km</t>
  </si>
  <si>
    <t>28 m</t>
  </si>
  <si>
    <t>Orlando Ferreira Orlando Ferreira</t>
  </si>
  <si>
    <t>12.0 km</t>
  </si>
  <si>
    <t>127 m</t>
  </si>
  <si>
    <t>139 m</t>
  </si>
  <si>
    <t>Joaquim José Monteiro Joaquim José Monteiro</t>
  </si>
  <si>
    <t>6:39 /km</t>
  </si>
  <si>
    <t>24 m</t>
  </si>
  <si>
    <t>9.3 km</t>
  </si>
  <si>
    <t>3.3 km</t>
  </si>
  <si>
    <t>16:11 /km</t>
  </si>
  <si>
    <t>193 m</t>
  </si>
  <si>
    <t>8.9 km</t>
  </si>
  <si>
    <t>4:34 /km</t>
  </si>
  <si>
    <t>117 m</t>
  </si>
  <si>
    <t>8.5 km</t>
  </si>
  <si>
    <t>5.5 km</t>
  </si>
  <si>
    <t>53 m</t>
  </si>
  <si>
    <t>7.6 km</t>
  </si>
  <si>
    <t>10:04 /km</t>
  </si>
  <si>
    <t>146 m</t>
  </si>
  <si>
    <t>7.4 km</t>
  </si>
  <si>
    <t>7:44 /km</t>
  </si>
  <si>
    <t>12 m</t>
  </si>
  <si>
    <t>10:19 /km</t>
  </si>
  <si>
    <t>156 m</t>
  </si>
  <si>
    <t>5:55 /km</t>
  </si>
  <si>
    <t>40 m</t>
  </si>
  <si>
    <t>6.6 km</t>
  </si>
  <si>
    <t>6:28 /km</t>
  </si>
  <si>
    <t>112 m</t>
  </si>
  <si>
    <t>João Ralha João Ralha</t>
  </si>
  <si>
    <t>5.6 km</t>
  </si>
  <si>
    <t>3.0 km</t>
  </si>
  <si>
    <t>10:20 /km</t>
  </si>
  <si>
    <t>118 m</t>
  </si>
  <si>
    <t>5.1 km</t>
  </si>
  <si>
    <t>8:28 /km</t>
  </si>
  <si>
    <t>65 m</t>
  </si>
  <si>
    <t>4.0 km</t>
  </si>
  <si>
    <t>6:43 /km</t>
  </si>
  <si>
    <t>4 m</t>
  </si>
  <si>
    <t>6:53 /km</t>
  </si>
  <si>
    <t>47 m</t>
  </si>
  <si>
    <t>3.8 km</t>
  </si>
  <si>
    <t>1.5 km</t>
  </si>
  <si>
    <t>9:37 /km</t>
  </si>
  <si>
    <t>0.7 km</t>
  </si>
  <si>
    <t>w7</t>
  </si>
  <si>
    <t>Orlando Ferreira</t>
  </si>
  <si>
    <t>João Ralha</t>
  </si>
  <si>
    <t>w8</t>
  </si>
  <si>
    <t>w9</t>
  </si>
  <si>
    <t>Vitor Pires</t>
  </si>
  <si>
    <t>João Antunes 🇵🇹</t>
  </si>
  <si>
    <t xml:space="preserve">Fernando Rosete </t>
  </si>
  <si>
    <t>Francisco Sanches-Osorio</t>
  </si>
  <si>
    <t>António  Rego 🍷☀️🇵🇹</t>
  </si>
  <si>
    <t>Pedro  Ribeiro</t>
  </si>
  <si>
    <t>claudia pargana</t>
  </si>
  <si>
    <t>Cesar Moreira</t>
  </si>
  <si>
    <t>rita felizol</t>
  </si>
  <si>
    <t>Sandra S</t>
  </si>
  <si>
    <t>Luis Madeira</t>
  </si>
  <si>
    <t>Fernando Carvalhão 🌈</t>
  </si>
  <si>
    <t>Jose Magalhaes</t>
  </si>
  <si>
    <t>Claudio Monteiro</t>
  </si>
  <si>
    <t>Gelson Baía 🇸🇹</t>
  </si>
  <si>
    <t>7.4 </t>
  </si>
  <si>
    <t>Name STRAVA 2</t>
  </si>
  <si>
    <t>Helena Alcobia Helena Alcobia</t>
  </si>
  <si>
    <t>w10</t>
  </si>
  <si>
    <t>Helena Alcobia</t>
  </si>
  <si>
    <t>w11</t>
  </si>
  <si>
    <t>w12</t>
  </si>
  <si>
    <t>Débora Almeida Débora Almeida</t>
  </si>
  <si>
    <t>Débora Almeida</t>
  </si>
  <si>
    <t>w13</t>
  </si>
  <si>
    <t>w14</t>
  </si>
  <si>
    <t>Ana Teresa Lagos Ana Teresa Lagos</t>
  </si>
  <si>
    <t>Cândida Figueiredo Cândida Figueiredo</t>
  </si>
  <si>
    <t>Ana Teresa Lagos</t>
  </si>
  <si>
    <t>Cândida Figueiredo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</si>
</sst>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%"/>
    <numFmt numFmtId="166" formatCode="[hh]:mm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0">
    <xf numFmtId="0" fontId="0" fillId="0" borderId="0" xfId="0"/>
    <xf numFmtId="0" fontId="2" fillId="0" borderId="0" xfId="0" applyFont="1"/>
    <xf numFmtId="20" fontId="0" fillId="0" borderId="0" xfId="0" applyNumberFormat="1"/>
    <xf numFmtId="3" fontId="0" fillId="0" borderId="0" xfId="0" applyNumberFormat="1"/>
    <xf numFmtId="4" fontId="0" fillId="0" borderId="0" xfId="0" applyNumberFormat="1"/>
    <xf numFmtId="0" fontId="0" fillId="2" borderId="0" xfId="0" applyFill="1"/>
    <xf numFmtId="165" fontId="0" fillId="2" borderId="0" xfId="1" applyNumberFormat="1" applyFont="1" applyFill="1"/>
    <xf numFmtId="0" fontId="2" fillId="2" borderId="0" xfId="0" applyFont="1" applyFill="1"/>
    <xf numFmtId="164" fontId="0" fillId="2" borderId="0" xfId="0" applyNumberFormat="1" applyFill="1"/>
    <xf numFmtId="3" fontId="0" fillId="2" borderId="0" xfId="0" applyNumberFormat="1" applyFill="1"/>
    <xf numFmtId="0" fontId="0" fillId="3" borderId="0" xfId="0" applyFill="1"/>
    <xf numFmtId="0" fontId="2" fillId="3" borderId="0" xfId="0" applyFont="1" applyFill="1"/>
    <xf numFmtId="3" fontId="0" fillId="3" borderId="0" xfId="0" applyNumberFormat="1" applyFill="1"/>
    <xf numFmtId="164" fontId="0" fillId="3" borderId="0" xfId="0" applyNumberFormat="1" applyFill="1"/>
    <xf numFmtId="20" fontId="0" fillId="3" borderId="0" xfId="0" applyNumberFormat="1" applyFill="1"/>
    <xf numFmtId="166" fontId="0" fillId="2" borderId="0" xfId="0" applyNumberFormat="1" applyFill="1"/>
    <xf numFmtId="0" fontId="0" fillId="4" borderId="0" xfId="0" applyFill="1"/>
    <xf numFmtId="20" fontId="0" fillId="4" borderId="0" xfId="0" applyNumberFormat="1" applyFill="1"/>
    <xf numFmtId="164" fontId="0" fillId="0" borderId="0" xfId="0" applyNumberFormat="1"/>
    <xf numFmtId="164" fontId="0" fillId="4" borderId="0" xfId="0" applyNumberFormat="1" applyFill="1"/>
    <xf numFmtId="3" fontId="0" fillId="4" borderId="0" xfId="0" applyNumberFormat="1" applyFill="1"/>
    <xf numFmtId="0" fontId="0" fillId="5" borderId="0" xfId="0" applyFill="1"/>
    <xf numFmtId="0" fontId="2" fillId="5" borderId="0" xfId="0" applyFont="1" applyFill="1"/>
    <xf numFmtId="3" fontId="0" fillId="5" borderId="0" xfId="0" applyNumberFormat="1" applyFill="1"/>
    <xf numFmtId="164" fontId="0" fillId="5" borderId="0" xfId="0" applyNumberFormat="1" applyFill="1"/>
    <xf numFmtId="4" fontId="0" fillId="5" borderId="0" xfId="0" applyNumberFormat="1" applyFill="1"/>
    <xf numFmtId="164" fontId="2" fillId="2" borderId="0" xfId="0" applyNumberFormat="1" applyFont="1" applyFill="1"/>
    <xf numFmtId="0" fontId="0" fillId="6" borderId="0" xfId="0" applyFill="1"/>
    <xf numFmtId="0" fontId="2" fillId="6" borderId="0" xfId="0" applyFont="1" applyFill="1"/>
    <xf numFmtId="164" fontId="0" fillId="6" borderId="0" xfId="0" applyNumberFormat="1" applyFill="1"/>
    <xf numFmtId="3" fontId="0" fillId="6" borderId="0" xfId="0" applyNumberFormat="1" applyFill="1"/>
    <xf numFmtId="20" fontId="0" fillId="6" borderId="0" xfId="0" applyNumberFormat="1" applyFill="1"/>
    <xf numFmtId="0" fontId="0" fillId="7" borderId="0" xfId="0" applyFill="1"/>
    <xf numFmtId="0" fontId="2" fillId="7" borderId="0" xfId="0" applyFont="1" applyFill="1"/>
    <xf numFmtId="164" fontId="0" fillId="7" borderId="0" xfId="0" applyNumberFormat="1" applyFill="1"/>
    <xf numFmtId="3" fontId="0" fillId="7" borderId="0" xfId="0" applyNumberFormat="1" applyFill="1"/>
    <xf numFmtId="20" fontId="0" fillId="7" borderId="0" xfId="0" applyNumberFormat="1" applyFill="1"/>
    <xf numFmtId="0" fontId="0" fillId="8" borderId="0" xfId="0" applyFill="1"/>
    <xf numFmtId="0" fontId="2" fillId="8" borderId="0" xfId="0" applyFont="1" applyFill="1"/>
    <xf numFmtId="164" fontId="0" fillId="8" borderId="0" xfId="0" applyNumberFormat="1" applyFill="1"/>
    <xf numFmtId="3" fontId="0" fillId="8" borderId="0" xfId="0" applyNumberFormat="1" applyFill="1"/>
    <xf numFmtId="20" fontId="0" fillId="8" borderId="0" xfId="0" applyNumberFormat="1" applyFill="1"/>
    <xf numFmtId="0" fontId="0" fillId="9" borderId="0" xfId="0" applyFill="1"/>
    <xf numFmtId="0" fontId="2" fillId="9" borderId="0" xfId="0" applyFont="1" applyFill="1"/>
    <xf numFmtId="164" fontId="0" fillId="9" borderId="0" xfId="0" applyNumberFormat="1" applyFill="1"/>
    <xf numFmtId="3" fontId="0" fillId="9" borderId="0" xfId="0" applyNumberFormat="1" applyFill="1"/>
    <xf numFmtId="20" fontId="0" fillId="9" borderId="0" xfId="0" applyNumberFormat="1" applyFill="1"/>
    <xf numFmtId="166" fontId="0" fillId="3" borderId="0" xfId="0" applyNumberFormat="1" applyFill="1"/>
    <xf numFmtId="0" fontId="0" fillId="10" borderId="0" xfId="0" applyFill="1"/>
    <xf numFmtId="0" fontId="2" fillId="10" borderId="0" xfId="0" applyFont="1" applyFill="1"/>
    <xf numFmtId="3" fontId="0" fillId="10" borderId="0" xfId="0" applyNumberFormat="1" applyFill="1"/>
    <xf numFmtId="164" fontId="0" fillId="10" borderId="0" xfId="0" applyNumberFormat="1" applyFill="1"/>
    <xf numFmtId="20" fontId="0" fillId="10" borderId="0" xfId="0" applyNumberFormat="1" applyFill="1"/>
    <xf numFmtId="166" fontId="0" fillId="10" borderId="0" xfId="0" applyNumberFormat="1" applyFill="1"/>
    <xf numFmtId="0" fontId="0" fillId="11" borderId="0" xfId="0" applyFill="1"/>
    <xf numFmtId="0" fontId="2" fillId="11" borderId="0" xfId="0" applyFont="1" applyFill="1"/>
    <xf numFmtId="164" fontId="0" fillId="11" borderId="0" xfId="0" applyNumberFormat="1" applyFill="1"/>
    <xf numFmtId="3" fontId="0" fillId="11" borderId="0" xfId="0" applyNumberFormat="1" applyFill="1"/>
    <xf numFmtId="20" fontId="0" fillId="11" borderId="0" xfId="0" applyNumberFormat="1" applyFill="1"/>
    <xf numFmtId="0" fontId="0" fillId="12" borderId="0" xfId="0" applyFill="1"/>
    <xf numFmtId="0" fontId="2" fillId="12" borderId="0" xfId="0" applyFont="1" applyFill="1"/>
    <xf numFmtId="3" fontId="0" fillId="12" borderId="0" xfId="0" applyNumberFormat="1" applyFill="1"/>
    <xf numFmtId="164" fontId="0" fillId="12" borderId="0" xfId="0" applyNumberFormat="1" applyFill="1"/>
    <xf numFmtId="20" fontId="0" fillId="12" borderId="0" xfId="0" applyNumberFormat="1" applyFill="1"/>
    <xf numFmtId="0" fontId="0" fillId="13" borderId="0" xfId="0" applyFill="1"/>
    <xf numFmtId="0" fontId="2" fillId="13" borderId="0" xfId="0" applyFont="1" applyFill="1"/>
    <xf numFmtId="164" fontId="0" fillId="13" borderId="0" xfId="0" applyNumberFormat="1" applyFill="1"/>
    <xf numFmtId="3" fontId="0" fillId="13" borderId="0" xfId="0" applyNumberFormat="1" applyFill="1"/>
    <xf numFmtId="20" fontId="0" fillId="13" borderId="0" xfId="0" applyNumberFormat="1" applyFill="1"/>
    <xf numFmtId="166" fontId="0" fillId="8" borderId="0" xfId="0" applyNumberFormat="1" applyFill="1"/>
    <xf numFmtId="166" fontId="0" fillId="7" borderId="0" xfId="0" applyNumberFormat="1" applyFill="1"/>
    <xf numFmtId="0" fontId="0" fillId="14" borderId="0" xfId="0" applyFill="1"/>
    <xf numFmtId="164" fontId="0" fillId="14" borderId="0" xfId="0" applyNumberFormat="1" applyFill="1"/>
    <xf numFmtId="0" fontId="2" fillId="14" borderId="0" xfId="0" applyFont="1" applyFill="1"/>
    <xf numFmtId="3" fontId="0" fillId="14" borderId="0" xfId="0" applyNumberFormat="1" applyFill="1"/>
    <xf numFmtId="20" fontId="0" fillId="14" borderId="0" xfId="0" applyNumberFormat="1" applyFill="1"/>
    <xf numFmtId="166" fontId="0" fillId="14" borderId="0" xfId="0" applyNumberFormat="1" applyFill="1"/>
    <xf numFmtId="0" fontId="0" fillId="15" borderId="0" xfId="0" applyFill="1"/>
    <xf numFmtId="164" fontId="0" fillId="15" borderId="0" xfId="0" applyNumberFormat="1" applyFill="1"/>
    <xf numFmtId="0" fontId="2" fillId="15" borderId="0" xfId="0" applyFont="1" applyFill="1"/>
    <xf numFmtId="3" fontId="0" fillId="15" borderId="0" xfId="0" applyNumberFormat="1" applyFill="1"/>
    <xf numFmtId="20" fontId="0" fillId="15" borderId="0" xfId="0" applyNumberFormat="1" applyFill="1"/>
    <xf numFmtId="0" fontId="0" fillId="16" borderId="0" xfId="0" applyFill="1"/>
    <xf numFmtId="164" fontId="0" fillId="16" borderId="0" xfId="0" applyNumberFormat="1" applyFill="1"/>
    <xf numFmtId="14" fontId="3" fillId="16" borderId="0" xfId="0" applyNumberFormat="1" applyFont="1" applyFill="1"/>
    <xf numFmtId="0" fontId="2" fillId="16" borderId="0" xfId="0" applyFont="1" applyFill="1"/>
    <xf numFmtId="3" fontId="0" fillId="16" borderId="0" xfId="0" applyNumberFormat="1" applyFill="1"/>
    <xf numFmtId="20" fontId="0" fillId="16" borderId="0" xfId="0" applyNumberFormat="1" applyFill="1"/>
    <xf numFmtId="0" fontId="0" fillId="17" borderId="0" xfId="0" applyFill="1"/>
    <xf numFmtId="164" fontId="0" fillId="17" borderId="0" xfId="0" applyNumberFormat="1" applyFill="1"/>
    <xf numFmtId="14" fontId="3" fillId="17" borderId="0" xfId="0" applyNumberFormat="1" applyFont="1" applyFill="1"/>
    <xf numFmtId="0" fontId="2" fillId="17" borderId="0" xfId="0" applyFont="1" applyFill="1"/>
    <xf numFmtId="3" fontId="0" fillId="17" borderId="0" xfId="0" applyNumberFormat="1" applyFill="1"/>
    <xf numFmtId="20" fontId="0" fillId="17" borderId="0" xfId="0" applyNumberFormat="1" applyFill="1"/>
    <xf numFmtId="0" fontId="0" fillId="18" borderId="0" xfId="0" applyFill="1"/>
    <xf numFmtId="164" fontId="0" fillId="18" borderId="0" xfId="0" applyNumberFormat="1" applyFill="1"/>
    <xf numFmtId="14" fontId="3" fillId="18" borderId="0" xfId="0" applyNumberFormat="1" applyFont="1" applyFill="1"/>
    <xf numFmtId="0" fontId="2" fillId="18" borderId="0" xfId="0" applyFont="1" applyFill="1"/>
    <xf numFmtId="3" fontId="0" fillId="18" borderId="0" xfId="0" applyNumberFormat="1" applyFill="1"/>
    <xf numFmtId="20" fontId="0" fillId="18" borderId="0" xfId="0" applyNumberForma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33B44-DCA5-49FB-8B1E-AE9D999795C1}">
  <dimension ref="A1:DA10000"/>
  <sheetViews>
    <sheetView showGridLines="0" tabSelected="1" topLeftCell="CB1" zoomScale="85" zoomScaleNormal="85" workbookViewId="0">
      <pane ySplit="2" topLeftCell="A3" activePane="bottomLeft" state="frozen"/>
      <selection pane="bottomLeft" activeCell="CF3" sqref="CF3"/>
    </sheetView>
  </sheetViews>
  <sheetFormatPr defaultRowHeight="14.4" x14ac:dyDescent="0.3"/>
  <cols>
    <col min="2" max="3" width="23.33203125" customWidth="1"/>
    <col min="4" max="4" width="8.88671875" customWidth="1"/>
    <col min="5" max="10" width="8.88671875" style="27"/>
    <col min="11" max="16" width="8.88671875" style="32"/>
    <col min="17" max="22" width="8.88671875" style="37"/>
    <col min="23" max="28" width="8.88671875" style="42"/>
    <col min="29" max="34" width="8.88671875" style="10"/>
    <col min="35" max="40" width="8.88671875" style="48"/>
    <col min="41" max="46" width="8.88671875" style="54"/>
    <col min="47" max="52" width="8.88671875" style="59"/>
    <col min="53" max="58" width="8.88671875" style="64"/>
    <col min="59" max="64" width="8.88671875" style="71"/>
    <col min="65" max="70" width="8.88671875" style="77"/>
    <col min="71" max="76" width="8.88671875" style="82"/>
    <col min="77" max="82" width="8.88671875" style="88"/>
    <col min="83" max="88" width="8.88671875" style="94"/>
    <col min="89" max="89" width="8.88671875" style="5"/>
    <col min="90" max="90" width="16.5546875" style="7" customWidth="1"/>
    <col min="91" max="96" width="8.88671875" style="5"/>
    <col min="97" max="98" width="8.88671875" style="21"/>
    <col min="99" max="104" width="8.88671875" style="21" customWidth="1"/>
  </cols>
  <sheetData>
    <row r="1" spans="1:105" x14ac:dyDescent="0.3">
      <c r="E1" s="27" t="s">
        <v>165</v>
      </c>
      <c r="F1" s="29">
        <f>SUBTOTAL(9,E3:E10000)</f>
        <v>2111.4999999999995</v>
      </c>
      <c r="K1" s="32" t="s">
        <v>192</v>
      </c>
      <c r="L1" s="34">
        <f>SUBTOTAL(9,K3:K10000)</f>
        <v>2108.6000000000004</v>
      </c>
      <c r="Q1" s="37" t="s">
        <v>199</v>
      </c>
      <c r="R1" s="39">
        <f>SUBTOTAL(9,Q3:Q10000)</f>
        <v>2494.9000000000005</v>
      </c>
      <c r="W1" s="42" t="s">
        <v>211</v>
      </c>
      <c r="X1" s="44">
        <f>SUBTOTAL(9,W3:W10000)</f>
        <v>2015.6</v>
      </c>
      <c r="AC1" s="10" t="s">
        <v>215</v>
      </c>
      <c r="AD1" s="13">
        <f>SUBTOTAL(9,AC3:AC10000)</f>
        <v>2310.8999999999996</v>
      </c>
      <c r="AI1" s="48" t="s">
        <v>218</v>
      </c>
      <c r="AJ1" s="51">
        <f>SUBTOTAL(9,AI3:AI10000)</f>
        <v>1556.3</v>
      </c>
      <c r="AO1" s="54" t="s">
        <v>447</v>
      </c>
      <c r="AP1" s="56">
        <f>SUBTOTAL(9,AO3:AO10000)</f>
        <v>1963.7</v>
      </c>
      <c r="AU1" s="59" t="s">
        <v>450</v>
      </c>
      <c r="AV1" s="62">
        <f>SUBTOTAL(9,AU3:AU10000)</f>
        <v>2437.5999999999995</v>
      </c>
      <c r="BA1" s="64" t="s">
        <v>451</v>
      </c>
      <c r="BB1" s="66">
        <f>SUBTOTAL(9,BA3:BA10000)</f>
        <v>2447</v>
      </c>
      <c r="BG1" s="71" t="s">
        <v>470</v>
      </c>
      <c r="BH1" s="72">
        <f>SUBTOTAL(9,BG3:BG10000)</f>
        <v>2175.1</v>
      </c>
      <c r="BM1" s="77" t="s">
        <v>472</v>
      </c>
      <c r="BN1" s="78">
        <f>SUBTOTAL(9,BM3:BM10000)</f>
        <v>2078.0000000000005</v>
      </c>
      <c r="BS1" s="82" t="s">
        <v>473</v>
      </c>
      <c r="BT1" s="83">
        <f>SUBTOTAL(9,BS3:BS10000)</f>
        <v>1868.3999999999992</v>
      </c>
      <c r="BU1" s="84">
        <v>46097</v>
      </c>
      <c r="BV1" s="84">
        <v>46103</v>
      </c>
      <c r="BX1" s="83"/>
      <c r="BY1" s="88" t="s">
        <v>476</v>
      </c>
      <c r="BZ1" s="89">
        <f>SUBTOTAL(9,BY3:BY10000)</f>
        <v>2080.7999999999993</v>
      </c>
      <c r="CA1" s="90">
        <v>46104</v>
      </c>
      <c r="CB1" s="90">
        <v>46110</v>
      </c>
      <c r="CE1" s="94" t="s">
        <v>477</v>
      </c>
      <c r="CF1" s="95">
        <f>SUBTOTAL(9,CE3:CE10000)</f>
        <v>2164.3000000000006</v>
      </c>
      <c r="CG1" s="96">
        <v>46111</v>
      </c>
      <c r="CH1" s="96">
        <v>46117</v>
      </c>
      <c r="CM1" s="5" t="s">
        <v>167</v>
      </c>
      <c r="CN1" s="6">
        <v>0.95</v>
      </c>
      <c r="CO1" s="6"/>
      <c r="CP1" s="6">
        <v>2.5000000000000001E-2</v>
      </c>
      <c r="CQ1" s="6"/>
      <c r="CR1" s="6">
        <v>2.5000000000000001E-2</v>
      </c>
      <c r="CU1" s="22" t="s">
        <v>206</v>
      </c>
      <c r="CV1" s="22" t="s">
        <v>206</v>
      </c>
      <c r="CW1" s="22" t="s">
        <v>206</v>
      </c>
      <c r="CX1" s="22" t="s">
        <v>206</v>
      </c>
      <c r="CY1" s="22" t="s">
        <v>206</v>
      </c>
      <c r="CZ1" s="22" t="s">
        <v>206</v>
      </c>
    </row>
    <row r="2" spans="1:105" s="1" customFormat="1" x14ac:dyDescent="0.3">
      <c r="A2" s="1" t="s">
        <v>170</v>
      </c>
      <c r="B2" s="1" t="s">
        <v>169</v>
      </c>
      <c r="C2" s="1" t="s">
        <v>468</v>
      </c>
      <c r="D2" s="1" t="s">
        <v>208</v>
      </c>
      <c r="E2" s="28" t="s">
        <v>82</v>
      </c>
      <c r="F2" s="28" t="s">
        <v>168</v>
      </c>
      <c r="G2" s="28" t="s">
        <v>84</v>
      </c>
      <c r="H2" s="28" t="s">
        <v>168</v>
      </c>
      <c r="I2" s="28" t="s">
        <v>85</v>
      </c>
      <c r="J2" s="28" t="s">
        <v>168</v>
      </c>
      <c r="K2" s="33" t="s">
        <v>82</v>
      </c>
      <c r="L2" s="33" t="s">
        <v>168</v>
      </c>
      <c r="M2" s="33" t="s">
        <v>84</v>
      </c>
      <c r="N2" s="33" t="s">
        <v>168</v>
      </c>
      <c r="O2" s="33" t="s">
        <v>85</v>
      </c>
      <c r="P2" s="33" t="s">
        <v>168</v>
      </c>
      <c r="Q2" s="38" t="s">
        <v>82</v>
      </c>
      <c r="R2" s="38" t="s">
        <v>168</v>
      </c>
      <c r="S2" s="38" t="s">
        <v>84</v>
      </c>
      <c r="T2" s="38" t="s">
        <v>168</v>
      </c>
      <c r="U2" s="38" t="s">
        <v>85</v>
      </c>
      <c r="V2" s="38" t="s">
        <v>168</v>
      </c>
      <c r="W2" s="43" t="s">
        <v>82</v>
      </c>
      <c r="X2" s="43" t="s">
        <v>168</v>
      </c>
      <c r="Y2" s="43" t="s">
        <v>84</v>
      </c>
      <c r="Z2" s="43" t="s">
        <v>168</v>
      </c>
      <c r="AA2" s="43" t="s">
        <v>85</v>
      </c>
      <c r="AB2" s="43" t="s">
        <v>168</v>
      </c>
      <c r="AC2" s="11" t="s">
        <v>82</v>
      </c>
      <c r="AD2" s="11" t="s">
        <v>168</v>
      </c>
      <c r="AE2" s="11" t="s">
        <v>84</v>
      </c>
      <c r="AF2" s="11" t="s">
        <v>168</v>
      </c>
      <c r="AG2" s="11" t="s">
        <v>85</v>
      </c>
      <c r="AH2" s="11" t="s">
        <v>168</v>
      </c>
      <c r="AI2" s="49" t="s">
        <v>82</v>
      </c>
      <c r="AJ2" s="49" t="s">
        <v>168</v>
      </c>
      <c r="AK2" s="49" t="s">
        <v>84</v>
      </c>
      <c r="AL2" s="49" t="s">
        <v>168</v>
      </c>
      <c r="AM2" s="49" t="s">
        <v>85</v>
      </c>
      <c r="AN2" s="49" t="s">
        <v>168</v>
      </c>
      <c r="AO2" s="55" t="s">
        <v>82</v>
      </c>
      <c r="AP2" s="55" t="s">
        <v>168</v>
      </c>
      <c r="AQ2" s="55" t="s">
        <v>84</v>
      </c>
      <c r="AR2" s="55" t="s">
        <v>168</v>
      </c>
      <c r="AS2" s="55" t="s">
        <v>85</v>
      </c>
      <c r="AT2" s="55" t="s">
        <v>168</v>
      </c>
      <c r="AU2" s="60" t="s">
        <v>82</v>
      </c>
      <c r="AV2" s="60" t="s">
        <v>168</v>
      </c>
      <c r="AW2" s="60" t="s">
        <v>84</v>
      </c>
      <c r="AX2" s="60" t="s">
        <v>168</v>
      </c>
      <c r="AY2" s="60" t="s">
        <v>85</v>
      </c>
      <c r="AZ2" s="60" t="s">
        <v>168</v>
      </c>
      <c r="BA2" s="65" t="s">
        <v>82</v>
      </c>
      <c r="BB2" s="65" t="s">
        <v>168</v>
      </c>
      <c r="BC2" s="65" t="s">
        <v>84</v>
      </c>
      <c r="BD2" s="65" t="s">
        <v>168</v>
      </c>
      <c r="BE2" s="65" t="s">
        <v>85</v>
      </c>
      <c r="BF2" s="65" t="s">
        <v>168</v>
      </c>
      <c r="BG2" s="73" t="s">
        <v>82</v>
      </c>
      <c r="BH2" s="73" t="s">
        <v>168</v>
      </c>
      <c r="BI2" s="73" t="s">
        <v>84</v>
      </c>
      <c r="BJ2" s="73" t="s">
        <v>168</v>
      </c>
      <c r="BK2" s="73" t="s">
        <v>85</v>
      </c>
      <c r="BL2" s="73" t="s">
        <v>168</v>
      </c>
      <c r="BM2" s="79" t="s">
        <v>82</v>
      </c>
      <c r="BN2" s="79" t="s">
        <v>168</v>
      </c>
      <c r="BO2" s="79" t="s">
        <v>84</v>
      </c>
      <c r="BP2" s="79" t="s">
        <v>168</v>
      </c>
      <c r="BQ2" s="79" t="s">
        <v>85</v>
      </c>
      <c r="BR2" s="79" t="s">
        <v>168</v>
      </c>
      <c r="BS2" s="85" t="s">
        <v>82</v>
      </c>
      <c r="BT2" s="85" t="s">
        <v>168</v>
      </c>
      <c r="BU2" s="85" t="s">
        <v>84</v>
      </c>
      <c r="BV2" s="85" t="s">
        <v>168</v>
      </c>
      <c r="BW2" s="85" t="s">
        <v>85</v>
      </c>
      <c r="BX2" s="85" t="s">
        <v>168</v>
      </c>
      <c r="BY2" s="91" t="s">
        <v>82</v>
      </c>
      <c r="BZ2" s="91" t="s">
        <v>168</v>
      </c>
      <c r="CA2" s="91" t="s">
        <v>84</v>
      </c>
      <c r="CB2" s="91" t="s">
        <v>168</v>
      </c>
      <c r="CC2" s="91" t="s">
        <v>85</v>
      </c>
      <c r="CD2" s="91" t="s">
        <v>168</v>
      </c>
      <c r="CE2" s="97" t="s">
        <v>82</v>
      </c>
      <c r="CF2" s="97" t="s">
        <v>168</v>
      </c>
      <c r="CG2" s="97" t="s">
        <v>84</v>
      </c>
      <c r="CH2" s="97" t="s">
        <v>168</v>
      </c>
      <c r="CI2" s="97" t="s">
        <v>85</v>
      </c>
      <c r="CJ2" s="97" t="s">
        <v>168</v>
      </c>
      <c r="CK2" s="7" t="s">
        <v>168</v>
      </c>
      <c r="CL2" s="7" t="s">
        <v>166</v>
      </c>
      <c r="CM2" s="7" t="s">
        <v>82</v>
      </c>
      <c r="CN2" s="7" t="s">
        <v>168</v>
      </c>
      <c r="CO2" s="7" t="s">
        <v>84</v>
      </c>
      <c r="CP2" s="7" t="s">
        <v>168</v>
      </c>
      <c r="CQ2" s="7" t="s">
        <v>85</v>
      </c>
      <c r="CR2" s="7" t="s">
        <v>168</v>
      </c>
      <c r="CS2" s="22" t="s">
        <v>207</v>
      </c>
      <c r="CT2" s="22" t="s">
        <v>209</v>
      </c>
      <c r="CU2" s="22" t="s">
        <v>82</v>
      </c>
      <c r="CV2" s="22" t="s">
        <v>168</v>
      </c>
      <c r="CW2" s="22" t="s">
        <v>84</v>
      </c>
      <c r="CX2" s="22" t="s">
        <v>168</v>
      </c>
      <c r="CY2" s="22" t="s">
        <v>85</v>
      </c>
      <c r="CZ2" s="22" t="s">
        <v>168</v>
      </c>
    </row>
    <row r="3" spans="1:105" x14ac:dyDescent="0.3">
      <c r="B3" t="s">
        <v>4</v>
      </c>
      <c r="C3" s="18" t="s">
        <v>86</v>
      </c>
      <c r="D3" s="4">
        <f>CN3*$CN$1+CP3*$CP$1+CR3*$CR$1</f>
        <v>1.45</v>
      </c>
      <c r="E3" s="29">
        <f>IFERROR(_xlfn.XLOOKUP(B3,'w1'!$B:$B,'w1'!$C:$C),0)</f>
        <v>113.3</v>
      </c>
      <c r="F3" s="30">
        <f>_xlfn.RANK.EQ(E3,E$3:E$10000,0)</f>
        <v>1</v>
      </c>
      <c r="G3" s="31">
        <f>IFERROR(_xlfn.XLOOKUP(B3,'w1'!$B:$B,'w1'!$F:$F),1)</f>
        <v>0.2298611111111111</v>
      </c>
      <c r="H3" s="30">
        <f>_xlfn.RANK.EQ(G3,G$3:G$10000,1)</f>
        <v>10</v>
      </c>
      <c r="I3" s="30">
        <f>IFERROR(IF(_xlfn.XLOOKUP(B3,'w1'!$B:$B,'w1'!$G:$G)="--",0,_xlfn.XLOOKUP(B3,'w1'!$B:$B,'w1'!$G:$G)),0)</f>
        <v>1338</v>
      </c>
      <c r="J3" s="30">
        <f>_xlfn.RANK.EQ(I3,I$3:I$10000,0)</f>
        <v>4</v>
      </c>
      <c r="K3" s="34">
        <f>IFERROR(_xlfn.XLOOKUP(B3,'w2'!$B:$B,'w2'!$C:$C),0)</f>
        <v>107.7</v>
      </c>
      <c r="L3" s="35">
        <f>_xlfn.RANK.EQ(K3,K$3:K$10000,0)</f>
        <v>1</v>
      </c>
      <c r="M3" s="36">
        <f>IFERROR(_xlfn.XLOOKUP(B3,'w2'!$B:$B,'w2'!$F:$F),1)</f>
        <v>0.2902777777777778</v>
      </c>
      <c r="N3" s="35">
        <f>_xlfn.RANK.EQ(M3,M$3:M$10000,1)</f>
        <v>44</v>
      </c>
      <c r="O3" s="35">
        <f>IFERROR(IF(_xlfn.XLOOKUP(B3,'w2'!$B:$B,'w2'!$G:$G)="--",0,_xlfn.XLOOKUP(B3,'w2'!$B:$B,'w2'!$G:$G)),0)</f>
        <v>3385</v>
      </c>
      <c r="P3" s="35">
        <f>_xlfn.RANK.EQ(O3,O$3:O$10000,0)</f>
        <v>1</v>
      </c>
      <c r="Q3" s="39">
        <f>IFERROR(_xlfn.XLOOKUP(B3,'w3'!$B:$B,'w3'!$C:$C),0)</f>
        <v>69.8</v>
      </c>
      <c r="R3" s="40">
        <f>_xlfn.RANK.EQ(Q3,Q$3:Q$10000,0)</f>
        <v>5</v>
      </c>
      <c r="S3" s="41">
        <f>IFERROR(_xlfn.XLOOKUP(B3,'w3'!$B:$B,'w3'!$F:$F),1)</f>
        <v>0.2986111111111111</v>
      </c>
      <c r="T3" s="40">
        <f>_xlfn.RANK.EQ(S3,S$3:S$10000,1)</f>
        <v>50</v>
      </c>
      <c r="U3" s="40">
        <f>IFERROR(IF(_xlfn.XLOOKUP(B3,'w3'!$B:$B,'w3'!$G:$G)="--",0,_xlfn.XLOOKUP(B3,'w3'!$B:$B,'w3'!$G:$G)),0)</f>
        <v>2336</v>
      </c>
      <c r="V3" s="40">
        <f>_xlfn.RANK.EQ(U3,U$3:U$10000,0)</f>
        <v>4</v>
      </c>
      <c r="W3" s="44">
        <f>IFERROR(_xlfn.XLOOKUP(B3,'w4'!$B:$B,'w4'!$C:$C),0)</f>
        <v>125</v>
      </c>
      <c r="X3" s="45">
        <f>_xlfn.RANK.EQ(W3,W$3:W$10000,0)</f>
        <v>1</v>
      </c>
      <c r="Y3" s="46">
        <f>IFERROR(_xlfn.XLOOKUP(B3,'w4'!$B:$B,'w4'!$F:$F),1)</f>
        <v>0.23680555555555555</v>
      </c>
      <c r="Z3" s="45">
        <f>_xlfn.RANK.EQ(Y3,Y$3:Y$10000,1)</f>
        <v>10</v>
      </c>
      <c r="AA3" s="45">
        <f>IFERROR(IF(_xlfn.XLOOKUP(B3,'w4'!$B:$B,'w4'!$G:$G)="--",0,_xlfn.XLOOKUP(B3,'w4'!$B:$B,'w4'!$G:$G)),0)</f>
        <v>1174</v>
      </c>
      <c r="AB3" s="45">
        <f>_xlfn.RANK.EQ(AA3,AA$3:AA$10000,0)</f>
        <v>10</v>
      </c>
      <c r="AC3" s="13">
        <f>IFERROR(_xlfn.XLOOKUP(B3,'w5'!$B:$B,'w5'!$C:$C),0)</f>
        <v>106</v>
      </c>
      <c r="AD3" s="12">
        <f>_xlfn.RANK.EQ(AC3,AC$3:AC$10000,0)</f>
        <v>1</v>
      </c>
      <c r="AE3" s="14">
        <f>IFERROR(_xlfn.XLOOKUP(B3,'w5'!$B:$B,'w5'!$F:$F),1)</f>
        <v>0.26319444444444445</v>
      </c>
      <c r="AF3" s="12">
        <f>_xlfn.RANK.EQ(AE3,AE$3:AE$10000,1)</f>
        <v>27</v>
      </c>
      <c r="AG3" s="12">
        <f>IFERROR(IF(_xlfn.XLOOKUP(B3,'w5'!$B:$B,'w5'!$G:$G)="--",0,_xlfn.XLOOKUP(B3,'w5'!$B:$B,'w5'!$G:$G)),0)</f>
        <v>2159</v>
      </c>
      <c r="AH3" s="12">
        <f>_xlfn.RANK.EQ(AG3,AG$3:AG$10000,0)</f>
        <v>2</v>
      </c>
      <c r="AI3" s="51">
        <f>IFERROR(_xlfn.XLOOKUP(B3,'w6'!$B:$B,'w6'!$C:$C),0)</f>
        <v>120.8</v>
      </c>
      <c r="AJ3" s="50">
        <f>_xlfn.RANK.EQ(AI3,AI$3:AI$10000,0)</f>
        <v>1</v>
      </c>
      <c r="AK3" s="52">
        <f>IFERROR(_xlfn.XLOOKUP(B3,'w6'!$B:$B,'w6'!$F:$F),1)</f>
        <v>0.22569444444444445</v>
      </c>
      <c r="AL3" s="50">
        <f>_xlfn.RANK.EQ(AK3,AK$3:AK$10000,1)</f>
        <v>4</v>
      </c>
      <c r="AM3" s="50">
        <f>IFERROR(IF(_xlfn.XLOOKUP(B3,'w6'!$B:$B,'w6'!$G:$G)="--",0,_xlfn.XLOOKUP(B3,'w6'!$B:$B,'w6'!$G:$G)),0)</f>
        <v>950</v>
      </c>
      <c r="AN3" s="50">
        <f>_xlfn.RANK.EQ(AM3,AM$3:AM$10000,0)</f>
        <v>6</v>
      </c>
      <c r="AO3" s="56">
        <f>IFERROR(_xlfn.XLOOKUP(B3,'w7'!$B:$B,'w7'!$C:$C),0)</f>
        <v>127.3</v>
      </c>
      <c r="AP3" s="57">
        <f>_xlfn.RANK.EQ(AO3,AO$3:AO$10000,0)</f>
        <v>1</v>
      </c>
      <c r="AQ3" s="58">
        <f>IFERROR(_xlfn.XLOOKUP(B3,'w7'!$B:$B,'w7'!$F:$F),1)</f>
        <v>0.25</v>
      </c>
      <c r="AR3" s="57">
        <f>_xlfn.RANK.EQ(AQ3,AQ$3:AQ$10000,1)</f>
        <v>19</v>
      </c>
      <c r="AS3" s="57">
        <f>IFERROR(IF(_xlfn.XLOOKUP(B3,'w7'!$B:$B,'w7'!$G:$G)="--",0,_xlfn.XLOOKUP(B3,'w7'!$B:$B,'w7'!$G:$G)),0)</f>
        <v>2374</v>
      </c>
      <c r="AT3" s="57">
        <f>_xlfn.RANK.EQ(AS3,AS$3:AS$10000,0)</f>
        <v>1</v>
      </c>
      <c r="AU3" s="62">
        <f>IFERROR(_xlfn.XLOOKUP(B3,'w8'!$B:$B,'w8'!$C:$C),0)</f>
        <v>136.5</v>
      </c>
      <c r="AV3" s="61">
        <f>_xlfn.RANK.EQ(AU3,AU$3:AU$10000,0)</f>
        <v>1</v>
      </c>
      <c r="AW3" s="63">
        <f>IFERROR(_xlfn.XLOOKUP(B3,'w8'!$B:$B,'w8'!$F:$F),1)</f>
        <v>0.24513888888888888</v>
      </c>
      <c r="AX3" s="61">
        <f>_xlfn.RANK.EQ(AW3,AW$3:AW$10000,1)</f>
        <v>12</v>
      </c>
      <c r="AY3" s="61">
        <f>IFERROR(IF(_xlfn.XLOOKUP(B3,'w8'!$B:$B,'w8'!$G:$G)="--",0,_xlfn.XLOOKUP(B3,'w8'!$B:$B,'w8'!$G:$G)),0)</f>
        <v>2097</v>
      </c>
      <c r="AZ3" s="61">
        <f>_xlfn.RANK.EQ(AY3,AY$3:AY$10000,0)</f>
        <v>4</v>
      </c>
      <c r="BA3" s="66">
        <f>IFERROR(_xlfn.XLOOKUP(C3,'w9'!$B:$B,'w9'!$C:$C),0)</f>
        <v>33.1</v>
      </c>
      <c r="BB3" s="67">
        <f>_xlfn.RANK.EQ(BA3,BA$3:BA$10000,0)</f>
        <v>33</v>
      </c>
      <c r="BC3" s="68">
        <f>IFERROR(_xlfn.XLOOKUP(C3,'w9'!$B:$B,'w9'!$F:$F),1)</f>
        <v>0.22638888888888889</v>
      </c>
      <c r="BD3" s="67">
        <f>_xlfn.RANK.EQ(BC3,BC$3:BC$10000,1)</f>
        <v>5</v>
      </c>
      <c r="BE3" s="67">
        <f>IFERROR(IF(_xlfn.XLOOKUP(C3,'w9'!$B:$B,'w9'!$G:$G)="--",0,_xlfn.XLOOKUP(C3,'w9'!$B:$B,'w9'!$G:$G)),0)</f>
        <v>494</v>
      </c>
      <c r="BF3" s="67">
        <f>_xlfn.RANK.EQ(BE3,BE$3:BE$10000,0)</f>
        <v>27</v>
      </c>
      <c r="BG3" s="72">
        <f>IFERROR(_xlfn.XLOOKUP(B3,'w10'!$B:$B,'w10'!$C:$C),0)</f>
        <v>108</v>
      </c>
      <c r="BH3" s="74">
        <f>_xlfn.RANK.EQ(BG3,BG$3:BG$10000,0)</f>
        <v>1</v>
      </c>
      <c r="BI3" s="75">
        <f>IFERROR(_xlfn.XLOOKUP(B3,'w10'!$B:$B,'w10'!$F:$F),1)</f>
        <v>0.24583333333333332</v>
      </c>
      <c r="BJ3" s="74">
        <f>_xlfn.RANK.EQ(BI3,BI$3:BI$10000,1)</f>
        <v>19</v>
      </c>
      <c r="BK3" s="74">
        <f>IFERROR(IF(_xlfn.XLOOKUP(B3,'w10'!$B:$B,'w10'!$G:$G)="--",0,_xlfn.XLOOKUP(B3,'w10'!$B:$B,'w10'!$G:$G)),0)</f>
        <v>1838</v>
      </c>
      <c r="BL3" s="74">
        <f>_xlfn.RANK.EQ(BK3,BK$3:BK$10000,0)</f>
        <v>5</v>
      </c>
      <c r="BM3" s="78">
        <f>IFERROR(_xlfn.XLOOKUP(B3,'w11'!$B:$B,'w11'!$C:$C),0)</f>
        <v>109.2</v>
      </c>
      <c r="BN3" s="80">
        <f>_xlfn.RANK.EQ(BM3,BM$3:BM$10000,0)</f>
        <v>1</v>
      </c>
      <c r="BO3" s="81">
        <f>IFERROR(_xlfn.XLOOKUP(B3,'w11'!$B:$B,'w11'!$F:$F),1)</f>
        <v>0.24513888888888888</v>
      </c>
      <c r="BP3" s="80">
        <f>_xlfn.RANK.EQ(BO3,BO$3:BO$10000,1)</f>
        <v>17</v>
      </c>
      <c r="BQ3" s="80">
        <f>IFERROR(IF(_xlfn.XLOOKUP(B3,'w11'!$B:$B,'w11'!$G:$G)="--",0,_xlfn.XLOOKUP(B3,'w11'!$B:$B,'w11'!$G:$G)),0)</f>
        <v>2611</v>
      </c>
      <c r="BR3" s="80">
        <f>_xlfn.RANK.EQ(BQ3,BQ$3:BQ$10000,0)</f>
        <v>1</v>
      </c>
      <c r="BS3" s="83">
        <f>IFERROR(_xlfn.XLOOKUP(B3,'w12'!$B:$B,'w12'!$C:$C),0)</f>
        <v>125.9</v>
      </c>
      <c r="BT3" s="86">
        <f>_xlfn.RANK.EQ(BS3,BS$3:BS$10000,0)</f>
        <v>1</v>
      </c>
      <c r="BU3" s="87">
        <f>IFERROR(_xlfn.XLOOKUP(B3,'w12'!$B:$B,'w12'!$F:$F),1)</f>
        <v>0.24305555555555555</v>
      </c>
      <c r="BV3" s="86">
        <f>_xlfn.RANK.EQ(BU3,BU$3:BU$10000,1)</f>
        <v>15</v>
      </c>
      <c r="BW3" s="86">
        <f>IFERROR(IF(_xlfn.XLOOKUP(B3,'w12'!$B:$B,'w12'!$G:$G)="--",0,_xlfn.XLOOKUP(B3,'w12'!$B:$B,'w12'!$G:$G)),0)</f>
        <v>1959</v>
      </c>
      <c r="BX3" s="86">
        <f>_xlfn.RANK.EQ(BW3,BW$3:BW$10000,0)</f>
        <v>3</v>
      </c>
      <c r="BY3" s="89">
        <f>IFERROR(_xlfn.XLOOKUP(B3,'w13'!$B:$B,'w13'!$C:$C),0)</f>
        <v>138.30000000000001</v>
      </c>
      <c r="BZ3" s="92">
        <f>_xlfn.RANK.EQ(BY3,BY$3:BY$10000,0)</f>
        <v>1</v>
      </c>
      <c r="CA3" s="93">
        <f>IFERROR(_xlfn.XLOOKUP(B3,'w13'!$B:$B,'w13'!$F:$F),1)</f>
        <v>0.25</v>
      </c>
      <c r="CB3" s="92">
        <f>_xlfn.RANK.EQ(CA3,CA$3:CA$10000,1)</f>
        <v>23</v>
      </c>
      <c r="CC3" s="92">
        <f>IFERROR(IF(_xlfn.XLOOKUP(B3,'w13'!$B:$B,'w13'!$G:$G)="--",0,_xlfn.XLOOKUP(B3,'w13'!$B:$B,'w13'!$G:$G)),0)</f>
        <v>2800</v>
      </c>
      <c r="CD3" s="92">
        <f>_xlfn.RANK.EQ(CC3,CC$3:CC$10000,0)</f>
        <v>1</v>
      </c>
      <c r="CE3" s="95">
        <f>IFERROR(_xlfn.XLOOKUP(B3,'w14'!$B:$B,'w14'!$C:$C),0)</f>
        <v>117.3</v>
      </c>
      <c r="CF3" s="98">
        <f>_xlfn.RANK.EQ(CE3,CE$3:CE$10000,0)</f>
        <v>1</v>
      </c>
      <c r="CG3" s="99">
        <f>IFERROR(_xlfn.XLOOKUP(B3,'w14'!$B:$B,'w14'!$F:$F),1)</f>
        <v>0.26527777777777778</v>
      </c>
      <c r="CH3" s="98">
        <f>_xlfn.RANK.EQ(CG3,CG$3:CG$10000,1)</f>
        <v>25</v>
      </c>
      <c r="CI3" s="98">
        <f>IFERROR(IF(_xlfn.XLOOKUP(B3,'w14'!$B:$B,'w14'!$G:$G)="--",0,_xlfn.XLOOKUP(B3,'w14'!$B:$B,'w14'!$G:$G)),0)</f>
        <v>2735</v>
      </c>
      <c r="CJ3" s="98">
        <f>_xlfn.RANK.EQ(CI3,CI$3:CI$10000,0)</f>
        <v>1</v>
      </c>
      <c r="CK3" s="9">
        <f>_xlfn.RANK.EQ(D3,D$3:D$10000,1)</f>
        <v>1</v>
      </c>
      <c r="CL3" s="26" t="s">
        <v>86</v>
      </c>
      <c r="CM3" s="8">
        <f>SUM(E3,K3,Q3,W3,AC3,AI3,AO3,AU3,BA3,BG3,BM3,BS3,BY3,CE3)</f>
        <v>1538.2</v>
      </c>
      <c r="CN3" s="9">
        <f>_xlfn.RANK.EQ(CM3,CM$3:CM$10000)</f>
        <v>1</v>
      </c>
      <c r="CO3" s="15">
        <f>IFERROR(SUM(PRODUCT(E3,G3),PRODUCT(K3,M3),PRODUCT(Q3,S3),PRODUCT(W3,Y3),PRODUCT(AC3,AE3),PRODUCT(AI3,AK3),PRODUCT(AO3,AQ3),PRODUCT(AU3,AW3),PRODUCT(BA3,BC3),PRODUCT(BG3,BI3),PRODUCT(BM3,BO3),PRODUCT(BS3,BU3),PRODUCT(BY3,CA3),PRODUCT(CE3,CG3))/CM3,1)</f>
        <v>0.25049038197604695</v>
      </c>
      <c r="CP3" s="9">
        <f>_xlfn.RANK.EQ(CO3,CO$3:CO$10000,1)</f>
        <v>19</v>
      </c>
      <c r="CQ3" s="9">
        <f>SUM(I3,O3,U3,AA3,AG3,AM3,AS3,AY3,BE3,BK3,BQ3,BW3,CC3,CI3)</f>
        <v>28250</v>
      </c>
      <c r="CR3" s="9">
        <f>_xlfn.RANK.EQ(CQ3,CQ$3:CQ$10000)</f>
        <v>1</v>
      </c>
      <c r="CS3" s="23">
        <f>_xlfn.RANK.EQ(CT3,CT$3:CT$10000,1)</f>
        <v>6</v>
      </c>
      <c r="CT3" s="25">
        <f>CV3*$CN$1+CX3*$CP$1+CZ3*$CR$1</f>
        <v>28.049999999999997</v>
      </c>
      <c r="CU3" s="24">
        <f>_xlfn.STDEV.S(F3,L3,R3,X3,AD3,AJ3,AP3,AV3,BB3,BH3,BN3,BT3,BZ3,CF3)</f>
        <v>8.5369268990147074</v>
      </c>
      <c r="CV3" s="21">
        <f>_xlfn.RANK.EQ(CU3,CU$3:CU$10000,1)</f>
        <v>28</v>
      </c>
      <c r="CW3" s="24">
        <f>_xlfn.STDEV.S(H3,N3,T3,Z3,AF3,AL3,AR3,AX3,BD3,BJ3,BP3,BV3,CB3,CH3)</f>
        <v>13.416407864998739</v>
      </c>
      <c r="CX3" s="21">
        <f>_xlfn.RANK.EQ(CW3,CW$3:CW$10000,1)</f>
        <v>46</v>
      </c>
      <c r="CY3" s="24">
        <f>_xlfn.STDEV.S(J3,P3,V3,AB3,AH3,AN3,AT3,AZ3,BF3,BL3,BR3,BX3,CD3,CJ3)</f>
        <v>6.827546017082903</v>
      </c>
      <c r="CZ3" s="21">
        <f>_xlfn.RANK.EQ(CY3,CY$3:CY$10000,1)</f>
        <v>12</v>
      </c>
      <c r="DA3">
        <f>SUM(COUNTIF(E3,"&gt;0"),COUNTIF(K3,"&gt;0"),COUNTIF(Q3,"&gt;0"),COUNTIF(W3,"&gt;0"),COUNTIF(AC3,"&gt;0"),COUNTIF(AI3,"&gt;0"),COUNTIF(AO3,"&gt;0"),COUNTIF(AU3,"&gt;0"),COUNTIF(BA3,"&gt;0"),COUNTIF(BG3,"&gt;0"),COUNTIF(BM3,"&gt;0"),COUNTIF(BS3,"&gt;0"),COUNTIF(BY3,"&gt;0"),COUNTIF(CE3,"&gt;0"))</f>
        <v>14</v>
      </c>
    </row>
    <row r="4" spans="1:105" x14ac:dyDescent="0.3">
      <c r="B4" t="s">
        <v>13</v>
      </c>
      <c r="C4" s="18" t="s">
        <v>94</v>
      </c>
      <c r="D4" s="4">
        <f>CN4*$CN$1+CP4*$CP$1+CR4*$CR$1</f>
        <v>2.3000000000000003</v>
      </c>
      <c r="E4" s="29">
        <f>IFERROR(_xlfn.XLOOKUP(B4,'w1'!$B:$B,'w1'!$C:$C),0)</f>
        <v>53.2</v>
      </c>
      <c r="F4" s="30">
        <f>_xlfn.RANK.EQ(E4,E$3:E$10000,0)</f>
        <v>10</v>
      </c>
      <c r="G4" s="31">
        <f>IFERROR(_xlfn.XLOOKUP(B4,'w1'!$B:$B,'w1'!$F:$F),1)</f>
        <v>0.21041666666666667</v>
      </c>
      <c r="H4" s="30">
        <f>_xlfn.RANK.EQ(G4,G$3:G$10000,1)</f>
        <v>4</v>
      </c>
      <c r="I4" s="30">
        <f>IFERROR(IF(_xlfn.XLOOKUP(B4,'w1'!$B:$B,'w1'!$G:$G)="--",0,_xlfn.XLOOKUP(B4,'w1'!$B:$B,'w1'!$G:$G)),0)</f>
        <v>208</v>
      </c>
      <c r="J4" s="30">
        <f>_xlfn.RANK.EQ(I4,I$3:I$10000,0)</f>
        <v>45</v>
      </c>
      <c r="K4" s="34">
        <f>IFERROR(_xlfn.XLOOKUP(B4,'w2'!$B:$B,'w2'!$C:$C),0)</f>
        <v>84.4</v>
      </c>
      <c r="L4" s="35">
        <f>_xlfn.RANK.EQ(K4,K$3:K$10000,0)</f>
        <v>3</v>
      </c>
      <c r="M4" s="36">
        <f>IFERROR(_xlfn.XLOOKUP(B4,'w2'!$B:$B,'w2'!$F:$F),1)</f>
        <v>0.20833333333333334</v>
      </c>
      <c r="N4" s="35">
        <f>_xlfn.RANK.EQ(M4,M$3:M$10000,1)</f>
        <v>2</v>
      </c>
      <c r="O4" s="35">
        <f>IFERROR(IF(_xlfn.XLOOKUP(B4,'w2'!$B:$B,'w2'!$G:$G)="--",0,_xlfn.XLOOKUP(B4,'w2'!$B:$B,'w2'!$G:$G)),0)</f>
        <v>329</v>
      </c>
      <c r="P4" s="35">
        <f>_xlfn.RANK.EQ(O4,O$3:O$10000,0)</f>
        <v>30</v>
      </c>
      <c r="Q4" s="39">
        <f>IFERROR(_xlfn.XLOOKUP(B4,'w3'!$B:$B,'w3'!$C:$C),0)</f>
        <v>82</v>
      </c>
      <c r="R4" s="40">
        <f>_xlfn.RANK.EQ(Q4,Q$3:Q$10000,0)</f>
        <v>3</v>
      </c>
      <c r="S4" s="41">
        <f>IFERROR(_xlfn.XLOOKUP(B4,'w3'!$B:$B,'w3'!$F:$F),1)</f>
        <v>0.2326388888888889</v>
      </c>
      <c r="T4" s="40">
        <f>_xlfn.RANK.EQ(S4,S$3:S$10000,1)</f>
        <v>6</v>
      </c>
      <c r="U4" s="40">
        <f>IFERROR(IF(_xlfn.XLOOKUP(B4,'w3'!$B:$B,'w3'!$G:$G)="--",0,_xlfn.XLOOKUP(B4,'w3'!$B:$B,'w3'!$G:$G)),0)</f>
        <v>891</v>
      </c>
      <c r="V4" s="40">
        <f>_xlfn.RANK.EQ(U4,U$3:U$10000,0)</f>
        <v>13</v>
      </c>
      <c r="W4" s="44">
        <f>IFERROR(_xlfn.XLOOKUP(B4,'w4'!$B:$B,'w4'!$C:$C),0)</f>
        <v>84.3</v>
      </c>
      <c r="X4" s="45">
        <f>_xlfn.RANK.EQ(W4,W$3:W$10000,0)</f>
        <v>2</v>
      </c>
      <c r="Y4" s="46">
        <f>IFERROR(_xlfn.XLOOKUP(B4,'w4'!$B:$B,'w4'!$F:$F),1)</f>
        <v>0.26041666666666669</v>
      </c>
      <c r="Z4" s="45">
        <f>_xlfn.RANK.EQ(Y4,Y$3:Y$10000,1)</f>
        <v>30</v>
      </c>
      <c r="AA4" s="45">
        <f>IFERROR(IF(_xlfn.XLOOKUP(B4,'w4'!$B:$B,'w4'!$G:$G)="--",0,_xlfn.XLOOKUP(B4,'w4'!$B:$B,'w4'!$G:$G)),0)</f>
        <v>2139</v>
      </c>
      <c r="AB4" s="45">
        <f>_xlfn.RANK.EQ(AA4,AA$3:AA$10000,0)</f>
        <v>2</v>
      </c>
      <c r="AC4" s="13">
        <f>IFERROR(_xlfn.XLOOKUP(B4,'w5'!$B:$B,'w5'!$C:$C),0)</f>
        <v>81.3</v>
      </c>
      <c r="AD4" s="12">
        <f>_xlfn.RANK.EQ(AC4,AC$3:AC$10000,0)</f>
        <v>2</v>
      </c>
      <c r="AE4" s="14">
        <f>IFERROR(_xlfn.XLOOKUP(B4,'w5'!$B:$B,'w5'!$F:$F),1)</f>
        <v>0.23819444444444443</v>
      </c>
      <c r="AF4" s="12">
        <f>_xlfn.RANK.EQ(AE4,AE$3:AE$10000,1)</f>
        <v>14</v>
      </c>
      <c r="AG4" s="12">
        <f>IFERROR(IF(_xlfn.XLOOKUP(B4,'w5'!$B:$B,'w5'!$G:$G)="--",0,_xlfn.XLOOKUP(B4,'w5'!$B:$B,'w5'!$G:$G)),0)</f>
        <v>1743</v>
      </c>
      <c r="AH4" s="12">
        <f>_xlfn.RANK.EQ(AG4,AG$3:AG$10000,0)</f>
        <v>6</v>
      </c>
      <c r="AI4" s="51">
        <f>IFERROR(_xlfn.XLOOKUP(B4,'w6'!$B:$B,'w6'!$C:$C),0)</f>
        <v>87.2</v>
      </c>
      <c r="AJ4" s="50">
        <f>_xlfn.RANK.EQ(AI4,AI$3:AI$10000,0)</f>
        <v>2</v>
      </c>
      <c r="AK4" s="52">
        <f>IFERROR(_xlfn.XLOOKUP(B4,'w6'!$B:$B,'w6'!$F:$F),1)</f>
        <v>0.23749999999999999</v>
      </c>
      <c r="AL4" s="50">
        <f>_xlfn.RANK.EQ(AK4,AK$3:AK$10000,1)</f>
        <v>7</v>
      </c>
      <c r="AM4" s="50">
        <f>IFERROR(IF(_xlfn.XLOOKUP(B4,'w6'!$B:$B,'w6'!$G:$G)="--",0,_xlfn.XLOOKUP(B4,'w6'!$B:$B,'w6'!$G:$G)),0)</f>
        <v>1737</v>
      </c>
      <c r="AN4" s="50">
        <f>_xlfn.RANK.EQ(AM4,AM$3:AM$10000,0)</f>
        <v>1</v>
      </c>
      <c r="AO4" s="56">
        <f>IFERROR(_xlfn.XLOOKUP(B4,'w7'!$B:$B,'w7'!$C:$C),0)</f>
        <v>61.4</v>
      </c>
      <c r="AP4" s="57">
        <f>_xlfn.RANK.EQ(AO4,AO$3:AO$10000,0)</f>
        <v>5</v>
      </c>
      <c r="AQ4" s="58">
        <f>IFERROR(_xlfn.XLOOKUP(B4,'w7'!$B:$B,'w7'!$F:$F),1)</f>
        <v>0.24166666666666667</v>
      </c>
      <c r="AR4" s="57">
        <f>_xlfn.RANK.EQ(AQ4,AQ$3:AQ$10000,1)</f>
        <v>13</v>
      </c>
      <c r="AS4" s="57">
        <f>IFERROR(IF(_xlfn.XLOOKUP(B4,'w7'!$B:$B,'w7'!$G:$G)="--",0,_xlfn.XLOOKUP(B4,'w7'!$B:$B,'w7'!$G:$G)),0)</f>
        <v>1208</v>
      </c>
      <c r="AT4" s="57">
        <f>_xlfn.RANK.EQ(AS4,AS$3:AS$10000,0)</f>
        <v>12</v>
      </c>
      <c r="AU4" s="62">
        <f>IFERROR(_xlfn.XLOOKUP(B4,'w8'!$B:$B,'w8'!$C:$C),0)</f>
        <v>76.3</v>
      </c>
      <c r="AV4" s="61">
        <f>_xlfn.RANK.EQ(AU4,AU$3:AU$10000,0)</f>
        <v>6</v>
      </c>
      <c r="AW4" s="63">
        <f>IFERROR(_xlfn.XLOOKUP(B4,'w8'!$B:$B,'w8'!$F:$F),1)</f>
        <v>0.23402777777777778</v>
      </c>
      <c r="AX4" s="61">
        <f>_xlfn.RANK.EQ(AW4,AW$3:AW$10000,1)</f>
        <v>8</v>
      </c>
      <c r="AY4" s="61">
        <f>IFERROR(IF(_xlfn.XLOOKUP(B4,'w8'!$B:$B,'w8'!$G:$G)="--",0,_xlfn.XLOOKUP(B4,'w8'!$B:$B,'w8'!$G:$G)),0)</f>
        <v>1503</v>
      </c>
      <c r="AZ4" s="61">
        <f>_xlfn.RANK.EQ(AY4,AY$3:AY$10000,0)</f>
        <v>6</v>
      </c>
      <c r="BA4" s="66">
        <f>IFERROR(_xlfn.XLOOKUP(C4,'w9'!$B:$B,'w9'!$C:$C),0)</f>
        <v>90.2</v>
      </c>
      <c r="BB4" s="67">
        <f>_xlfn.RANK.EQ(BA4,BA$3:BA$10000,0)</f>
        <v>1</v>
      </c>
      <c r="BC4" s="68">
        <f>IFERROR(_xlfn.XLOOKUP(C4,'w9'!$B:$B,'w9'!$F:$F),1)</f>
        <v>0.24583333333333332</v>
      </c>
      <c r="BD4" s="67">
        <f>_xlfn.RANK.EQ(BC4,BC$3:BC$10000,1)</f>
        <v>13</v>
      </c>
      <c r="BE4" s="67">
        <f>IFERROR(IF(_xlfn.XLOOKUP(C4,'w9'!$B:$B,'w9'!$G:$G)="--",0,_xlfn.XLOOKUP(C4,'w9'!$B:$B,'w9'!$G:$G)),0)</f>
        <v>2093</v>
      </c>
      <c r="BF4" s="67">
        <f>_xlfn.RANK.EQ(BE4,BE$3:BE$10000,0)</f>
        <v>2</v>
      </c>
      <c r="BG4" s="72">
        <f>IFERROR(_xlfn.XLOOKUP(B4,'w10'!$B:$B,'w10'!$C:$C),0)</f>
        <v>98.2</v>
      </c>
      <c r="BH4" s="74">
        <f>_xlfn.RANK.EQ(BG4,BG$3:BG$10000,0)</f>
        <v>2</v>
      </c>
      <c r="BI4" s="75">
        <f>IFERROR(_xlfn.XLOOKUP(B4,'w10'!$B:$B,'w10'!$F:$F),1)</f>
        <v>0.25069444444444444</v>
      </c>
      <c r="BJ4" s="74">
        <f>_xlfn.RANK.EQ(BI4,BI$3:BI$10000,1)</f>
        <v>21</v>
      </c>
      <c r="BK4" s="74">
        <f>IFERROR(IF(_xlfn.XLOOKUP(B4,'w10'!$B:$B,'w10'!$G:$G)="--",0,_xlfn.XLOOKUP(B4,'w10'!$B:$B,'w10'!$G:$G)),0)</f>
        <v>2515</v>
      </c>
      <c r="BL4" s="74">
        <f>_xlfn.RANK.EQ(BK4,BK$3:BK$10000,0)</f>
        <v>2</v>
      </c>
      <c r="BM4" s="78">
        <f>IFERROR(_xlfn.XLOOKUP(B4,'w11'!$B:$B,'w11'!$C:$C),0)</f>
        <v>79.3</v>
      </c>
      <c r="BN4" s="80">
        <f>_xlfn.RANK.EQ(BM4,BM$3:BM$10000,0)</f>
        <v>2</v>
      </c>
      <c r="BO4" s="81">
        <f>IFERROR(_xlfn.XLOOKUP(B4,'w11'!$B:$B,'w11'!$F:$F),1)</f>
        <v>0.22777777777777777</v>
      </c>
      <c r="BP4" s="80">
        <f>_xlfn.RANK.EQ(BO4,BO$3:BO$10000,1)</f>
        <v>10</v>
      </c>
      <c r="BQ4" s="80">
        <f>IFERROR(IF(_xlfn.XLOOKUP(B4,'w11'!$B:$B,'w11'!$G:$G)="--",0,_xlfn.XLOOKUP(B4,'w11'!$B:$B,'w11'!$G:$G)),0)</f>
        <v>1622</v>
      </c>
      <c r="BR4" s="80">
        <f>_xlfn.RANK.EQ(BQ4,BQ$3:BQ$10000,0)</f>
        <v>5</v>
      </c>
      <c r="BS4" s="83">
        <f>IFERROR(_xlfn.XLOOKUP(B4,'w12'!$B:$B,'w12'!$C:$C),0)</f>
        <v>97</v>
      </c>
      <c r="BT4" s="86">
        <f>_xlfn.RANK.EQ(BS4,BS$3:BS$10000,0)</f>
        <v>2</v>
      </c>
      <c r="BU4" s="87">
        <f>IFERROR(_xlfn.XLOOKUP(B4,'w12'!$B:$B,'w12'!$F:$F),1)</f>
        <v>0.27291666666666664</v>
      </c>
      <c r="BV4" s="86">
        <f>_xlfn.RANK.EQ(BU4,BU$3:BU$10000,1)</f>
        <v>37</v>
      </c>
      <c r="BW4" s="86">
        <f>IFERROR(IF(_xlfn.XLOOKUP(B4,'w12'!$B:$B,'w12'!$G:$G)="--",0,_xlfn.XLOOKUP(B4,'w12'!$B:$B,'w12'!$G:$G)),0)</f>
        <v>2734</v>
      </c>
      <c r="BX4" s="86">
        <f>_xlfn.RANK.EQ(BW4,BW$3:BW$10000,0)</f>
        <v>1</v>
      </c>
      <c r="BY4" s="89">
        <f>IFERROR(_xlfn.XLOOKUP(B4,'w13'!$B:$B,'w13'!$C:$C),0)</f>
        <v>80.3</v>
      </c>
      <c r="BZ4" s="92">
        <f>_xlfn.RANK.EQ(BY4,BY$3:BY$10000,0)</f>
        <v>3</v>
      </c>
      <c r="CA4" s="93">
        <f>IFERROR(_xlfn.XLOOKUP(B4,'w13'!$B:$B,'w13'!$F:$F),1)</f>
        <v>0.2638888888888889</v>
      </c>
      <c r="CB4" s="92">
        <f>_xlfn.RANK.EQ(CA4,CA$3:CA$10000,1)</f>
        <v>30</v>
      </c>
      <c r="CC4" s="92">
        <f>IFERROR(IF(_xlfn.XLOOKUP(B4,'w13'!$B:$B,'w13'!$G:$G)="--",0,_xlfn.XLOOKUP(B4,'w13'!$B:$B,'w13'!$G:$G)),0)</f>
        <v>2118</v>
      </c>
      <c r="CD4" s="92">
        <f>_xlfn.RANK.EQ(CC4,CC$3:CC$10000,0)</f>
        <v>3</v>
      </c>
      <c r="CE4" s="95">
        <f>IFERROR(_xlfn.XLOOKUP(B4,'w14'!$B:$B,'w14'!$C:$C),0)</f>
        <v>72.900000000000006</v>
      </c>
      <c r="CF4" s="98">
        <f>_xlfn.RANK.EQ(CE4,CE$3:CE$10000,0)</f>
        <v>3</v>
      </c>
      <c r="CG4" s="99">
        <f>IFERROR(_xlfn.XLOOKUP(B4,'w14'!$B:$B,'w14'!$F:$F),1)</f>
        <v>0.25486111111111109</v>
      </c>
      <c r="CH4" s="98">
        <f>_xlfn.RANK.EQ(CG4,CG$3:CG$10000,1)</f>
        <v>16</v>
      </c>
      <c r="CI4" s="98">
        <f>IFERROR(IF(_xlfn.XLOOKUP(B4,'w14'!$B:$B,'w14'!$G:$G)="--",0,_xlfn.XLOOKUP(B4,'w14'!$B:$B,'w14'!$G:$G)),0)</f>
        <v>2063</v>
      </c>
      <c r="CJ4" s="98">
        <f>_xlfn.RANK.EQ(CI4,CI$3:CI$10000,0)</f>
        <v>5</v>
      </c>
      <c r="CK4" s="9">
        <f>_xlfn.RANK.EQ(D4,D$3:D$10000,1)</f>
        <v>2</v>
      </c>
      <c r="CL4" s="26" t="s">
        <v>94</v>
      </c>
      <c r="CM4" s="8">
        <f>SUM(E4,K4,Q4,W4,AC4,AI4,AO4,AU4,BA4,BG4,BM4,BS4,BY4,CE4)</f>
        <v>1128.0000000000002</v>
      </c>
      <c r="CN4" s="9">
        <f>_xlfn.RANK.EQ(CM4,CM$3:CM$10000)</f>
        <v>2</v>
      </c>
      <c r="CO4" s="15">
        <f>IFERROR(SUM(PRODUCT(E4,G4),PRODUCT(K4,M4),PRODUCT(Q4,S4),PRODUCT(W4,Y4),PRODUCT(AC4,AE4),PRODUCT(AI4,AK4),PRODUCT(AO4,AQ4),PRODUCT(AU4,AW4),PRODUCT(BA4,BC4),PRODUCT(BG4,BI4),PRODUCT(BM4,BO4),PRODUCT(BS4,BU4),PRODUCT(BY4,CA4),PRODUCT(CE4,CG4))/CM4,1)</f>
        <v>0.24261931146572097</v>
      </c>
      <c r="CP4" s="9">
        <f>_xlfn.RANK.EQ(CO4,CO$3:CO$10000,1)</f>
        <v>12</v>
      </c>
      <c r="CQ4" s="9">
        <f>SUM(I4,O4,U4,AA4,AG4,AM4,AS4,AY4,BE4,BK4,BQ4,BW4,CC4,CI4)</f>
        <v>22903</v>
      </c>
      <c r="CR4" s="9">
        <f>_xlfn.RANK.EQ(CQ4,CQ$3:CQ$10000)</f>
        <v>4</v>
      </c>
      <c r="CS4" s="23">
        <f t="shared" ref="CS4:CS14" si="0">_xlfn.RANK.EQ(CT4,CT$3:CT$10000,1)</f>
        <v>1</v>
      </c>
      <c r="CT4" s="25">
        <f t="shared" ref="CT4:CT14" si="1">CV4*$CN$1+CX4*$CP$1+CZ4*$CR$1</f>
        <v>2.7750000000000004</v>
      </c>
      <c r="CU4" s="24">
        <f>_xlfn.STDEV.S(F4,L4,R4,X4,AD4,AJ4,AP4,AV4,BB4,BH4,BN4,BT4,BZ4,CF4)</f>
        <v>2.3346411823981539</v>
      </c>
      <c r="CV4" s="21">
        <f>_xlfn.RANK.EQ(CU4,CU$3:CU$10000,1)</f>
        <v>1</v>
      </c>
      <c r="CW4" s="24">
        <f>_xlfn.STDEV.S(H4,N4,T4,Z4,AF4,AL4,AR4,AX4,BD4,BJ4,BP4,BV4,CB4,CH4)</f>
        <v>10.702007616936507</v>
      </c>
      <c r="CX4" s="21">
        <f>_xlfn.RANK.EQ(CW4,CW$3:CW$10000,1)</f>
        <v>31</v>
      </c>
      <c r="CY4" s="24">
        <f>_xlfn.STDEV.S(J4,P4,V4,AB4,AH4,AN4,AT4,AZ4,BF4,BL4,BR4,BX4,CD4,CJ4)</f>
        <v>12.768651516055309</v>
      </c>
      <c r="CZ4" s="21">
        <f>_xlfn.RANK.EQ(CY4,CY$3:CY$10000,1)</f>
        <v>42</v>
      </c>
      <c r="DA4">
        <f>SUM(COUNTIF(E4,"&gt;0"),COUNTIF(K4,"&gt;0"),COUNTIF(Q4,"&gt;0"),COUNTIF(W4,"&gt;0"),COUNTIF(AC4,"&gt;0"),COUNTIF(AI4,"&gt;0"),COUNTIF(AO4,"&gt;0"),COUNTIF(AU4,"&gt;0"),COUNTIF(BA4,"&gt;0"),COUNTIF(BG4,"&gt;0"),COUNTIF(BM4,"&gt;0"),COUNTIF(BS4,"&gt;0"),COUNTIF(BY4,"&gt;0"),COUNTIF(CE4,"&gt;0"))</f>
        <v>14</v>
      </c>
    </row>
    <row r="5" spans="1:105" x14ac:dyDescent="0.3">
      <c r="B5" t="s">
        <v>9</v>
      </c>
      <c r="C5" s="18" t="s">
        <v>144</v>
      </c>
      <c r="D5" s="4">
        <f>CN5*$CN$1+CP5*$CP$1+CR5*$CR$1</f>
        <v>3.8749999999999996</v>
      </c>
      <c r="E5" s="29">
        <f>IFERROR(_xlfn.XLOOKUP(B5,'w1'!$B:$B,'w1'!$C:$C),0)</f>
        <v>59.2</v>
      </c>
      <c r="F5" s="30">
        <f>_xlfn.RANK.EQ(E5,E$3:E$10000,0)</f>
        <v>6</v>
      </c>
      <c r="G5" s="31">
        <f>IFERROR(_xlfn.XLOOKUP(B5,'w1'!$B:$B,'w1'!$F:$F),1)</f>
        <v>0.25416666666666665</v>
      </c>
      <c r="H5" s="30">
        <f>_xlfn.RANK.EQ(G5,G$3:G$10000,1)</f>
        <v>23</v>
      </c>
      <c r="I5" s="30">
        <f>IFERROR(IF(_xlfn.XLOOKUP(B5,'w1'!$B:$B,'w1'!$G:$G)="--",0,_xlfn.XLOOKUP(B5,'w1'!$B:$B,'w1'!$G:$G)),0)</f>
        <v>381</v>
      </c>
      <c r="J5" s="30">
        <f>_xlfn.RANK.EQ(I5,I$3:I$10000,0)</f>
        <v>24</v>
      </c>
      <c r="K5" s="34">
        <f>IFERROR(_xlfn.XLOOKUP(B5,'w2'!$B:$B,'w2'!$C:$C),0)</f>
        <v>77.5</v>
      </c>
      <c r="L5" s="35">
        <f>_xlfn.RANK.EQ(K5,K$3:K$10000,0)</f>
        <v>5</v>
      </c>
      <c r="M5" s="36">
        <f>IFERROR(_xlfn.XLOOKUP(B5,'w2'!$B:$B,'w2'!$F:$F),1)</f>
        <v>0.2590277777777778</v>
      </c>
      <c r="N5" s="35">
        <f>_xlfn.RANK.EQ(M5,M$3:M$10000,1)</f>
        <v>21</v>
      </c>
      <c r="O5" s="35">
        <f>IFERROR(IF(_xlfn.XLOOKUP(B5,'w2'!$B:$B,'w2'!$G:$G)="--",0,_xlfn.XLOOKUP(B5,'w2'!$B:$B,'w2'!$G:$G)),0)</f>
        <v>705</v>
      </c>
      <c r="P5" s="35">
        <f>_xlfn.RANK.EQ(O5,O$3:O$10000,0)</f>
        <v>11</v>
      </c>
      <c r="Q5" s="39">
        <f>IFERROR(_xlfn.XLOOKUP(B5,'w3'!$B:$B,'w3'!$C:$C),0)</f>
        <v>75</v>
      </c>
      <c r="R5" s="40">
        <f>_xlfn.RANK.EQ(Q5,Q$3:Q$10000,0)</f>
        <v>4</v>
      </c>
      <c r="S5" s="41">
        <f>IFERROR(_xlfn.XLOOKUP(B5,'w3'!$B:$B,'w3'!$F:$F),1)</f>
        <v>0.2638888888888889</v>
      </c>
      <c r="T5" s="40">
        <f>_xlfn.RANK.EQ(S5,S$3:S$10000,1)</f>
        <v>33</v>
      </c>
      <c r="U5" s="40">
        <f>IFERROR(IF(_xlfn.XLOOKUP(B5,'w3'!$B:$B,'w3'!$G:$G)="--",0,_xlfn.XLOOKUP(B5,'w3'!$B:$B,'w3'!$G:$G)),0)</f>
        <v>1216</v>
      </c>
      <c r="V5" s="40">
        <f>_xlfn.RANK.EQ(U5,U$3:U$10000,0)</f>
        <v>9</v>
      </c>
      <c r="W5" s="44">
        <f>IFERROR(_xlfn.XLOOKUP(B5,'w4'!$B:$B,'w4'!$C:$C),0)</f>
        <v>77</v>
      </c>
      <c r="X5" s="45">
        <f>_xlfn.RANK.EQ(W5,W$3:W$10000,0)</f>
        <v>3</v>
      </c>
      <c r="Y5" s="46">
        <f>IFERROR(_xlfn.XLOOKUP(B5,'w4'!$B:$B,'w4'!$F:$F),1)</f>
        <v>0.25486111111111109</v>
      </c>
      <c r="Z5" s="45">
        <f>_xlfn.RANK.EQ(Y5,Y$3:Y$10000,1)</f>
        <v>27</v>
      </c>
      <c r="AA5" s="45">
        <f>IFERROR(IF(_xlfn.XLOOKUP(B5,'w4'!$B:$B,'w4'!$G:$G)="--",0,_xlfn.XLOOKUP(B5,'w4'!$B:$B,'w4'!$G:$G)),0)</f>
        <v>654</v>
      </c>
      <c r="AB5" s="45">
        <f>_xlfn.RANK.EQ(AA5,AA$3:AA$10000,0)</f>
        <v>13</v>
      </c>
      <c r="AC5" s="13">
        <f>IFERROR(_xlfn.XLOOKUP(B5,'w5'!$B:$B,'w5'!$C:$C),0)</f>
        <v>44.8</v>
      </c>
      <c r="AD5" s="12">
        <f>_xlfn.RANK.EQ(AC5,AC$3:AC$10000,0)</f>
        <v>15</v>
      </c>
      <c r="AE5" s="14">
        <f>IFERROR(_xlfn.XLOOKUP(B5,'w5'!$B:$B,'w5'!$F:$F),1)</f>
        <v>0.2638888888888889</v>
      </c>
      <c r="AF5" s="12">
        <f>_xlfn.RANK.EQ(AE5,AE$3:AE$10000,1)</f>
        <v>28</v>
      </c>
      <c r="AG5" s="12">
        <f>IFERROR(IF(_xlfn.XLOOKUP(B5,'w5'!$B:$B,'w5'!$G:$G)="--",0,_xlfn.XLOOKUP(B5,'w5'!$B:$B,'w5'!$G:$G)),0)</f>
        <v>518</v>
      </c>
      <c r="AH5" s="12">
        <f>_xlfn.RANK.EQ(AG5,AG$3:AG$10000,0)</f>
        <v>27</v>
      </c>
      <c r="AI5" s="51">
        <f>IFERROR(_xlfn.XLOOKUP(B5,'w6'!$B:$B,'w6'!$C:$C),0)</f>
        <v>70.2</v>
      </c>
      <c r="AJ5" s="50">
        <f>_xlfn.RANK.EQ(AI5,AI$3:AI$10000,0)</f>
        <v>3</v>
      </c>
      <c r="AK5" s="52">
        <f>IFERROR(_xlfn.XLOOKUP(B5,'w6'!$B:$B,'w6'!$F:$F),1)</f>
        <v>0.25972222222222224</v>
      </c>
      <c r="AL5" s="50">
        <f>_xlfn.RANK.EQ(AK5,AK$3:AK$10000,1)</f>
        <v>21</v>
      </c>
      <c r="AM5" s="50">
        <f>IFERROR(IF(_xlfn.XLOOKUP(B5,'w6'!$B:$B,'w6'!$G:$G)="--",0,_xlfn.XLOOKUP(B5,'w6'!$B:$B,'w6'!$G:$G)),0)</f>
        <v>816</v>
      </c>
      <c r="AN5" s="50">
        <f>_xlfn.RANK.EQ(AM5,AM$3:AM$10000,0)</f>
        <v>9</v>
      </c>
      <c r="AO5" s="56">
        <f>IFERROR(_xlfn.XLOOKUP(B5,'w7'!$B:$B,'w7'!$C:$C),0)</f>
        <v>70.400000000000006</v>
      </c>
      <c r="AP5" s="57">
        <f>_xlfn.RANK.EQ(AO5,AO$3:AO$10000,0)</f>
        <v>2</v>
      </c>
      <c r="AQ5" s="58">
        <f>IFERROR(_xlfn.XLOOKUP(B5,'w7'!$B:$B,'w7'!$F:$F),1)</f>
        <v>0.22638888888888889</v>
      </c>
      <c r="AR5" s="57">
        <f>_xlfn.RANK.EQ(AQ5,AQ$3:AQ$10000,1)</f>
        <v>6</v>
      </c>
      <c r="AS5" s="57">
        <f>IFERROR(IF(_xlfn.XLOOKUP(B5,'w7'!$B:$B,'w7'!$G:$G)="--",0,_xlfn.XLOOKUP(B5,'w7'!$B:$B,'w7'!$G:$G)),0)</f>
        <v>126</v>
      </c>
      <c r="AT5" s="57">
        <f>_xlfn.RANK.EQ(AS5,AS$3:AS$10000,0)</f>
        <v>46</v>
      </c>
      <c r="AU5" s="62">
        <f>IFERROR(_xlfn.XLOOKUP(B5,'w8'!$B:$B,'w8'!$C:$C),0)</f>
        <v>17.2</v>
      </c>
      <c r="AV5" s="61">
        <f>_xlfn.RANK.EQ(AU5,AU$3:AU$10000,0)</f>
        <v>54</v>
      </c>
      <c r="AW5" s="63">
        <f>IFERROR(_xlfn.XLOOKUP(B5,'w8'!$B:$B,'w8'!$F:$F),1)</f>
        <v>0.25972222222222224</v>
      </c>
      <c r="AX5" s="61">
        <f>_xlfn.RANK.EQ(AW5,AW$3:AW$10000,1)</f>
        <v>24</v>
      </c>
      <c r="AY5" s="61">
        <f>IFERROR(IF(_xlfn.XLOOKUP(B5,'w8'!$B:$B,'w8'!$G:$G)="--",0,_xlfn.XLOOKUP(B5,'w8'!$B:$B,'w8'!$G:$G)),0)</f>
        <v>29</v>
      </c>
      <c r="AZ5" s="61">
        <f>_xlfn.RANK.EQ(AY5,AY$3:AY$10000,0)</f>
        <v>63</v>
      </c>
      <c r="BA5" s="66">
        <f>IFERROR(_xlfn.XLOOKUP(C5,'w9'!$B:$B,'w9'!$C:$C),0)</f>
        <v>42.5</v>
      </c>
      <c r="BB5" s="67">
        <f>_xlfn.RANK.EQ(BA5,BA$3:BA$10000,0)</f>
        <v>21</v>
      </c>
      <c r="BC5" s="68">
        <f>IFERROR(_xlfn.XLOOKUP(C5,'w9'!$B:$B,'w9'!$F:$F),1)</f>
        <v>0.27361111111111114</v>
      </c>
      <c r="BD5" s="67">
        <f>_xlfn.RANK.EQ(BC5,BC$3:BC$10000,1)</f>
        <v>25</v>
      </c>
      <c r="BE5" s="67">
        <f>IFERROR(IF(_xlfn.XLOOKUP(C5,'w9'!$B:$B,'w9'!$G:$G)="--",0,_xlfn.XLOOKUP(C5,'w9'!$B:$B,'w9'!$G:$G)),0)</f>
        <v>307</v>
      </c>
      <c r="BF5" s="67">
        <f>_xlfn.RANK.EQ(BE5,BE$3:BE$10000,0)</f>
        <v>43</v>
      </c>
      <c r="BG5" s="72">
        <f>IFERROR(_xlfn.XLOOKUP(B5,'w10'!$B:$B,'w10'!$C:$C),0)</f>
        <v>55.2</v>
      </c>
      <c r="BH5" s="74">
        <f>_xlfn.RANK.EQ(BG5,BG$3:BG$10000,0)</f>
        <v>8</v>
      </c>
      <c r="BI5" s="75">
        <f>IFERROR(_xlfn.XLOOKUP(B5,'w10'!$B:$B,'w10'!$F:$F),1)</f>
        <v>0.26250000000000001</v>
      </c>
      <c r="BJ5" s="74">
        <f>_xlfn.RANK.EQ(BI5,BI$3:BI$10000,1)</f>
        <v>31</v>
      </c>
      <c r="BK5" s="74">
        <f>IFERROR(IF(_xlfn.XLOOKUP(B5,'w10'!$B:$B,'w10'!$G:$G)="--",0,_xlfn.XLOOKUP(B5,'w10'!$B:$B,'w10'!$G:$G)),0)</f>
        <v>720</v>
      </c>
      <c r="BL5" s="74">
        <f>_xlfn.RANK.EQ(BK5,BK$3:BK$10000,0)</f>
        <v>16</v>
      </c>
      <c r="BM5" s="78">
        <f>IFERROR(_xlfn.XLOOKUP(B5,'w11'!$B:$B,'w11'!$C:$C),0)</f>
        <v>58.9</v>
      </c>
      <c r="BN5" s="80">
        <f>_xlfn.RANK.EQ(BM5,BM$3:BM$10000,0)</f>
        <v>6</v>
      </c>
      <c r="BO5" s="81">
        <f>IFERROR(_xlfn.XLOOKUP(B5,'w11'!$B:$B,'w11'!$F:$F),1)</f>
        <v>0.26527777777777778</v>
      </c>
      <c r="BP5" s="80">
        <f>_xlfn.RANK.EQ(BO5,BO$3:BO$10000,1)</f>
        <v>33</v>
      </c>
      <c r="BQ5" s="80">
        <f>IFERROR(IF(_xlfn.XLOOKUP(B5,'w11'!$B:$B,'w11'!$G:$G)="--",0,_xlfn.XLOOKUP(B5,'w11'!$B:$B,'w11'!$G:$G)),0)</f>
        <v>680</v>
      </c>
      <c r="BR5" s="80">
        <f>_xlfn.RANK.EQ(BQ5,BQ$3:BQ$10000,0)</f>
        <v>12</v>
      </c>
      <c r="BS5" s="83">
        <f>IFERROR(_xlfn.XLOOKUP(B5,'w12'!$B:$B,'w12'!$C:$C),0)</f>
        <v>85.6</v>
      </c>
      <c r="BT5" s="86">
        <f>_xlfn.RANK.EQ(BS5,BS$3:BS$10000,0)</f>
        <v>3</v>
      </c>
      <c r="BU5" s="87">
        <f>IFERROR(_xlfn.XLOOKUP(B5,'w12'!$B:$B,'w12'!$F:$F),1)</f>
        <v>0.25763888888888886</v>
      </c>
      <c r="BV5" s="86">
        <f>_xlfn.RANK.EQ(BU5,BU$3:BU$10000,1)</f>
        <v>23</v>
      </c>
      <c r="BW5" s="86">
        <f>IFERROR(IF(_xlfn.XLOOKUP(B5,'w12'!$B:$B,'w12'!$G:$G)="--",0,_xlfn.XLOOKUP(B5,'w12'!$B:$B,'w12'!$G:$G)),0)</f>
        <v>1059</v>
      </c>
      <c r="BX5" s="86">
        <f>_xlfn.RANK.EQ(BW5,BW$3:BW$10000,0)</f>
        <v>7</v>
      </c>
      <c r="BY5" s="89">
        <f>IFERROR(_xlfn.XLOOKUP(B5,'w13'!$B:$B,'w13'!$C:$C),0)</f>
        <v>64.5</v>
      </c>
      <c r="BZ5" s="92">
        <f>_xlfn.RANK.EQ(BY5,BY$3:BY$10000,0)</f>
        <v>7</v>
      </c>
      <c r="CA5" s="93">
        <f>IFERROR(_xlfn.XLOOKUP(B5,'w13'!$B:$B,'w13'!$F:$F),1)</f>
        <v>0.25416666666666665</v>
      </c>
      <c r="CB5" s="92">
        <f>_xlfn.RANK.EQ(CA5,CA$3:CA$10000,1)</f>
        <v>26</v>
      </c>
      <c r="CC5" s="92">
        <f>IFERROR(IF(_xlfn.XLOOKUP(B5,'w13'!$B:$B,'w13'!$G:$G)="--",0,_xlfn.XLOOKUP(B5,'w13'!$B:$B,'w13'!$G:$G)),0)</f>
        <v>777</v>
      </c>
      <c r="CD5" s="92">
        <f>_xlfn.RANK.EQ(CC5,CC$3:CC$10000,0)</f>
        <v>13</v>
      </c>
      <c r="CE5" s="95">
        <f>IFERROR(_xlfn.XLOOKUP(B5,'w14'!$B:$B,'w14'!$C:$C),0)</f>
        <v>65</v>
      </c>
      <c r="CF5" s="98">
        <f>_xlfn.RANK.EQ(CE5,CE$3:CE$10000,0)</f>
        <v>6</v>
      </c>
      <c r="CG5" s="99">
        <f>IFERROR(_xlfn.XLOOKUP(B5,'w14'!$B:$B,'w14'!$F:$F),1)</f>
        <v>0.25486111111111109</v>
      </c>
      <c r="CH5" s="98">
        <f>_xlfn.RANK.EQ(CG5,CG$3:CG$10000,1)</f>
        <v>16</v>
      </c>
      <c r="CI5" s="98">
        <f>IFERROR(IF(_xlfn.XLOOKUP(B5,'w14'!$B:$B,'w14'!$G:$G)="--",0,_xlfn.XLOOKUP(B5,'w14'!$B:$B,'w14'!$G:$G)),0)</f>
        <v>621</v>
      </c>
      <c r="CJ5" s="98">
        <f>_xlfn.RANK.EQ(CI5,CI$3:CI$10000,0)</f>
        <v>18</v>
      </c>
      <c r="CK5" s="9">
        <f>_xlfn.RANK.EQ(D5,D$3:D$10000,1)</f>
        <v>3</v>
      </c>
      <c r="CL5" s="26" t="s">
        <v>144</v>
      </c>
      <c r="CM5" s="8">
        <f>SUM(E5,K5,Q5,W5,AC5,AI5,AO5,AU5,BA5,BG5,BM5,BS5,BY5,CE5)</f>
        <v>863</v>
      </c>
      <c r="CN5" s="9">
        <f>_xlfn.RANK.EQ(CM5,CM$3:CM$10000)</f>
        <v>3</v>
      </c>
      <c r="CO5" s="15">
        <f>IFERROR(SUM(PRODUCT(E5,G5),PRODUCT(K5,M5),PRODUCT(Q5,S5),PRODUCT(W5,Y5),PRODUCT(AC5,AE5),PRODUCT(AI5,AK5),PRODUCT(AO5,AQ5),PRODUCT(AU5,AW5),PRODUCT(BA5,BC5),PRODUCT(BG5,BI5),PRODUCT(BM5,BO5),PRODUCT(BS5,BU5),PRODUCT(BY5,CA5),PRODUCT(CE5,CG5))/CM5,1)</f>
        <v>0.25695707802240247</v>
      </c>
      <c r="CP5" s="9">
        <f>_xlfn.RANK.EQ(CO5,CO$3:CO$10000,1)</f>
        <v>25</v>
      </c>
      <c r="CQ5" s="9">
        <f>SUM(I5,O5,U5,AA5,AG5,AM5,AS5,AY5,BE5,BK5,BQ5,BW5,CC5,CI5)</f>
        <v>8609</v>
      </c>
      <c r="CR5" s="9">
        <f>_xlfn.RANK.EQ(CQ5,CQ$3:CQ$10000)</f>
        <v>16</v>
      </c>
      <c r="CS5" s="23">
        <f t="shared" si="0"/>
        <v>18</v>
      </c>
      <c r="CT5" s="25">
        <f t="shared" si="1"/>
        <v>49.45</v>
      </c>
      <c r="CU5" s="24">
        <f>_xlfn.STDEV.S(F5,L5,R5,X5,AD5,AJ5,AP5,AV5,BB5,BH5,BN5,BT5,BZ5,CF5)</f>
        <v>13.627904469131717</v>
      </c>
      <c r="CV5" s="21">
        <f>_xlfn.RANK.EQ(CU5,CU$3:CU$10000,1)</f>
        <v>50</v>
      </c>
      <c r="CW5" s="24">
        <f>_xlfn.STDEV.S(H5,N5,T5,Z5,AF5,AL5,AR5,AX5,BD5,BJ5,BP5,BV5,CB5,CH5)</f>
        <v>7.0652376051752448</v>
      </c>
      <c r="CX5" s="21">
        <f>_xlfn.RANK.EQ(CW5,CW$3:CW$10000,1)</f>
        <v>13</v>
      </c>
      <c r="CY5" s="24">
        <f>_xlfn.STDEV.S(J5,P5,V5,AB5,AH5,AN5,AT5,AZ5,BF5,BL5,BR5,BX5,CD5,CJ5)</f>
        <v>16.92598626340607</v>
      </c>
      <c r="CZ5" s="21">
        <f>_xlfn.RANK.EQ(CY5,CY$3:CY$10000,1)</f>
        <v>65</v>
      </c>
      <c r="DA5">
        <f>SUM(COUNTIF(E5,"&gt;0"),COUNTIF(K5,"&gt;0"),COUNTIF(Q5,"&gt;0"),COUNTIF(W5,"&gt;0"),COUNTIF(AC5,"&gt;0"),COUNTIF(AI5,"&gt;0"),COUNTIF(AO5,"&gt;0"),COUNTIF(AU5,"&gt;0"),COUNTIF(BA5,"&gt;0"),COUNTIF(BG5,"&gt;0"),COUNTIF(BM5,"&gt;0"),COUNTIF(BS5,"&gt;0"),COUNTIF(BY5,"&gt;0"),COUNTIF(CE5,"&gt;0"))</f>
        <v>14</v>
      </c>
    </row>
    <row r="6" spans="1:105" x14ac:dyDescent="0.3">
      <c r="B6" t="s">
        <v>10</v>
      </c>
      <c r="C6" s="18" t="s">
        <v>91</v>
      </c>
      <c r="D6" s="4">
        <f>CN6*$CN$1+CP6*$CP$1+CR6*$CR$1</f>
        <v>4.8499999999999996</v>
      </c>
      <c r="E6" s="29">
        <f>IFERROR(_xlfn.XLOOKUP(B6,'w1'!$B:$B,'w1'!$C:$C),0)</f>
        <v>56.7</v>
      </c>
      <c r="F6" s="30">
        <f>_xlfn.RANK.EQ(E6,E$3:E$10000,0)</f>
        <v>7</v>
      </c>
      <c r="G6" s="31">
        <f>IFERROR(_xlfn.XLOOKUP(B6,'w1'!$B:$B,'w1'!$F:$F),1)</f>
        <v>0.22291666666666668</v>
      </c>
      <c r="H6" s="30">
        <f>_xlfn.RANK.EQ(G6,G$3:G$10000,1)</f>
        <v>7</v>
      </c>
      <c r="I6" s="30">
        <f>IFERROR(IF(_xlfn.XLOOKUP(B6,'w1'!$B:$B,'w1'!$G:$G)="--",0,_xlfn.XLOOKUP(B6,'w1'!$B:$B,'w1'!$G:$G)),0)</f>
        <v>328</v>
      </c>
      <c r="J6" s="30">
        <f>_xlfn.RANK.EQ(I6,I$3:I$10000,0)</f>
        <v>28</v>
      </c>
      <c r="K6" s="34">
        <f>IFERROR(_xlfn.XLOOKUP(B6,'w2'!$B:$B,'w2'!$C:$C),0)</f>
        <v>93.2</v>
      </c>
      <c r="L6" s="35">
        <f>_xlfn.RANK.EQ(K6,K$3:K$10000,0)</f>
        <v>2</v>
      </c>
      <c r="M6" s="36">
        <f>IFERROR(_xlfn.XLOOKUP(B6,'w2'!$B:$B,'w2'!$F:$F),1)</f>
        <v>0.23333333333333334</v>
      </c>
      <c r="N6" s="35">
        <f>_xlfn.RANK.EQ(M6,M$3:M$10000,1)</f>
        <v>6</v>
      </c>
      <c r="O6" s="35">
        <f>IFERROR(IF(_xlfn.XLOOKUP(B6,'w2'!$B:$B,'w2'!$G:$G)="--",0,_xlfn.XLOOKUP(B6,'w2'!$B:$B,'w2'!$G:$G)),0)</f>
        <v>190</v>
      </c>
      <c r="P6" s="35">
        <f>_xlfn.RANK.EQ(O6,O$3:O$10000,0)</f>
        <v>40</v>
      </c>
      <c r="Q6" s="39">
        <f>IFERROR(_xlfn.XLOOKUP(B6,'w3'!$B:$B,'w3'!$C:$C),0)</f>
        <v>44.5</v>
      </c>
      <c r="R6" s="40">
        <f>_xlfn.RANK.EQ(Q6,Q$3:Q$10000,0)</f>
        <v>16</v>
      </c>
      <c r="S6" s="41">
        <f>IFERROR(_xlfn.XLOOKUP(B6,'w3'!$B:$B,'w3'!$F:$F),1)</f>
        <v>0.22708333333333333</v>
      </c>
      <c r="T6" s="40">
        <f>_xlfn.RANK.EQ(S6,S$3:S$10000,1)</f>
        <v>4</v>
      </c>
      <c r="U6" s="40">
        <f>IFERROR(IF(_xlfn.XLOOKUP(B6,'w3'!$B:$B,'w3'!$G:$G)="--",0,_xlfn.XLOOKUP(B6,'w3'!$B:$B,'w3'!$G:$G)),0)</f>
        <v>165</v>
      </c>
      <c r="V6" s="40">
        <f>_xlfn.RANK.EQ(U6,U$3:U$10000,0)</f>
        <v>40</v>
      </c>
      <c r="W6" s="44">
        <f>IFERROR(_xlfn.XLOOKUP(B6,'w4'!$B:$B,'w4'!$C:$C),0)</f>
        <v>56.2</v>
      </c>
      <c r="X6" s="45">
        <f>_xlfn.RANK.EQ(W6,W$3:W$10000,0)</f>
        <v>8</v>
      </c>
      <c r="Y6" s="46">
        <f>IFERROR(_xlfn.XLOOKUP(B6,'w4'!$B:$B,'w4'!$F:$F),1)</f>
        <v>0.21111111111111111</v>
      </c>
      <c r="Z6" s="45">
        <f>_xlfn.RANK.EQ(Y6,Y$3:Y$10000,1)</f>
        <v>4</v>
      </c>
      <c r="AA6" s="45">
        <f>IFERROR(IF(_xlfn.XLOOKUP(B6,'w4'!$B:$B,'w4'!$G:$G)="--",0,_xlfn.XLOOKUP(B6,'w4'!$B:$B,'w4'!$G:$G)),0)</f>
        <v>304</v>
      </c>
      <c r="AB6" s="45">
        <f>_xlfn.RANK.EQ(AA6,AA$3:AA$10000,0)</f>
        <v>26</v>
      </c>
      <c r="AC6" s="13">
        <f>IFERROR(_xlfn.XLOOKUP(B6,'w5'!$B:$B,'w5'!$C:$C),0)</f>
        <v>52.4</v>
      </c>
      <c r="AD6" s="12">
        <f>_xlfn.RANK.EQ(AC6,AC$3:AC$10000,0)</f>
        <v>7</v>
      </c>
      <c r="AE6" s="14">
        <f>IFERROR(_xlfn.XLOOKUP(B6,'w5'!$B:$B,'w5'!$F:$F),1)</f>
        <v>0.21666666666666667</v>
      </c>
      <c r="AF6" s="12">
        <f>_xlfn.RANK.EQ(AE6,AE$3:AE$10000,1)</f>
        <v>4</v>
      </c>
      <c r="AG6" s="12">
        <f>IFERROR(IF(_xlfn.XLOOKUP(B6,'w5'!$B:$B,'w5'!$G:$G)="--",0,_xlfn.XLOOKUP(B6,'w5'!$B:$B,'w5'!$G:$G)),0)</f>
        <v>280</v>
      </c>
      <c r="AH6" s="12">
        <f>_xlfn.RANK.EQ(AG6,AG$3:AG$10000,0)</f>
        <v>34</v>
      </c>
      <c r="AI6" s="51">
        <f>IFERROR(_xlfn.XLOOKUP(B6,'w6'!$B:$B,'w6'!$C:$C),0)</f>
        <v>62.5</v>
      </c>
      <c r="AJ6" s="50">
        <f>_xlfn.RANK.EQ(AI6,AI$3:AI$10000,0)</f>
        <v>4</v>
      </c>
      <c r="AK6" s="52">
        <f>IFERROR(_xlfn.XLOOKUP(B6,'w6'!$B:$B,'w6'!$F:$F),1)</f>
        <v>0.21597222222222223</v>
      </c>
      <c r="AL6" s="50">
        <f>_xlfn.RANK.EQ(AK6,AK$3:AK$10000,1)</f>
        <v>3</v>
      </c>
      <c r="AM6" s="50">
        <f>IFERROR(IF(_xlfn.XLOOKUP(B6,'w6'!$B:$B,'w6'!$G:$G)="--",0,_xlfn.XLOOKUP(B6,'w6'!$B:$B,'w6'!$G:$G)),0)</f>
        <v>362</v>
      </c>
      <c r="AN6" s="50">
        <f>_xlfn.RANK.EQ(AM6,AM$3:AM$10000,0)</f>
        <v>19</v>
      </c>
      <c r="AO6" s="56">
        <f>IFERROR(_xlfn.XLOOKUP(B6,'w7'!$B:$B,'w7'!$C:$C),0)</f>
        <v>63</v>
      </c>
      <c r="AP6" s="57">
        <f>_xlfn.RANK.EQ(AO6,AO$3:AO$10000,0)</f>
        <v>4</v>
      </c>
      <c r="AQ6" s="58">
        <f>IFERROR(_xlfn.XLOOKUP(B6,'w7'!$B:$B,'w7'!$F:$F),1)</f>
        <v>0.22361111111111112</v>
      </c>
      <c r="AR6" s="57">
        <f>_xlfn.RANK.EQ(AQ6,AQ$3:AQ$10000,1)</f>
        <v>5</v>
      </c>
      <c r="AS6" s="57">
        <f>IFERROR(IF(_xlfn.XLOOKUP(B6,'w7'!$B:$B,'w7'!$G:$G)="--",0,_xlfn.XLOOKUP(B6,'w7'!$B:$B,'w7'!$G:$G)),0)</f>
        <v>145</v>
      </c>
      <c r="AT6" s="57">
        <f>_xlfn.RANK.EQ(AS6,AS$3:AS$10000,0)</f>
        <v>42</v>
      </c>
      <c r="AU6" s="62">
        <f>IFERROR(_xlfn.XLOOKUP(B6,'w8'!$B:$B,'w8'!$C:$C),0)</f>
        <v>52.7</v>
      </c>
      <c r="AV6" s="61">
        <f>_xlfn.RANK.EQ(AU6,AU$3:AU$10000,0)</f>
        <v>10</v>
      </c>
      <c r="AW6" s="63">
        <f>IFERROR(_xlfn.XLOOKUP(B6,'w8'!$B:$B,'w8'!$F:$F),1)</f>
        <v>0.22638888888888889</v>
      </c>
      <c r="AX6" s="61">
        <f>_xlfn.RANK.EQ(AW6,AW$3:AW$10000,1)</f>
        <v>6</v>
      </c>
      <c r="AY6" s="61">
        <f>IFERROR(IF(_xlfn.XLOOKUP(B6,'w8'!$B:$B,'w8'!$G:$G)="--",0,_xlfn.XLOOKUP(B6,'w8'!$B:$B,'w8'!$G:$G)),0)</f>
        <v>236</v>
      </c>
      <c r="AZ6" s="61">
        <f>_xlfn.RANK.EQ(AY6,AY$3:AY$10000,0)</f>
        <v>36</v>
      </c>
      <c r="BA6" s="66">
        <f>IFERROR(_xlfn.XLOOKUP(C6,'w9'!$B:$B,'w9'!$C:$C),0)</f>
        <v>57.4</v>
      </c>
      <c r="BB6" s="67">
        <f>_xlfn.RANK.EQ(BA6,BA$3:BA$10000,0)</f>
        <v>8</v>
      </c>
      <c r="BC6" s="68">
        <f>IFERROR(_xlfn.XLOOKUP(C6,'w9'!$B:$B,'w9'!$F:$F),1)</f>
        <v>0.22013888888888888</v>
      </c>
      <c r="BD6" s="67">
        <f>_xlfn.RANK.EQ(BC6,BC$3:BC$10000,1)</f>
        <v>4</v>
      </c>
      <c r="BE6" s="67">
        <f>IFERROR(IF(_xlfn.XLOOKUP(C6,'w9'!$B:$B,'w9'!$G:$G)="--",0,_xlfn.XLOOKUP(C6,'w9'!$B:$B,'w9'!$G:$G)),0)</f>
        <v>368</v>
      </c>
      <c r="BF6" s="67">
        <f>_xlfn.RANK.EQ(BE6,BE$3:BE$10000,0)</f>
        <v>39</v>
      </c>
      <c r="BG6" s="72">
        <f>IFERROR(_xlfn.XLOOKUP(B6,'w10'!$B:$B,'w10'!$C:$C),0)</f>
        <v>67.400000000000006</v>
      </c>
      <c r="BH6" s="74">
        <f>_xlfn.RANK.EQ(BG6,BG$3:BG$10000,0)</f>
        <v>4</v>
      </c>
      <c r="BI6" s="75">
        <f>IFERROR(_xlfn.XLOOKUP(B6,'w10'!$B:$B,'w10'!$F:$F),1)</f>
        <v>0.21736111111111112</v>
      </c>
      <c r="BJ6" s="74">
        <f>_xlfn.RANK.EQ(BI6,BI$3:BI$10000,1)</f>
        <v>4</v>
      </c>
      <c r="BK6" s="74">
        <f>IFERROR(IF(_xlfn.XLOOKUP(B6,'w10'!$B:$B,'w10'!$G:$G)="--",0,_xlfn.XLOOKUP(B6,'w10'!$B:$B,'w10'!$G:$G)),0)</f>
        <v>330</v>
      </c>
      <c r="BL6" s="74">
        <f>_xlfn.RANK.EQ(BK6,BK$3:BK$10000,0)</f>
        <v>22</v>
      </c>
      <c r="BM6" s="78">
        <f>IFERROR(_xlfn.XLOOKUP(B6,'w11'!$B:$B,'w11'!$C:$C),0)</f>
        <v>36.799999999999997</v>
      </c>
      <c r="BN6" s="80">
        <f>_xlfn.RANK.EQ(BM6,BM$3:BM$10000,0)</f>
        <v>20</v>
      </c>
      <c r="BO6" s="81">
        <f>IFERROR(_xlfn.XLOOKUP(B6,'w11'!$B:$B,'w11'!$F:$F),1)</f>
        <v>0.21666666666666667</v>
      </c>
      <c r="BP6" s="80">
        <f>_xlfn.RANK.EQ(BO6,BO$3:BO$10000,1)</f>
        <v>5</v>
      </c>
      <c r="BQ6" s="80">
        <f>IFERROR(IF(_xlfn.XLOOKUP(B6,'w11'!$B:$B,'w11'!$G:$G)="--",0,_xlfn.XLOOKUP(B6,'w11'!$B:$B,'w11'!$G:$G)),0)</f>
        <v>227</v>
      </c>
      <c r="BR6" s="80">
        <f>_xlfn.RANK.EQ(BQ6,BQ$3:BQ$10000,0)</f>
        <v>35</v>
      </c>
      <c r="BS6" s="83">
        <f>IFERROR(_xlfn.XLOOKUP(B6,'w12'!$B:$B,'w12'!$C:$C),0)</f>
        <v>70.3</v>
      </c>
      <c r="BT6" s="86">
        <f>_xlfn.RANK.EQ(BS6,BS$3:BS$10000,0)</f>
        <v>5</v>
      </c>
      <c r="BU6" s="87">
        <f>IFERROR(_xlfn.XLOOKUP(B6,'w12'!$B:$B,'w12'!$F:$F),1)</f>
        <v>0.25763888888888886</v>
      </c>
      <c r="BV6" s="86">
        <f>_xlfn.RANK.EQ(BU6,BU$3:BU$10000,1)</f>
        <v>23</v>
      </c>
      <c r="BW6" s="86">
        <f>IFERROR(IF(_xlfn.XLOOKUP(B6,'w12'!$B:$B,'w12'!$G:$G)="--",0,_xlfn.XLOOKUP(B6,'w12'!$B:$B,'w12'!$G:$G)),0)</f>
        <v>253</v>
      </c>
      <c r="BX6" s="86">
        <f>_xlfn.RANK.EQ(BW6,BW$3:BW$10000,0)</f>
        <v>27</v>
      </c>
      <c r="BY6" s="89">
        <f>IFERROR(_xlfn.XLOOKUP(B6,'w13'!$B:$B,'w13'!$C:$C),0)</f>
        <v>40.5</v>
      </c>
      <c r="BZ6" s="92">
        <f>_xlfn.RANK.EQ(BY6,BY$3:BY$10000,0)</f>
        <v>13</v>
      </c>
      <c r="CA6" s="93">
        <f>IFERROR(_xlfn.XLOOKUP(B6,'w13'!$B:$B,'w13'!$F:$F),1)</f>
        <v>0.22847222222222222</v>
      </c>
      <c r="CB6" s="92">
        <f>_xlfn.RANK.EQ(CA6,CA$3:CA$10000,1)</f>
        <v>10</v>
      </c>
      <c r="CC6" s="92">
        <f>IFERROR(IF(_xlfn.XLOOKUP(B6,'w13'!$B:$B,'w13'!$G:$G)="--",0,_xlfn.XLOOKUP(B6,'w13'!$B:$B,'w13'!$G:$G)),0)</f>
        <v>206</v>
      </c>
      <c r="CD6" s="92">
        <f>_xlfn.RANK.EQ(CC6,CC$3:CC$10000,0)</f>
        <v>36</v>
      </c>
      <c r="CE6" s="95">
        <f>IFERROR(_xlfn.XLOOKUP(B6,'w14'!$B:$B,'w14'!$C:$C),0)</f>
        <v>59.1</v>
      </c>
      <c r="CF6" s="98">
        <f>_xlfn.RANK.EQ(CE6,CE$3:CE$10000,0)</f>
        <v>8</v>
      </c>
      <c r="CG6" s="99">
        <f>IFERROR(_xlfn.XLOOKUP(B6,'w14'!$B:$B,'w14'!$F:$F),1)</f>
        <v>0.22013888888888888</v>
      </c>
      <c r="CH6" s="98">
        <f>_xlfn.RANK.EQ(CG6,CG$3:CG$10000,1)</f>
        <v>4</v>
      </c>
      <c r="CI6" s="98">
        <f>IFERROR(IF(_xlfn.XLOOKUP(B6,'w14'!$B:$B,'w14'!$G:$G)="--",0,_xlfn.XLOOKUP(B6,'w14'!$B:$B,'w14'!$G:$G)),0)</f>
        <v>242</v>
      </c>
      <c r="CJ6" s="98">
        <f>_xlfn.RANK.EQ(CI6,CI$3:CI$10000,0)</f>
        <v>35</v>
      </c>
      <c r="CK6" s="9">
        <f>_xlfn.RANK.EQ(D6,D$3:D$10000,1)</f>
        <v>4</v>
      </c>
      <c r="CL6" s="26" t="s">
        <v>91</v>
      </c>
      <c r="CM6" s="8">
        <f>SUM(E6,K6,Q6,W6,AC6,AI6,AO6,AU6,BA6,BG6,BM6,BS6,BY6,CE6)</f>
        <v>812.69999999999993</v>
      </c>
      <c r="CN6" s="9">
        <f>_xlfn.RANK.EQ(CM6,CM$3:CM$10000)</f>
        <v>4</v>
      </c>
      <c r="CO6" s="15">
        <f>IFERROR(SUM(PRODUCT(E6,G6),PRODUCT(K6,M6),PRODUCT(Q6,S6),PRODUCT(W6,Y6),PRODUCT(AC6,AE6),PRODUCT(AI6,AK6),PRODUCT(AO6,AQ6),PRODUCT(AU6,AW6),PRODUCT(BA6,BC6),PRODUCT(BG6,BI6),PRODUCT(BM6,BO6),PRODUCT(BS6,BU6),PRODUCT(BY6,CA6),PRODUCT(CE6,CG6))/CM6,1)</f>
        <v>0.22500341796207435</v>
      </c>
      <c r="CP6" s="9">
        <f>_xlfn.RANK.EQ(CO6,CO$3:CO$10000,1)</f>
        <v>6</v>
      </c>
      <c r="CQ6" s="9">
        <f>SUM(I6,O6,U6,AA6,AG6,AM6,AS6,AY6,BE6,BK6,BQ6,BW6,CC6,CI6)</f>
        <v>3636</v>
      </c>
      <c r="CR6" s="9">
        <f>_xlfn.RANK.EQ(CQ6,CQ$3:CQ$10000)</f>
        <v>36</v>
      </c>
      <c r="CS6" s="23">
        <f t="shared" si="0"/>
        <v>2</v>
      </c>
      <c r="CT6" s="25">
        <f t="shared" si="1"/>
        <v>10.924999999999999</v>
      </c>
      <c r="CU6" s="24">
        <f>_xlfn.STDEV.S(F6,L6,R6,X6,AD6,AJ6,AP6,AV6,BB6,BH6,BN6,BT6,BZ6,CF6)</f>
        <v>5.0448537590845435</v>
      </c>
      <c r="CV6" s="21">
        <f>_xlfn.RANK.EQ(CU6,CU$3:CU$10000,1)</f>
        <v>11</v>
      </c>
      <c r="CW6" s="24">
        <f>_xlfn.STDEV.S(H6,N6,T6,Z6,AF6,AL6,AR6,AX6,BD6,BJ6,BP6,BV6,CB6,CH6)</f>
        <v>5.1081705720743695</v>
      </c>
      <c r="CX6" s="21">
        <f>_xlfn.RANK.EQ(CW6,CW$3:CW$10000,1)</f>
        <v>6</v>
      </c>
      <c r="CY6" s="24">
        <f>_xlfn.STDEV.S(J6,P6,V6,AB6,AH6,AN6,AT6,AZ6,BF6,BL6,BR6,BX6,CD6,CJ6)</f>
        <v>7.1702223056253933</v>
      </c>
      <c r="CZ6" s="21">
        <f>_xlfn.RANK.EQ(CY6,CY$3:CY$10000,1)</f>
        <v>13</v>
      </c>
      <c r="DA6">
        <f>SUM(COUNTIF(E6,"&gt;0"),COUNTIF(K6,"&gt;0"),COUNTIF(Q6,"&gt;0"),COUNTIF(W6,"&gt;0"),COUNTIF(AC6,"&gt;0"),COUNTIF(AI6,"&gt;0"),COUNTIF(AO6,"&gt;0"),COUNTIF(AU6,"&gt;0"),COUNTIF(BA6,"&gt;0"),COUNTIF(BG6,"&gt;0"),COUNTIF(BM6,"&gt;0"),COUNTIF(BS6,"&gt;0"),COUNTIF(BY6,"&gt;0"),COUNTIF(CE6,"&gt;0"))</f>
        <v>14</v>
      </c>
    </row>
    <row r="7" spans="1:105" x14ac:dyDescent="0.3">
      <c r="B7" t="s">
        <v>5</v>
      </c>
      <c r="C7" s="18" t="s">
        <v>87</v>
      </c>
      <c r="D7" s="4">
        <f>CN7*$CN$1+CP7*$CP$1+CR7*$CR$1</f>
        <v>6.2750000000000004</v>
      </c>
      <c r="E7" s="29">
        <f>IFERROR(_xlfn.XLOOKUP(B7,'w1'!$B:$B,'w1'!$C:$C),0)</f>
        <v>76</v>
      </c>
      <c r="F7" s="30">
        <f>_xlfn.RANK.EQ(E7,E$3:E$10000,0)</f>
        <v>2</v>
      </c>
      <c r="G7" s="31">
        <f>IFERROR(_xlfn.XLOOKUP(B7,'w1'!$B:$B,'w1'!$F:$F),1)</f>
        <v>0.31874999999999998</v>
      </c>
      <c r="H7" s="30">
        <f>_xlfn.RANK.EQ(G7,G$3:G$10000,1)</f>
        <v>63</v>
      </c>
      <c r="I7" s="30">
        <f>IFERROR(IF(_xlfn.XLOOKUP(B7,'w1'!$B:$B,'w1'!$G:$G)="--",0,_xlfn.XLOOKUP(B7,'w1'!$B:$B,'w1'!$G:$G)),0)</f>
        <v>2129</v>
      </c>
      <c r="J7" s="30">
        <f>_xlfn.RANK.EQ(I7,I$3:I$10000,0)</f>
        <v>2</v>
      </c>
      <c r="K7" s="34">
        <f>IFERROR(_xlfn.XLOOKUP(B7,'w2'!$B:$B,'w2'!$C:$C),0)</f>
        <v>82.8</v>
      </c>
      <c r="L7" s="35">
        <f>_xlfn.RANK.EQ(K7,K$3:K$10000,0)</f>
        <v>4</v>
      </c>
      <c r="M7" s="36">
        <f>IFERROR(_xlfn.XLOOKUP(B7,'w2'!$B:$B,'w2'!$F:$F),1)</f>
        <v>0.24305555555555555</v>
      </c>
      <c r="N7" s="35">
        <f>_xlfn.RANK.EQ(M7,M$3:M$10000,1)</f>
        <v>11</v>
      </c>
      <c r="O7" s="35">
        <f>IFERROR(IF(_xlfn.XLOOKUP(B7,'w2'!$B:$B,'w2'!$G:$G)="--",0,_xlfn.XLOOKUP(B7,'w2'!$B:$B,'w2'!$G:$G)),0)</f>
        <v>1850</v>
      </c>
      <c r="P7" s="35">
        <f>_xlfn.RANK.EQ(O7,O$3:O$10000,0)</f>
        <v>5</v>
      </c>
      <c r="Q7" s="39">
        <f>IFERROR(_xlfn.XLOOKUP(B7,'w3'!$B:$B,'w3'!$C:$C),0)</f>
        <v>94.3</v>
      </c>
      <c r="R7" s="40">
        <f>_xlfn.RANK.EQ(Q7,Q$3:Q$10000,0)</f>
        <v>2</v>
      </c>
      <c r="S7" s="41">
        <f>IFERROR(_xlfn.XLOOKUP(B7,'w3'!$B:$B,'w3'!$F:$F),1)</f>
        <v>0.29583333333333334</v>
      </c>
      <c r="T7" s="40">
        <f>_xlfn.RANK.EQ(S7,S$3:S$10000,1)</f>
        <v>49</v>
      </c>
      <c r="U7" s="40">
        <f>IFERROR(IF(_xlfn.XLOOKUP(B7,'w3'!$B:$B,'w3'!$G:$G)="--",0,_xlfn.XLOOKUP(B7,'w3'!$B:$B,'w3'!$G:$G)),0)</f>
        <v>3134</v>
      </c>
      <c r="V7" s="40">
        <f>_xlfn.RANK.EQ(U7,U$3:U$10000,0)</f>
        <v>2</v>
      </c>
      <c r="W7" s="44">
        <f>IFERROR(_xlfn.XLOOKUP(B7,'w4'!$B:$B,'w4'!$C:$C),0)</f>
        <v>57.6</v>
      </c>
      <c r="X7" s="45">
        <f>_xlfn.RANK.EQ(W7,W$3:W$10000,0)</f>
        <v>6</v>
      </c>
      <c r="Y7" s="46">
        <f>IFERROR(_xlfn.XLOOKUP(B7,'w4'!$B:$B,'w4'!$F:$F),1)</f>
        <v>0.23680555555555555</v>
      </c>
      <c r="Z7" s="45">
        <f>_xlfn.RANK.EQ(Y7,Y$3:Y$10000,1)</f>
        <v>10</v>
      </c>
      <c r="AA7" s="45">
        <f>IFERROR(IF(_xlfn.XLOOKUP(B7,'w4'!$B:$B,'w4'!$G:$G)="--",0,_xlfn.XLOOKUP(B7,'w4'!$B:$B,'w4'!$G:$G)),0)</f>
        <v>1701</v>
      </c>
      <c r="AB7" s="45">
        <f>_xlfn.RANK.EQ(AA7,AA$3:AA$10000,0)</f>
        <v>5</v>
      </c>
      <c r="AC7" s="13">
        <f>IFERROR(_xlfn.XLOOKUP(B7,'w5'!$B:$B,'w5'!$C:$C),0)</f>
        <v>51.5</v>
      </c>
      <c r="AD7" s="12">
        <f>_xlfn.RANK.EQ(AC7,AC$3:AC$10000,0)</f>
        <v>8</v>
      </c>
      <c r="AE7" s="14">
        <f>IFERROR(_xlfn.XLOOKUP(B7,'w5'!$B:$B,'w5'!$F:$F),1)</f>
        <v>0.2638888888888889</v>
      </c>
      <c r="AF7" s="12">
        <f>_xlfn.RANK.EQ(AE7,AE$3:AE$10000,1)</f>
        <v>28</v>
      </c>
      <c r="AG7" s="12">
        <f>IFERROR(IF(_xlfn.XLOOKUP(B7,'w5'!$B:$B,'w5'!$G:$G)="--",0,_xlfn.XLOOKUP(B7,'w5'!$B:$B,'w5'!$G:$G)),0)</f>
        <v>751</v>
      </c>
      <c r="AH7" s="12">
        <f>_xlfn.RANK.EQ(AG7,AG$3:AG$10000,0)</f>
        <v>19</v>
      </c>
      <c r="AI7" s="51">
        <f>IFERROR(_xlfn.XLOOKUP(B7,'w6'!$B:$B,'w6'!$C:$C),0)</f>
        <v>38.700000000000003</v>
      </c>
      <c r="AJ7" s="50">
        <f>_xlfn.RANK.EQ(AI7,AI$3:AI$10000,0)</f>
        <v>11</v>
      </c>
      <c r="AK7" s="52">
        <f>IFERROR(_xlfn.XLOOKUP(B7,'w6'!$B:$B,'w6'!$F:$F),1)</f>
        <v>0.27013888888888887</v>
      </c>
      <c r="AL7" s="50">
        <f>_xlfn.RANK.EQ(AK7,AK$3:AK$10000,1)</f>
        <v>25</v>
      </c>
      <c r="AM7" s="50">
        <f>IFERROR(IF(_xlfn.XLOOKUP(B7,'w6'!$B:$B,'w6'!$G:$G)="--",0,_xlfn.XLOOKUP(B7,'w6'!$B:$B,'w6'!$G:$G)),0)</f>
        <v>1019</v>
      </c>
      <c r="AN7" s="50">
        <f>_xlfn.RANK.EQ(AM7,AM$3:AM$10000,0)</f>
        <v>5</v>
      </c>
      <c r="AO7" s="56">
        <f>IFERROR(_xlfn.XLOOKUP(B7,'w7'!$B:$B,'w7'!$C:$C),0)</f>
        <v>42.6</v>
      </c>
      <c r="AP7" s="57">
        <f>_xlfn.RANK.EQ(AO7,AO$3:AO$10000,0)</f>
        <v>16</v>
      </c>
      <c r="AQ7" s="58">
        <f>IFERROR(_xlfn.XLOOKUP(B7,'w7'!$B:$B,'w7'!$F:$F),1)</f>
        <v>0.20694444444444443</v>
      </c>
      <c r="AR7" s="57">
        <f>_xlfn.RANK.EQ(AQ7,AQ$3:AQ$10000,1)</f>
        <v>3</v>
      </c>
      <c r="AS7" s="57">
        <f>IFERROR(IF(_xlfn.XLOOKUP(B7,'w7'!$B:$B,'w7'!$G:$G)="--",0,_xlfn.XLOOKUP(B7,'w7'!$B:$B,'w7'!$G:$G)),0)</f>
        <v>936</v>
      </c>
      <c r="AT7" s="57">
        <f>_xlfn.RANK.EQ(AS7,AS$3:AS$10000,0)</f>
        <v>17</v>
      </c>
      <c r="AU7" s="62">
        <f>IFERROR(_xlfn.XLOOKUP(B7,'w8'!$B:$B,'w8'!$C:$C),0)</f>
        <v>126.1</v>
      </c>
      <c r="AV7" s="61">
        <f>_xlfn.RANK.EQ(AU7,AU$3:AU$10000,0)</f>
        <v>2</v>
      </c>
      <c r="AW7" s="63">
        <f>IFERROR(_xlfn.XLOOKUP(B7,'w8'!$B:$B,'w8'!$F:$F),1)</f>
        <v>0.36180555555555555</v>
      </c>
      <c r="AX7" s="61">
        <f>_xlfn.RANK.EQ(AW7,AW$3:AW$10000,1)</f>
        <v>63</v>
      </c>
      <c r="AY7" s="61">
        <f>IFERROR(IF(_xlfn.XLOOKUP(B7,'w8'!$B:$B,'w8'!$G:$G)="--",0,_xlfn.XLOOKUP(B7,'w8'!$B:$B,'w8'!$G:$G)),0)</f>
        <v>4410</v>
      </c>
      <c r="AZ7" s="61">
        <f>_xlfn.RANK.EQ(AY7,AY$3:AY$10000,0)</f>
        <v>1</v>
      </c>
      <c r="BA7" s="66">
        <f>IFERROR(_xlfn.XLOOKUP(C7,'w9'!$B:$B,'w9'!$C:$C),0)</f>
        <v>35.700000000000003</v>
      </c>
      <c r="BB7" s="67">
        <f>_xlfn.RANK.EQ(BA7,BA$3:BA$10000,0)</f>
        <v>28</v>
      </c>
      <c r="BC7" s="68">
        <f>IFERROR(_xlfn.XLOOKUP(C7,'w9'!$B:$B,'w9'!$F:$F),1)</f>
        <v>0.24027777777777778</v>
      </c>
      <c r="BD7" s="67">
        <f>_xlfn.RANK.EQ(BC7,BC$3:BC$10000,1)</f>
        <v>11</v>
      </c>
      <c r="BE7" s="67">
        <f>IFERROR(IF(_xlfn.XLOOKUP(C7,'w9'!$B:$B,'w9'!$G:$G)="--",0,_xlfn.XLOOKUP(C7,'w9'!$B:$B,'w9'!$G:$G)),0)</f>
        <v>910</v>
      </c>
      <c r="BF7" s="67">
        <f>_xlfn.RANK.EQ(BE7,BE$3:BE$10000,0)</f>
        <v>8</v>
      </c>
      <c r="BG7" s="72">
        <f>IFERROR(_xlfn.XLOOKUP(B7,'w10'!$B:$B,'w10'!$C:$C),0)</f>
        <v>44.5</v>
      </c>
      <c r="BH7" s="74">
        <f>_xlfn.RANK.EQ(BG7,BG$3:BG$10000,0)</f>
        <v>17</v>
      </c>
      <c r="BI7" s="75">
        <f>IFERROR(_xlfn.XLOOKUP(B7,'w10'!$B:$B,'w10'!$F:$F),1)</f>
        <v>0.3347222222222222</v>
      </c>
      <c r="BJ7" s="74">
        <f>_xlfn.RANK.EQ(BI7,BI$3:BI$10000,1)</f>
        <v>63</v>
      </c>
      <c r="BK7" s="74">
        <f>IFERROR(IF(_xlfn.XLOOKUP(B7,'w10'!$B:$B,'w10'!$G:$G)="--",0,_xlfn.XLOOKUP(B7,'w10'!$B:$B,'w10'!$G:$G)),0)</f>
        <v>799</v>
      </c>
      <c r="BL7" s="74">
        <f>_xlfn.RANK.EQ(BK7,BK$3:BK$10000,0)</f>
        <v>13</v>
      </c>
      <c r="BM7" s="78">
        <f>IFERROR(_xlfn.XLOOKUP(B7,'w11'!$B:$B,'w11'!$C:$C),0)</f>
        <v>22.2</v>
      </c>
      <c r="BN7" s="80">
        <f>_xlfn.RANK.EQ(BM7,BM$3:BM$10000,0)</f>
        <v>39</v>
      </c>
      <c r="BO7" s="81">
        <f>IFERROR(_xlfn.XLOOKUP(B7,'w11'!$B:$B,'w11'!$F:$F),1)</f>
        <v>0.18333333333333332</v>
      </c>
      <c r="BP7" s="80">
        <f>_xlfn.RANK.EQ(BO7,BO$3:BO$10000,1)</f>
        <v>1</v>
      </c>
      <c r="BQ7" s="80">
        <f>IFERROR(IF(_xlfn.XLOOKUP(B7,'w11'!$B:$B,'w11'!$G:$G)="--",0,_xlfn.XLOOKUP(B7,'w11'!$B:$B,'w11'!$G:$G)),0)</f>
        <v>638</v>
      </c>
      <c r="BR7" s="80">
        <f>_xlfn.RANK.EQ(BQ7,BQ$3:BQ$10000,0)</f>
        <v>13</v>
      </c>
      <c r="BS7" s="83">
        <f>IFERROR(_xlfn.XLOOKUP(B7,'w12'!$B:$B,'w12'!$C:$C),0)</f>
        <v>14</v>
      </c>
      <c r="BT7" s="86">
        <f>_xlfn.RANK.EQ(BS7,BS$3:BS$10000,0)</f>
        <v>49</v>
      </c>
      <c r="BU7" s="87">
        <f>IFERROR(_xlfn.XLOOKUP(B7,'w12'!$B:$B,'w12'!$F:$F),1)</f>
        <v>0.22777777777777777</v>
      </c>
      <c r="BV7" s="86">
        <f>_xlfn.RANK.EQ(BU7,BU$3:BU$10000,1)</f>
        <v>7</v>
      </c>
      <c r="BW7" s="86">
        <f>IFERROR(IF(_xlfn.XLOOKUP(B7,'w12'!$B:$B,'w12'!$G:$G)="--",0,_xlfn.XLOOKUP(B7,'w12'!$B:$B,'w12'!$G:$G)),0)</f>
        <v>379</v>
      </c>
      <c r="BX7" s="86">
        <f>_xlfn.RANK.EQ(BW7,BW$3:BW$10000,0)</f>
        <v>15</v>
      </c>
      <c r="BY7" s="89">
        <f>IFERROR(_xlfn.XLOOKUP(B7,'w13'!$B:$B,'w13'!$C:$C),0)</f>
        <v>105.3</v>
      </c>
      <c r="BZ7" s="92">
        <f>_xlfn.RANK.EQ(BY7,BY$3:BY$10000,0)</f>
        <v>2</v>
      </c>
      <c r="CA7" s="93">
        <f>IFERROR(_xlfn.XLOOKUP(B7,'w13'!$B:$B,'w13'!$F:$F),1)</f>
        <v>0.35069444444444442</v>
      </c>
      <c r="CB7" s="92">
        <f>_xlfn.RANK.EQ(CA7,CA$3:CA$10000,1)</f>
        <v>59</v>
      </c>
      <c r="CC7" s="92">
        <f>IFERROR(IF(_xlfn.XLOOKUP(B7,'w13'!$B:$B,'w13'!$G:$G)="--",0,_xlfn.XLOOKUP(B7,'w13'!$B:$B,'w13'!$G:$G)),0)</f>
        <v>1773</v>
      </c>
      <c r="CD7" s="92">
        <f>_xlfn.RANK.EQ(CC7,CC$3:CC$10000,0)</f>
        <v>5</v>
      </c>
      <c r="CE7" s="95">
        <f>IFERROR(_xlfn.XLOOKUP(B7,'w14'!$B:$B,'w14'!$C:$C),0)</f>
        <v>0</v>
      </c>
      <c r="CF7" s="98">
        <f>_xlfn.RANK.EQ(CE7,CE$3:CE$10000,0)</f>
        <v>69</v>
      </c>
      <c r="CG7" s="99">
        <f>IFERROR(_xlfn.XLOOKUP(B7,'w14'!$B:$B,'w14'!$F:$F),1)</f>
        <v>1</v>
      </c>
      <c r="CH7" s="98">
        <f>_xlfn.RANK.EQ(CG7,CG$3:CG$10000,1)</f>
        <v>69</v>
      </c>
      <c r="CI7" s="98">
        <f>IFERROR(IF(_xlfn.XLOOKUP(B7,'w14'!$B:$B,'w14'!$G:$G)="--",0,_xlfn.XLOOKUP(B7,'w14'!$B:$B,'w14'!$G:$G)),0)</f>
        <v>0</v>
      </c>
      <c r="CJ7" s="98">
        <f>_xlfn.RANK.EQ(CI7,CI$3:CI$10000,0)</f>
        <v>69</v>
      </c>
      <c r="CK7" s="9">
        <f>_xlfn.RANK.EQ(D7,D$3:D$10000,1)</f>
        <v>5</v>
      </c>
      <c r="CL7" s="26" t="s">
        <v>87</v>
      </c>
      <c r="CM7" s="8">
        <f>SUM(E7,K7,Q7,W7,AC7,AI7,AO7,AU7,BA7,BG7,BM7,BS7,BY7,CE7)</f>
        <v>791.30000000000007</v>
      </c>
      <c r="CN7" s="9">
        <f>_xlfn.RANK.EQ(CM7,CM$3:CM$10000)</f>
        <v>5</v>
      </c>
      <c r="CO7" s="15">
        <f>IFERROR(SUM(PRODUCT(E7,G7),PRODUCT(K7,M7),PRODUCT(Q7,S7),PRODUCT(W7,Y7),PRODUCT(AC7,AE7),PRODUCT(AI7,AK7),PRODUCT(AO7,AQ7),PRODUCT(AU7,AW7),PRODUCT(BA7,BC7),PRODUCT(BG7,BI7),PRODUCT(BM7,BO7),PRODUCT(BS7,BU7),PRODUCT(BY7,CA7),PRODUCT(CE7,CG7))/CM7,1)</f>
        <v>0.29322800384739595</v>
      </c>
      <c r="CP7" s="9">
        <f>_xlfn.RANK.EQ(CO7,CO$3:CO$10000,1)</f>
        <v>55</v>
      </c>
      <c r="CQ7" s="9">
        <f>SUM(I7,O7,U7,AA7,AG7,AM7,AS7,AY7,BE7,BK7,BQ7,BW7,CC7,CI7)</f>
        <v>20429</v>
      </c>
      <c r="CR7" s="9">
        <f>_xlfn.RANK.EQ(CQ7,CQ$3:CQ$10000)</f>
        <v>6</v>
      </c>
      <c r="CS7" s="23">
        <f t="shared" si="0"/>
        <v>32</v>
      </c>
      <c r="CT7" s="25">
        <f t="shared" si="1"/>
        <v>89.75</v>
      </c>
      <c r="CU7" s="24">
        <f>_xlfn.STDEV.S(F7,L7,R7,X7,AD7,AJ7,AP7,AV7,BB7,BH7,BN7,BT7,BZ7,CF7)</f>
        <v>20.792670940385818</v>
      </c>
      <c r="CV7" s="21">
        <f>_xlfn.RANK.EQ(CU7,CU$3:CU$10000,1)</f>
        <v>90</v>
      </c>
      <c r="CW7" s="24">
        <f>_xlfn.STDEV.S(H7,N7,T7,Z7,AF7,AL7,AR7,AX7,BD7,BJ7,BP7,BV7,CB7,CH7)</f>
        <v>26.477857222156839</v>
      </c>
      <c r="CX7" s="21">
        <f>_xlfn.RANK.EQ(CW7,CW$3:CW$10000,1)</f>
        <v>100</v>
      </c>
      <c r="CY7" s="24">
        <f>_xlfn.STDEV.S(J7,P7,V7,AB7,AH7,AN7,AT7,AZ7,BF7,BL7,BR7,BX7,CD7,CJ7)</f>
        <v>17.227788694336347</v>
      </c>
      <c r="CZ7" s="21">
        <f>_xlfn.RANK.EQ(CY7,CY$3:CY$10000,1)</f>
        <v>70</v>
      </c>
      <c r="DA7">
        <f>SUM(COUNTIF(E7,"&gt;0"),COUNTIF(K7,"&gt;0"),COUNTIF(Q7,"&gt;0"),COUNTIF(W7,"&gt;0"),COUNTIF(AC7,"&gt;0"),COUNTIF(AI7,"&gt;0"),COUNTIF(AO7,"&gt;0"),COUNTIF(AU7,"&gt;0"),COUNTIF(BA7,"&gt;0"),COUNTIF(BG7,"&gt;0"),COUNTIF(BM7,"&gt;0"),COUNTIF(BS7,"&gt;0"),COUNTIF(BY7,"&gt;0"),COUNTIF(CE7,"&gt;0"))</f>
        <v>13</v>
      </c>
    </row>
    <row r="8" spans="1:105" x14ac:dyDescent="0.3">
      <c r="B8" t="s">
        <v>6</v>
      </c>
      <c r="C8" s="18" t="s">
        <v>88</v>
      </c>
      <c r="D8" s="4">
        <f>CN8*$CN$1+CP8*$CP$1+CR8*$CR$1</f>
        <v>7.8749999999999991</v>
      </c>
      <c r="E8" s="29">
        <f>IFERROR(_xlfn.XLOOKUP(B8,'w1'!$B:$B,'w1'!$C:$C),0)</f>
        <v>64.400000000000006</v>
      </c>
      <c r="F8" s="30">
        <f>_xlfn.RANK.EQ(E8,E$3:E$10000,0)</f>
        <v>3</v>
      </c>
      <c r="G8" s="31">
        <f>IFERROR(_xlfn.XLOOKUP(B8,'w1'!$B:$B,'w1'!$F:$F),1)</f>
        <v>0.38750000000000001</v>
      </c>
      <c r="H8" s="30">
        <f>_xlfn.RANK.EQ(G8,G$3:G$10000,1)</f>
        <v>75</v>
      </c>
      <c r="I8" s="30">
        <f>IFERROR(IF(_xlfn.XLOOKUP(B8,'w1'!$B:$B,'w1'!$G:$G)="--",0,_xlfn.XLOOKUP(B8,'w1'!$B:$B,'w1'!$G:$G)),0)</f>
        <v>2493</v>
      </c>
      <c r="J8" s="30">
        <f>_xlfn.RANK.EQ(I8,I$3:I$10000,0)</f>
        <v>1</v>
      </c>
      <c r="K8" s="34">
        <f>IFERROR(_xlfn.XLOOKUP(B8,'w2'!$B:$B,'w2'!$C:$C),0)</f>
        <v>40.9</v>
      </c>
      <c r="L8" s="35">
        <f>_xlfn.RANK.EQ(K8,K$3:K$10000,0)</f>
        <v>16</v>
      </c>
      <c r="M8" s="36">
        <f>IFERROR(_xlfn.XLOOKUP(B8,'w2'!$B:$B,'w2'!$F:$F),1)</f>
        <v>0.35138888888888886</v>
      </c>
      <c r="N8" s="35">
        <f>_xlfn.RANK.EQ(M8,M$3:M$10000,1)</f>
        <v>63</v>
      </c>
      <c r="O8" s="35">
        <f>IFERROR(IF(_xlfn.XLOOKUP(B8,'w2'!$B:$B,'w2'!$G:$G)="--",0,_xlfn.XLOOKUP(B8,'w2'!$B:$B,'w2'!$G:$G)),0)</f>
        <v>1467</v>
      </c>
      <c r="P8" s="35">
        <f>_xlfn.RANK.EQ(O8,O$3:O$10000,0)</f>
        <v>6</v>
      </c>
      <c r="Q8" s="39">
        <f>IFERROR(_xlfn.XLOOKUP(B8,'w3'!$B:$B,'w3'!$C:$C),0)</f>
        <v>52.2</v>
      </c>
      <c r="R8" s="40">
        <f>_xlfn.RANK.EQ(Q8,Q$3:Q$10000,0)</f>
        <v>11</v>
      </c>
      <c r="S8" s="41">
        <f>IFERROR(_xlfn.XLOOKUP(B8,'w3'!$B:$B,'w3'!$F:$F),1)</f>
        <v>0.34166666666666667</v>
      </c>
      <c r="T8" s="40">
        <f>_xlfn.RANK.EQ(S8,S$3:S$10000,1)</f>
        <v>68</v>
      </c>
      <c r="U8" s="40">
        <f>IFERROR(IF(_xlfn.XLOOKUP(B8,'w3'!$B:$B,'w3'!$G:$G)="--",0,_xlfn.XLOOKUP(B8,'w3'!$B:$B,'w3'!$G:$G)),0)</f>
        <v>1774</v>
      </c>
      <c r="V8" s="40">
        <f>_xlfn.RANK.EQ(U8,U$3:U$10000,0)</f>
        <v>5</v>
      </c>
      <c r="W8" s="44">
        <f>IFERROR(_xlfn.XLOOKUP(B8,'w4'!$B:$B,'w4'!$C:$C),0)</f>
        <v>37.9</v>
      </c>
      <c r="X8" s="45">
        <f>_xlfn.RANK.EQ(W8,W$3:W$10000,0)</f>
        <v>17</v>
      </c>
      <c r="Y8" s="46">
        <f>IFERROR(_xlfn.XLOOKUP(B8,'w4'!$B:$B,'w4'!$F:$F),1)</f>
        <v>0.28819444444444442</v>
      </c>
      <c r="Z8" s="45">
        <f>_xlfn.RANK.EQ(Y8,Y$3:Y$10000,1)</f>
        <v>43</v>
      </c>
      <c r="AA8" s="45">
        <f>IFERROR(IF(_xlfn.XLOOKUP(B8,'w4'!$B:$B,'w4'!$G:$G)="--",0,_xlfn.XLOOKUP(B8,'w4'!$B:$B,'w4'!$G:$G)),0)</f>
        <v>403</v>
      </c>
      <c r="AB8" s="45">
        <f>_xlfn.RANK.EQ(AA8,AA$3:AA$10000,0)</f>
        <v>20</v>
      </c>
      <c r="AC8" s="13">
        <f>IFERROR(_xlfn.XLOOKUP(B8,'w5'!$B:$B,'w5'!$C:$C),0)</f>
        <v>39.799999999999997</v>
      </c>
      <c r="AD8" s="12">
        <f>_xlfn.RANK.EQ(AC8,AC$3:AC$10000,0)</f>
        <v>25</v>
      </c>
      <c r="AE8" s="14">
        <f>IFERROR(_xlfn.XLOOKUP(B8,'w5'!$B:$B,'w5'!$F:$F),1)</f>
        <v>0.38958333333333334</v>
      </c>
      <c r="AF8" s="12">
        <f>_xlfn.RANK.EQ(AE8,AE$3:AE$10000,1)</f>
        <v>64</v>
      </c>
      <c r="AG8" s="12">
        <f>IFERROR(IF(_xlfn.XLOOKUP(B8,'w5'!$B:$B,'w5'!$G:$G)="--",0,_xlfn.XLOOKUP(B8,'w5'!$B:$B,'w5'!$G:$G)),0)</f>
        <v>1998</v>
      </c>
      <c r="AH8" s="12">
        <f>_xlfn.RANK.EQ(AG8,AG$3:AG$10000,0)</f>
        <v>4</v>
      </c>
      <c r="AI8" s="51">
        <f>IFERROR(_xlfn.XLOOKUP(B8,'w6'!$B:$B,'w6'!$C:$C),0)</f>
        <v>31.7</v>
      </c>
      <c r="AJ8" s="50">
        <f>_xlfn.RANK.EQ(AI8,AI$3:AI$10000,0)</f>
        <v>16</v>
      </c>
      <c r="AK8" s="52">
        <f>IFERROR(_xlfn.XLOOKUP(B8,'w6'!$B:$B,'w6'!$F:$F),1)</f>
        <v>0.29583333333333334</v>
      </c>
      <c r="AL8" s="50">
        <f>_xlfn.RANK.EQ(AK8,AK$3:AK$10000,1)</f>
        <v>37</v>
      </c>
      <c r="AM8" s="50">
        <f>IFERROR(IF(_xlfn.XLOOKUP(B8,'w6'!$B:$B,'w6'!$G:$G)="--",0,_xlfn.XLOOKUP(B8,'w6'!$B:$B,'w6'!$G:$G)),0)</f>
        <v>873</v>
      </c>
      <c r="AN8" s="50">
        <f>_xlfn.RANK.EQ(AM8,AM$3:AM$10000,0)</f>
        <v>8</v>
      </c>
      <c r="AO8" s="56">
        <f>IFERROR(_xlfn.XLOOKUP(B8,'w7'!$B:$B,'w7'!$C:$C),0)</f>
        <v>48.6</v>
      </c>
      <c r="AP8" s="57">
        <f>_xlfn.RANK.EQ(AO8,AO$3:AO$10000,0)</f>
        <v>11</v>
      </c>
      <c r="AQ8" s="58">
        <f>IFERROR(_xlfn.XLOOKUP(B8,'w7'!$B:$B,'w7'!$F:$F),1)</f>
        <v>0.35625000000000001</v>
      </c>
      <c r="AR8" s="57">
        <f>_xlfn.RANK.EQ(AQ8,AQ$3:AQ$10000,1)</f>
        <v>55</v>
      </c>
      <c r="AS8" s="57">
        <f>IFERROR(IF(_xlfn.XLOOKUP(B8,'w7'!$B:$B,'w7'!$G:$G)="--",0,_xlfn.XLOOKUP(B8,'w7'!$B:$B,'w7'!$G:$G)),0)</f>
        <v>1975</v>
      </c>
      <c r="AT8" s="57">
        <f>_xlfn.RANK.EQ(AS8,AS$3:AS$10000,0)</f>
        <v>2</v>
      </c>
      <c r="AU8" s="62">
        <f>IFERROR(_xlfn.XLOOKUP(B8,'w8'!$B:$B,'w8'!$C:$C),0)</f>
        <v>119.9</v>
      </c>
      <c r="AV8" s="61">
        <f>_xlfn.RANK.EQ(AU8,AU$3:AU$10000,0)</f>
        <v>3</v>
      </c>
      <c r="AW8" s="63">
        <f>IFERROR(_xlfn.XLOOKUP(B8,'w8'!$B:$B,'w8'!$F:$F),1)</f>
        <v>0.39444444444444443</v>
      </c>
      <c r="AX8" s="61">
        <f>_xlfn.RANK.EQ(AW8,AW$3:AW$10000,1)</f>
        <v>67</v>
      </c>
      <c r="AY8" s="61">
        <f>IFERROR(IF(_xlfn.XLOOKUP(B8,'w8'!$B:$B,'w8'!$G:$G)="--",0,_xlfn.XLOOKUP(B8,'w8'!$B:$B,'w8'!$G:$G)),0)</f>
        <v>4181</v>
      </c>
      <c r="AZ8" s="61">
        <f>_xlfn.RANK.EQ(AY8,AY$3:AY$10000,0)</f>
        <v>2</v>
      </c>
      <c r="BA8" s="66">
        <f>IFERROR(_xlfn.XLOOKUP(C8,'w9'!$B:$B,'w9'!$C:$C),0)</f>
        <v>67</v>
      </c>
      <c r="BB8" s="67">
        <f>_xlfn.RANK.EQ(BA8,BA$3:BA$10000,0)</f>
        <v>6</v>
      </c>
      <c r="BC8" s="68">
        <f>IFERROR(_xlfn.XLOOKUP(C8,'w9'!$B:$B,'w9'!$F:$F),1)</f>
        <v>0.3298611111111111</v>
      </c>
      <c r="BD8" s="67">
        <f>_xlfn.RANK.EQ(BC8,BC$3:BC$10000,1)</f>
        <v>55</v>
      </c>
      <c r="BE8" s="67">
        <f>IFERROR(IF(_xlfn.XLOOKUP(C8,'w9'!$B:$B,'w9'!$G:$G)="--",0,_xlfn.XLOOKUP(C8,'w9'!$B:$B,'w9'!$G:$G)),0)</f>
        <v>1854</v>
      </c>
      <c r="BF8" s="67">
        <f>_xlfn.RANK.EQ(BE8,BE$3:BE$10000,0)</f>
        <v>3</v>
      </c>
      <c r="BG8" s="72">
        <f>IFERROR(_xlfn.XLOOKUP(B8,'w10'!$B:$B,'w10'!$C:$C),0)</f>
        <v>65.900000000000006</v>
      </c>
      <c r="BH8" s="74">
        <f>_xlfn.RANK.EQ(BG8,BG$3:BG$10000,0)</f>
        <v>5</v>
      </c>
      <c r="BI8" s="75">
        <f>IFERROR(_xlfn.XLOOKUP(B8,'w10'!$B:$B,'w10'!$F:$F),1)</f>
        <v>0.35</v>
      </c>
      <c r="BJ8" s="74">
        <f>_xlfn.RANK.EQ(BI8,BI$3:BI$10000,1)</f>
        <v>68</v>
      </c>
      <c r="BK8" s="74">
        <f>IFERROR(IF(_xlfn.XLOOKUP(B8,'w10'!$B:$B,'w10'!$G:$G)="--",0,_xlfn.XLOOKUP(B8,'w10'!$B:$B,'w10'!$G:$G)),0)</f>
        <v>2931</v>
      </c>
      <c r="BL8" s="74">
        <f>_xlfn.RANK.EQ(BK8,BK$3:BK$10000,0)</f>
        <v>1</v>
      </c>
      <c r="BM8" s="78">
        <f>IFERROR(_xlfn.XLOOKUP(B8,'w11'!$B:$B,'w11'!$C:$C),0)</f>
        <v>20.100000000000001</v>
      </c>
      <c r="BN8" s="80">
        <f>_xlfn.RANK.EQ(BM8,BM$3:BM$10000,0)</f>
        <v>45</v>
      </c>
      <c r="BO8" s="81">
        <f>IFERROR(_xlfn.XLOOKUP(B8,'w11'!$B:$B,'w11'!$F:$F),1)</f>
        <v>0.26250000000000001</v>
      </c>
      <c r="BP8" s="80">
        <f>_xlfn.RANK.EQ(BO8,BO$3:BO$10000,1)</f>
        <v>29</v>
      </c>
      <c r="BQ8" s="80">
        <f>IFERROR(IF(_xlfn.XLOOKUP(B8,'w11'!$B:$B,'w11'!$G:$G)="--",0,_xlfn.XLOOKUP(B8,'w11'!$B:$B,'w11'!$G:$G)),0)</f>
        <v>211</v>
      </c>
      <c r="BR8" s="80">
        <f>_xlfn.RANK.EQ(BQ8,BQ$3:BQ$10000,0)</f>
        <v>40</v>
      </c>
      <c r="BS8" s="83">
        <f>IFERROR(_xlfn.XLOOKUP(B8,'w12'!$B:$B,'w12'!$C:$C),0)</f>
        <v>59</v>
      </c>
      <c r="BT8" s="86">
        <f>_xlfn.RANK.EQ(BS8,BS$3:BS$10000,0)</f>
        <v>6</v>
      </c>
      <c r="BU8" s="87">
        <f>IFERROR(_xlfn.XLOOKUP(B8,'w12'!$B:$B,'w12'!$F:$F),1)</f>
        <v>0.32847222222222222</v>
      </c>
      <c r="BV8" s="86">
        <f>_xlfn.RANK.EQ(BU8,BU$3:BU$10000,1)</f>
        <v>59</v>
      </c>
      <c r="BW8" s="86">
        <f>IFERROR(IF(_xlfn.XLOOKUP(B8,'w12'!$B:$B,'w12'!$G:$G)="--",0,_xlfn.XLOOKUP(B8,'w12'!$B:$B,'w12'!$G:$G)),0)</f>
        <v>1713</v>
      </c>
      <c r="BX8" s="86">
        <f>_xlfn.RANK.EQ(BW8,BW$3:BW$10000,0)</f>
        <v>5</v>
      </c>
      <c r="BY8" s="89">
        <f>IFERROR(_xlfn.XLOOKUP(B8,'w13'!$B:$B,'w13'!$C:$C),0)</f>
        <v>66.099999999999994</v>
      </c>
      <c r="BZ8" s="92">
        <f>_xlfn.RANK.EQ(BY8,BY$3:BY$10000,0)</f>
        <v>5</v>
      </c>
      <c r="CA8" s="93">
        <f>IFERROR(_xlfn.XLOOKUP(B8,'w13'!$B:$B,'w13'!$F:$F),1)</f>
        <v>0.34861111111111109</v>
      </c>
      <c r="CB8" s="92">
        <f>_xlfn.RANK.EQ(CA8,CA$3:CA$10000,1)</f>
        <v>58</v>
      </c>
      <c r="CC8" s="92">
        <f>IFERROR(IF(_xlfn.XLOOKUP(B8,'w13'!$B:$B,'w13'!$G:$G)="--",0,_xlfn.XLOOKUP(B8,'w13'!$B:$B,'w13'!$G:$G)),0)</f>
        <v>1924</v>
      </c>
      <c r="CD8" s="92">
        <f>_xlfn.RANK.EQ(CC8,CC$3:CC$10000,0)</f>
        <v>4</v>
      </c>
      <c r="CE8" s="95">
        <f>IFERROR(_xlfn.XLOOKUP(B8,'w14'!$B:$B,'w14'!$C:$C),0)</f>
        <v>39.799999999999997</v>
      </c>
      <c r="CF8" s="98">
        <f>_xlfn.RANK.EQ(CE8,CE$3:CE$10000,0)</f>
        <v>20</v>
      </c>
      <c r="CG8" s="99">
        <f>IFERROR(_xlfn.XLOOKUP(B8,'w14'!$B:$B,'w14'!$F:$F),1)</f>
        <v>0.36875000000000002</v>
      </c>
      <c r="CH8" s="98">
        <f>_xlfn.RANK.EQ(CG8,CG$3:CG$10000,1)</f>
        <v>58</v>
      </c>
      <c r="CI8" s="98">
        <f>IFERROR(IF(_xlfn.XLOOKUP(B8,'w14'!$B:$B,'w14'!$G:$G)="--",0,_xlfn.XLOOKUP(B8,'w14'!$B:$B,'w14'!$G:$G)),0)</f>
        <v>1612</v>
      </c>
      <c r="CJ8" s="98">
        <f>_xlfn.RANK.EQ(CI8,CI$3:CI$10000,0)</f>
        <v>7</v>
      </c>
      <c r="CK8" s="9">
        <f>_xlfn.RANK.EQ(D8,D$3:D$10000,1)</f>
        <v>6</v>
      </c>
      <c r="CL8" s="26" t="s">
        <v>88</v>
      </c>
      <c r="CM8" s="8">
        <f>SUM(E8,K8,Q8,W8,AC8,AI8,AO8,AU8,BA8,BG8,BM8,BS8,BY8,CE8)</f>
        <v>753.3</v>
      </c>
      <c r="CN8" s="9">
        <f>_xlfn.RANK.EQ(CM8,CM$3:CM$10000)</f>
        <v>6</v>
      </c>
      <c r="CO8" s="15">
        <f>IFERROR(SUM(PRODUCT(E8,G8),PRODUCT(K8,M8),PRODUCT(Q8,S8),PRODUCT(W8,Y8),PRODUCT(AC8,AE8),PRODUCT(AI8,AK8),PRODUCT(AO8,AQ8),PRODUCT(AU8,AW8),PRODUCT(BA8,BC8),PRODUCT(BG8,BI8),PRODUCT(BM8,BO8),PRODUCT(BS8,BU8),PRODUCT(BY8,CA8),PRODUCT(CE8,CG8))/CM8,1)</f>
        <v>0.35194025915600985</v>
      </c>
      <c r="CP8" s="9">
        <f>_xlfn.RANK.EQ(CO8,CO$3:CO$10000,1)</f>
        <v>85</v>
      </c>
      <c r="CQ8" s="9">
        <f>SUM(I8,O8,U8,AA8,AG8,AM8,AS8,AY8,BE8,BK8,BQ8,BW8,CC8,CI8)</f>
        <v>25409</v>
      </c>
      <c r="CR8" s="9">
        <f>_xlfn.RANK.EQ(CQ8,CQ$3:CQ$10000)</f>
        <v>2</v>
      </c>
      <c r="CS8" s="23">
        <f t="shared" si="0"/>
        <v>9</v>
      </c>
      <c r="CT8" s="25">
        <f t="shared" si="1"/>
        <v>36.924999999999997</v>
      </c>
      <c r="CU8" s="24">
        <f>_xlfn.STDEV.S(F8,L8,R8,X8,AD8,AJ8,AP8,AV8,BB8,BH8,BN8,BT8,BZ8,CF8)</f>
        <v>11.37304505601529</v>
      </c>
      <c r="CV8" s="21">
        <f>_xlfn.RANK.EQ(CU8,CU$3:CU$10000,1)</f>
        <v>37</v>
      </c>
      <c r="CW8" s="24">
        <f>_xlfn.STDEV.S(H8,N8,T8,Z8,AF8,AL8,AR8,AX8,BD8,BJ8,BP8,BV8,CB8,CH8)</f>
        <v>12.845018703548297</v>
      </c>
      <c r="CX8" s="21">
        <f>_xlfn.RANK.EQ(CW8,CW$3:CW$10000,1)</f>
        <v>41</v>
      </c>
      <c r="CY8" s="24">
        <f>_xlfn.STDEV.S(J8,P8,V8,AB8,AH8,AN8,AT8,AZ8,BF8,BL8,BR8,BX8,CD8,CJ8)</f>
        <v>10.439780217466792</v>
      </c>
      <c r="CZ8" s="21">
        <f>_xlfn.RANK.EQ(CY8,CY$3:CY$10000,1)</f>
        <v>30</v>
      </c>
      <c r="DA8">
        <f>SUM(COUNTIF(E8,"&gt;0"),COUNTIF(K8,"&gt;0"),COUNTIF(Q8,"&gt;0"),COUNTIF(W8,"&gt;0"),COUNTIF(AC8,"&gt;0"),COUNTIF(AI8,"&gt;0"),COUNTIF(AO8,"&gt;0"),COUNTIF(AU8,"&gt;0"),COUNTIF(BA8,"&gt;0"),COUNTIF(BG8,"&gt;0"),COUNTIF(BM8,"&gt;0"),COUNTIF(BS8,"&gt;0"),COUNTIF(BY8,"&gt;0"),COUNTIF(CE8,"&gt;0"))</f>
        <v>14</v>
      </c>
    </row>
    <row r="9" spans="1:105" x14ac:dyDescent="0.3">
      <c r="B9" t="s">
        <v>34</v>
      </c>
      <c r="C9" s="18" t="s">
        <v>113</v>
      </c>
      <c r="D9" s="4">
        <f>CN9*$CN$1+CP9*$CP$1+CR9*$CR$1</f>
        <v>8.5749999999999993</v>
      </c>
      <c r="E9" s="29">
        <f>IFERROR(_xlfn.XLOOKUP(B9,'w1'!$B:$B,'w1'!$C:$C),0)</f>
        <v>25.3</v>
      </c>
      <c r="F9" s="30">
        <f>_xlfn.RANK.EQ(E9,E$3:E$10000,0)</f>
        <v>31</v>
      </c>
      <c r="G9" s="31">
        <f>IFERROR(_xlfn.XLOOKUP(B9,'w1'!$B:$B,'w1'!$F:$F),1)</f>
        <v>0.24652777777777779</v>
      </c>
      <c r="H9" s="30">
        <f>_xlfn.RANK.EQ(G9,G$3:G$10000,1)</f>
        <v>16</v>
      </c>
      <c r="I9" s="30">
        <f>IFERROR(IF(_xlfn.XLOOKUP(B9,'w1'!$B:$B,'w1'!$G:$G)="--",0,_xlfn.XLOOKUP(B9,'w1'!$B:$B,'w1'!$G:$G)),0)</f>
        <v>175</v>
      </c>
      <c r="J9" s="30">
        <f>_xlfn.RANK.EQ(I9,I$3:I$10000,0)</f>
        <v>47</v>
      </c>
      <c r="K9" s="34">
        <f>IFERROR(_xlfn.XLOOKUP(B9,'w2'!$B:$B,'w2'!$C:$C),0)</f>
        <v>49.1</v>
      </c>
      <c r="L9" s="35">
        <f>_xlfn.RANK.EQ(K9,K$3:K$10000,0)</f>
        <v>10</v>
      </c>
      <c r="M9" s="36">
        <f>IFERROR(_xlfn.XLOOKUP(B9,'w2'!$B:$B,'w2'!$F:$F),1)</f>
        <v>0.34375</v>
      </c>
      <c r="N9" s="35">
        <f>_xlfn.RANK.EQ(M9,M$3:M$10000,1)</f>
        <v>61</v>
      </c>
      <c r="O9" s="35">
        <f>IFERROR(IF(_xlfn.XLOOKUP(B9,'w2'!$B:$B,'w2'!$G:$G)="--",0,_xlfn.XLOOKUP(B9,'w2'!$B:$B,'w2'!$G:$G)),0)</f>
        <v>1965</v>
      </c>
      <c r="P9" s="35">
        <f>_xlfn.RANK.EQ(O9,O$3:O$10000,0)</f>
        <v>4</v>
      </c>
      <c r="Q9" s="39">
        <f>IFERROR(_xlfn.XLOOKUP(B9,'w3'!$B:$B,'w3'!$C:$C),0)</f>
        <v>32.700000000000003</v>
      </c>
      <c r="R9" s="40">
        <f>_xlfn.RANK.EQ(Q9,Q$3:Q$10000,0)</f>
        <v>27</v>
      </c>
      <c r="S9" s="41">
        <f>IFERROR(_xlfn.XLOOKUP(B9,'w3'!$B:$B,'w3'!$F:$F),1)</f>
        <v>0.32083333333333336</v>
      </c>
      <c r="T9" s="40">
        <f>_xlfn.RANK.EQ(S9,S$3:S$10000,1)</f>
        <v>63</v>
      </c>
      <c r="U9" s="40">
        <f>IFERROR(IF(_xlfn.XLOOKUP(B9,'w3'!$B:$B,'w3'!$G:$G)="--",0,_xlfn.XLOOKUP(B9,'w3'!$B:$B,'w3'!$G:$G)),0)</f>
        <v>594</v>
      </c>
      <c r="V9" s="40">
        <f>_xlfn.RANK.EQ(U9,U$3:U$10000,0)</f>
        <v>17</v>
      </c>
      <c r="W9" s="44">
        <f>IFERROR(_xlfn.XLOOKUP(B9,'w4'!$B:$B,'w4'!$C:$C),0)</f>
        <v>62.5</v>
      </c>
      <c r="X9" s="45">
        <f>_xlfn.RANK.EQ(W9,W$3:W$10000,0)</f>
        <v>5</v>
      </c>
      <c r="Y9" s="46">
        <f>IFERROR(_xlfn.XLOOKUP(B9,'w4'!$B:$B,'w4'!$F:$F),1)</f>
        <v>0.3659722222222222</v>
      </c>
      <c r="Z9" s="45">
        <f>_xlfn.RANK.EQ(Y9,Y$3:Y$10000,1)</f>
        <v>65</v>
      </c>
      <c r="AA9" s="45">
        <f>IFERROR(IF(_xlfn.XLOOKUP(B9,'w4'!$B:$B,'w4'!$G:$G)="--",0,_xlfn.XLOOKUP(B9,'w4'!$B:$B,'w4'!$G:$G)),0)</f>
        <v>1557</v>
      </c>
      <c r="AB9" s="45">
        <f>_xlfn.RANK.EQ(AA9,AA$3:AA$10000,0)</f>
        <v>8</v>
      </c>
      <c r="AC9" s="13">
        <f>IFERROR(_xlfn.XLOOKUP(B9,'w5'!$B:$B,'w5'!$C:$C),0)</f>
        <v>56.6</v>
      </c>
      <c r="AD9" s="12">
        <f>_xlfn.RANK.EQ(AC9,AC$3:AC$10000,0)</f>
        <v>5</v>
      </c>
      <c r="AE9" s="14">
        <f>IFERROR(_xlfn.XLOOKUP(B9,'w5'!$B:$B,'w5'!$F:$F),1)</f>
        <v>0.32083333333333336</v>
      </c>
      <c r="AF9" s="12">
        <f>_xlfn.RANK.EQ(AE9,AE$3:AE$10000,1)</f>
        <v>49</v>
      </c>
      <c r="AG9" s="12">
        <f>IFERROR(IF(_xlfn.XLOOKUP(B9,'w5'!$B:$B,'w5'!$G:$G)="--",0,_xlfn.XLOOKUP(B9,'w5'!$B:$B,'w5'!$G:$G)),0)</f>
        <v>1077</v>
      </c>
      <c r="AH9" s="12">
        <f>_xlfn.RANK.EQ(AG9,AG$3:AG$10000,0)</f>
        <v>14</v>
      </c>
      <c r="AI9" s="51">
        <f>IFERROR(_xlfn.XLOOKUP(B9,'w6'!$B:$B,'w6'!$C:$C),0)</f>
        <v>45.9</v>
      </c>
      <c r="AJ9" s="50">
        <f>_xlfn.RANK.EQ(AI9,AI$3:AI$10000,0)</f>
        <v>7</v>
      </c>
      <c r="AK9" s="52">
        <f>IFERROR(_xlfn.XLOOKUP(B9,'w6'!$B:$B,'w6'!$F:$F),1)</f>
        <v>0.29930555555555555</v>
      </c>
      <c r="AL9" s="50">
        <f>_xlfn.RANK.EQ(AK9,AK$3:AK$10000,1)</f>
        <v>39</v>
      </c>
      <c r="AM9" s="50">
        <f>IFERROR(IF(_xlfn.XLOOKUP(B9,'w6'!$B:$B,'w6'!$G:$G)="--",0,_xlfn.XLOOKUP(B9,'w6'!$B:$B,'w6'!$G:$G)),0)</f>
        <v>804</v>
      </c>
      <c r="AN9" s="50">
        <f>_xlfn.RANK.EQ(AM9,AM$3:AM$10000,0)</f>
        <v>10</v>
      </c>
      <c r="AO9" s="56">
        <f>IFERROR(_xlfn.XLOOKUP(B9,'w7'!$B:$B,'w7'!$C:$C),0)</f>
        <v>55.8</v>
      </c>
      <c r="AP9" s="57">
        <f>_xlfn.RANK.EQ(AO9,AO$3:AO$10000,0)</f>
        <v>8</v>
      </c>
      <c r="AQ9" s="58">
        <f>IFERROR(_xlfn.XLOOKUP(B9,'w7'!$B:$B,'w7'!$F:$F),1)</f>
        <v>0.31041666666666667</v>
      </c>
      <c r="AR9" s="57">
        <f>_xlfn.RANK.EQ(AQ9,AQ$3:AQ$10000,1)</f>
        <v>46</v>
      </c>
      <c r="AS9" s="57">
        <f>IFERROR(IF(_xlfn.XLOOKUP(B9,'w7'!$B:$B,'w7'!$G:$G)="--",0,_xlfn.XLOOKUP(B9,'w7'!$B:$B,'w7'!$G:$G)),0)</f>
        <v>1587</v>
      </c>
      <c r="AT9" s="57">
        <f>_xlfn.RANK.EQ(AS9,AS$3:AS$10000,0)</f>
        <v>6</v>
      </c>
      <c r="AU9" s="62">
        <f>IFERROR(_xlfn.XLOOKUP(B9,'w8'!$B:$B,'w8'!$C:$C),0)</f>
        <v>51.5</v>
      </c>
      <c r="AV9" s="61">
        <f>_xlfn.RANK.EQ(AU9,AU$3:AU$10000,0)</f>
        <v>13</v>
      </c>
      <c r="AW9" s="63">
        <f>IFERROR(_xlfn.XLOOKUP(B9,'w8'!$B:$B,'w8'!$F:$F),1)</f>
        <v>0.31736111111111109</v>
      </c>
      <c r="AX9" s="61">
        <f>_xlfn.RANK.EQ(AW9,AW$3:AW$10000,1)</f>
        <v>54</v>
      </c>
      <c r="AY9" s="61">
        <f>IFERROR(IF(_xlfn.XLOOKUP(B9,'w8'!$B:$B,'w8'!$G:$G)="--",0,_xlfn.XLOOKUP(B9,'w8'!$B:$B,'w8'!$G:$G)),0)</f>
        <v>1125</v>
      </c>
      <c r="AZ9" s="61">
        <f>_xlfn.RANK.EQ(AY9,AY$3:AY$10000,0)</f>
        <v>11</v>
      </c>
      <c r="BA9" s="66">
        <f>IFERROR(_xlfn.XLOOKUP(C9,'w9'!$B:$B,'w9'!$C:$C),0)</f>
        <v>47.7</v>
      </c>
      <c r="BB9" s="67">
        <f>_xlfn.RANK.EQ(BA9,BA$3:BA$10000,0)</f>
        <v>18</v>
      </c>
      <c r="BC9" s="68">
        <f>IFERROR(_xlfn.XLOOKUP(C9,'w9'!$B:$B,'w9'!$F:$F),1)</f>
        <v>0.3347222222222222</v>
      </c>
      <c r="BD9" s="67">
        <f>_xlfn.RANK.EQ(BC9,BC$3:BC$10000,1)</f>
        <v>58</v>
      </c>
      <c r="BE9" s="67">
        <f>IFERROR(IF(_xlfn.XLOOKUP(C9,'w9'!$B:$B,'w9'!$G:$G)="--",0,_xlfn.XLOOKUP(C9,'w9'!$B:$B,'w9'!$G:$G)),0)</f>
        <v>1443</v>
      </c>
      <c r="BF9" s="67">
        <f>_xlfn.RANK.EQ(BE9,BE$3:BE$10000,0)</f>
        <v>5</v>
      </c>
      <c r="BG9" s="72">
        <f>IFERROR(_xlfn.XLOOKUP(B9,'w10'!$B:$B,'w10'!$C:$C),0)</f>
        <v>70.400000000000006</v>
      </c>
      <c r="BH9" s="74">
        <f>_xlfn.RANK.EQ(BG9,BG$3:BG$10000,0)</f>
        <v>3</v>
      </c>
      <c r="BI9" s="75">
        <f>IFERROR(_xlfn.XLOOKUP(B9,'w10'!$B:$B,'w10'!$F:$F),1)</f>
        <v>0.30694444444444446</v>
      </c>
      <c r="BJ9" s="74">
        <f>_xlfn.RANK.EQ(BI9,BI$3:BI$10000,1)</f>
        <v>53</v>
      </c>
      <c r="BK9" s="74">
        <f>IFERROR(IF(_xlfn.XLOOKUP(B9,'w10'!$B:$B,'w10'!$G:$G)="--",0,_xlfn.XLOOKUP(B9,'w10'!$B:$B,'w10'!$G:$G)),0)</f>
        <v>2440</v>
      </c>
      <c r="BL9" s="74">
        <f>_xlfn.RANK.EQ(BK9,BK$3:BK$10000,0)</f>
        <v>3</v>
      </c>
      <c r="BM9" s="78">
        <f>IFERROR(_xlfn.XLOOKUP(B9,'w11'!$B:$B,'w11'!$C:$C),0)</f>
        <v>77.599999999999994</v>
      </c>
      <c r="BN9" s="80">
        <f>_xlfn.RANK.EQ(BM9,BM$3:BM$10000,0)</f>
        <v>3</v>
      </c>
      <c r="BO9" s="81">
        <f>IFERROR(_xlfn.XLOOKUP(B9,'w11'!$B:$B,'w11'!$F:$F),1)</f>
        <v>0.31527777777777777</v>
      </c>
      <c r="BP9" s="80">
        <f>_xlfn.RANK.EQ(BO9,BO$3:BO$10000,1)</f>
        <v>55</v>
      </c>
      <c r="BQ9" s="80">
        <f>IFERROR(IF(_xlfn.XLOOKUP(B9,'w11'!$B:$B,'w11'!$G:$G)="--",0,_xlfn.XLOOKUP(B9,'w11'!$B:$B,'w11'!$G:$G)),0)</f>
        <v>2174</v>
      </c>
      <c r="BR9" s="80">
        <f>_xlfn.RANK.EQ(BQ9,BQ$3:BQ$10000,0)</f>
        <v>3</v>
      </c>
      <c r="BS9" s="83">
        <f>IFERROR(_xlfn.XLOOKUP(B9,'w12'!$B:$B,'w12'!$C:$C),0)</f>
        <v>80.7</v>
      </c>
      <c r="BT9" s="86">
        <f>_xlfn.RANK.EQ(BS9,BS$3:BS$10000,0)</f>
        <v>4</v>
      </c>
      <c r="BU9" s="87">
        <f>IFERROR(_xlfn.XLOOKUP(B9,'w12'!$B:$B,'w12'!$F:$F),1)</f>
        <v>0.31527777777777777</v>
      </c>
      <c r="BV9" s="86">
        <f>_xlfn.RANK.EQ(BU9,BU$3:BU$10000,1)</f>
        <v>56</v>
      </c>
      <c r="BW9" s="86">
        <f>IFERROR(IF(_xlfn.XLOOKUP(B9,'w12'!$B:$B,'w12'!$G:$G)="--",0,_xlfn.XLOOKUP(B9,'w12'!$B:$B,'w12'!$G:$G)),0)</f>
        <v>2221</v>
      </c>
      <c r="BX9" s="86">
        <f>_xlfn.RANK.EQ(BW9,BW$3:BW$10000,0)</f>
        <v>2</v>
      </c>
      <c r="BY9" s="89">
        <f>IFERROR(_xlfn.XLOOKUP(B9,'w13'!$B:$B,'w13'!$C:$C),0)</f>
        <v>25.4</v>
      </c>
      <c r="BZ9" s="92">
        <f>_xlfn.RANK.EQ(BY9,BY$3:BY$10000,0)</f>
        <v>33</v>
      </c>
      <c r="CA9" s="93">
        <f>IFERROR(_xlfn.XLOOKUP(B9,'w13'!$B:$B,'w13'!$F:$F),1)</f>
        <v>0.28541666666666665</v>
      </c>
      <c r="CB9" s="92">
        <f>_xlfn.RANK.EQ(CA9,CA$3:CA$10000,1)</f>
        <v>43</v>
      </c>
      <c r="CC9" s="92">
        <f>IFERROR(IF(_xlfn.XLOOKUP(B9,'w13'!$B:$B,'w13'!$G:$G)="--",0,_xlfn.XLOOKUP(B9,'w13'!$B:$B,'w13'!$G:$G)),0)</f>
        <v>135</v>
      </c>
      <c r="CD9" s="92">
        <f>_xlfn.RANK.EQ(CC9,CC$3:CC$10000,0)</f>
        <v>43</v>
      </c>
      <c r="CE9" s="95">
        <f>IFERROR(_xlfn.XLOOKUP(B9,'w14'!$B:$B,'w14'!$C:$C),0)</f>
        <v>65.8</v>
      </c>
      <c r="CF9" s="98">
        <f>_xlfn.RANK.EQ(CE9,CE$3:CE$10000,0)</f>
        <v>5</v>
      </c>
      <c r="CG9" s="99">
        <f>IFERROR(_xlfn.XLOOKUP(B9,'w14'!$B:$B,'w14'!$F:$F),1)</f>
        <v>0.32708333333333334</v>
      </c>
      <c r="CH9" s="98">
        <f>_xlfn.RANK.EQ(CG9,CG$3:CG$10000,1)</f>
        <v>50</v>
      </c>
      <c r="CI9" s="98">
        <f>IFERROR(IF(_xlfn.XLOOKUP(B9,'w14'!$B:$B,'w14'!$G:$G)="--",0,_xlfn.XLOOKUP(B9,'w14'!$B:$B,'w14'!$G:$G)),0)</f>
        <v>1612</v>
      </c>
      <c r="CJ9" s="98">
        <f>_xlfn.RANK.EQ(CI9,CI$3:CI$10000,0)</f>
        <v>7</v>
      </c>
      <c r="CK9" s="9">
        <f>_xlfn.RANK.EQ(D9,D$3:D$10000,1)</f>
        <v>7</v>
      </c>
      <c r="CL9" s="26" t="s">
        <v>113</v>
      </c>
      <c r="CM9" s="8">
        <f>SUM(E9,K9,Q9,W9,AC9,AI9,AO9,AU9,BA9,BG9,BM9,BS9,BY9,CE9)</f>
        <v>747</v>
      </c>
      <c r="CN9" s="9">
        <f>_xlfn.RANK.EQ(CM9,CM$3:CM$10000)</f>
        <v>7</v>
      </c>
      <c r="CO9" s="15">
        <f>IFERROR(SUM(PRODUCT(E9,G9),PRODUCT(K9,M9),PRODUCT(Q9,S9),PRODUCT(W9,Y9),PRODUCT(AC9,AE9),PRODUCT(AI9,AK9),PRODUCT(AO9,AQ9),PRODUCT(AU9,AW9),PRODUCT(BA9,BC9),PRODUCT(BG9,BI9),PRODUCT(BM9,BO9),PRODUCT(BS9,BU9),PRODUCT(BY9,CA9),PRODUCT(CE9,CG9))/CM9,1)</f>
        <v>0.3190063029897367</v>
      </c>
      <c r="CP9" s="9">
        <f>_xlfn.RANK.EQ(CO9,CO$3:CO$10000,1)</f>
        <v>70</v>
      </c>
      <c r="CQ9" s="9">
        <f>SUM(I9,O9,U9,AA9,AG9,AM9,AS9,AY9,BE9,BK9,BQ9,BW9,CC9,CI9)</f>
        <v>18909</v>
      </c>
      <c r="CR9" s="9">
        <f>_xlfn.RANK.EQ(CQ9,CQ$3:CQ$10000)</f>
        <v>7</v>
      </c>
      <c r="CS9" s="23">
        <f t="shared" si="0"/>
        <v>8</v>
      </c>
      <c r="CT9" s="25">
        <f t="shared" si="1"/>
        <v>34.524999999999999</v>
      </c>
      <c r="CU9" s="24">
        <f>_xlfn.STDEV.S(F9,L9,R9,X9,AD9,AJ9,AP9,AV9,BB9,BH9,BN9,BT9,BZ9,CF9)</f>
        <v>10.67296059732668</v>
      </c>
      <c r="CV9" s="21">
        <f>_xlfn.RANK.EQ(CU9,CU$3:CU$10000,1)</f>
        <v>34</v>
      </c>
      <c r="CW9" s="24">
        <f>_xlfn.STDEV.S(H9,N9,T9,Z9,AF9,AL9,AR9,AX9,BD9,BJ9,BP9,BV9,CB9,CH9)</f>
        <v>12.414100455123206</v>
      </c>
      <c r="CX9" s="21">
        <f>_xlfn.RANK.EQ(CW9,CW$3:CW$10000,1)</f>
        <v>38</v>
      </c>
      <c r="CY9" s="24">
        <f>_xlfn.STDEV.S(J9,P9,V9,AB9,AH9,AN9,AT9,AZ9,BF9,BL9,BR9,BX9,CD9,CJ9)</f>
        <v>14.308992024152252</v>
      </c>
      <c r="CZ9" s="21">
        <f>_xlfn.RANK.EQ(CY9,CY$3:CY$10000,1)</f>
        <v>51</v>
      </c>
      <c r="DA9">
        <f>SUM(COUNTIF(E9,"&gt;0"),COUNTIF(K9,"&gt;0"),COUNTIF(Q9,"&gt;0"),COUNTIF(W9,"&gt;0"),COUNTIF(AC9,"&gt;0"),COUNTIF(AI9,"&gt;0"),COUNTIF(AO9,"&gt;0"),COUNTIF(AU9,"&gt;0"),COUNTIF(BA9,"&gt;0"),COUNTIF(BG9,"&gt;0"),COUNTIF(BM9,"&gt;0"),COUNTIF(BS9,"&gt;0"),COUNTIF(BY9,"&gt;0"),COUNTIF(CE9,"&gt;0"))</f>
        <v>14</v>
      </c>
    </row>
    <row r="10" spans="1:105" x14ac:dyDescent="0.3">
      <c r="B10" t="s">
        <v>42</v>
      </c>
      <c r="C10" s="18" t="s">
        <v>452</v>
      </c>
      <c r="D10" s="4">
        <f>CN10*$CN$1+CP10*$CP$1+CR10*$CR$1</f>
        <v>10.099999999999998</v>
      </c>
      <c r="E10" s="29">
        <f>IFERROR(_xlfn.XLOOKUP(B10,'w1'!$B:$B,'w1'!$C:$C),0)</f>
        <v>22.6</v>
      </c>
      <c r="F10" s="30">
        <f>_xlfn.RANK.EQ(E10,E$3:E$10000,0)</f>
        <v>39</v>
      </c>
      <c r="G10" s="31">
        <f>IFERROR(_xlfn.XLOOKUP(B10,'w1'!$B:$B,'w1'!$F:$F),1)</f>
        <v>0.26458333333333334</v>
      </c>
      <c r="H10" s="30">
        <f>_xlfn.RANK.EQ(G10,G$3:G$10000,1)</f>
        <v>32</v>
      </c>
      <c r="I10" s="30">
        <f>IFERROR(IF(_xlfn.XLOOKUP(B10,'w1'!$B:$B,'w1'!$G:$G)="--",0,_xlfn.XLOOKUP(B10,'w1'!$B:$B,'w1'!$G:$G)),0)</f>
        <v>69</v>
      </c>
      <c r="J10" s="30">
        <f>_xlfn.RANK.EQ(I10,I$3:I$10000,0)</f>
        <v>60</v>
      </c>
      <c r="K10" s="34">
        <f>IFERROR(_xlfn.XLOOKUP(B10,'w2'!$B:$B,'w2'!$C:$C),0)</f>
        <v>45.2</v>
      </c>
      <c r="L10" s="35">
        <f>_xlfn.RANK.EQ(K10,K$3:K$10000,0)</f>
        <v>12</v>
      </c>
      <c r="M10" s="36">
        <f>IFERROR(_xlfn.XLOOKUP(B10,'w2'!$B:$B,'w2'!$F:$F),1)</f>
        <v>0.26805555555555555</v>
      </c>
      <c r="N10" s="35">
        <f>_xlfn.RANK.EQ(M10,M$3:M$10000,1)</f>
        <v>26</v>
      </c>
      <c r="O10" s="35">
        <f>IFERROR(IF(_xlfn.XLOOKUP(B10,'w2'!$B:$B,'w2'!$G:$G)="--",0,_xlfn.XLOOKUP(B10,'w2'!$B:$B,'w2'!$G:$G)),0)</f>
        <v>221</v>
      </c>
      <c r="P10" s="35">
        <f>_xlfn.RANK.EQ(O10,O$3:O$10000,0)</f>
        <v>35</v>
      </c>
      <c r="Q10" s="39">
        <f>IFERROR(_xlfn.XLOOKUP(B10,'w3'!$B:$B,'w3'!$C:$C),0)</f>
        <v>46</v>
      </c>
      <c r="R10" s="40">
        <f>_xlfn.RANK.EQ(Q10,Q$3:Q$10000,0)</f>
        <v>14</v>
      </c>
      <c r="S10" s="41">
        <f>IFERROR(_xlfn.XLOOKUP(B10,'w3'!$B:$B,'w3'!$F:$F),1)</f>
        <v>0.25486111111111109</v>
      </c>
      <c r="T10" s="40">
        <f>_xlfn.RANK.EQ(S10,S$3:S$10000,1)</f>
        <v>26</v>
      </c>
      <c r="U10" s="40">
        <f>IFERROR(IF(_xlfn.XLOOKUP(B10,'w3'!$B:$B,'w3'!$G:$G)="--",0,_xlfn.XLOOKUP(B10,'w3'!$B:$B,'w3'!$G:$G)),0)</f>
        <v>149</v>
      </c>
      <c r="V10" s="40">
        <f>_xlfn.RANK.EQ(U10,U$3:U$10000,0)</f>
        <v>42</v>
      </c>
      <c r="W10" s="44">
        <f>IFERROR(_xlfn.XLOOKUP(B10,'w4'!$B:$B,'w4'!$C:$C),0)</f>
        <v>40.700000000000003</v>
      </c>
      <c r="X10" s="45">
        <f>_xlfn.RANK.EQ(W10,W$3:W$10000,0)</f>
        <v>14</v>
      </c>
      <c r="Y10" s="46">
        <f>IFERROR(_xlfn.XLOOKUP(B10,'w4'!$B:$B,'w4'!$F:$F),1)</f>
        <v>0.24513888888888888</v>
      </c>
      <c r="Z10" s="45">
        <f>_xlfn.RANK.EQ(Y10,Y$3:Y$10000,1)</f>
        <v>19</v>
      </c>
      <c r="AA10" s="45">
        <f>IFERROR(IF(_xlfn.XLOOKUP(B10,'w4'!$B:$B,'w4'!$G:$G)="--",0,_xlfn.XLOOKUP(B10,'w4'!$B:$B,'w4'!$G:$G)),0)</f>
        <v>226</v>
      </c>
      <c r="AB10" s="45">
        <f>_xlfn.RANK.EQ(AA10,AA$3:AA$10000,0)</f>
        <v>34</v>
      </c>
      <c r="AC10" s="13">
        <f>IFERROR(_xlfn.XLOOKUP(B10,'w5'!$B:$B,'w5'!$C:$C),0)</f>
        <v>45.5</v>
      </c>
      <c r="AD10" s="12">
        <f>_xlfn.RANK.EQ(AC10,AC$3:AC$10000,0)</f>
        <v>12</v>
      </c>
      <c r="AE10" s="14">
        <f>IFERROR(_xlfn.XLOOKUP(B10,'w5'!$B:$B,'w5'!$F:$F),1)</f>
        <v>0.25069444444444444</v>
      </c>
      <c r="AF10" s="12">
        <f>_xlfn.RANK.EQ(AE10,AE$3:AE$10000,1)</f>
        <v>19</v>
      </c>
      <c r="AG10" s="12">
        <f>IFERROR(IF(_xlfn.XLOOKUP(B10,'w5'!$B:$B,'w5'!$G:$G)="--",0,_xlfn.XLOOKUP(B10,'w5'!$B:$B,'w5'!$G:$G)),0)</f>
        <v>256</v>
      </c>
      <c r="AH10" s="12">
        <f>_xlfn.RANK.EQ(AG10,AG$3:AG$10000,0)</f>
        <v>39</v>
      </c>
      <c r="AI10" s="51">
        <f>IFERROR(_xlfn.XLOOKUP(B10,'w6'!$B:$B,'w6'!$C:$C),0)</f>
        <v>38.1</v>
      </c>
      <c r="AJ10" s="50">
        <f>_xlfn.RANK.EQ(AI10,AI$3:AI$10000,0)</f>
        <v>12</v>
      </c>
      <c r="AK10" s="52">
        <f>IFERROR(_xlfn.XLOOKUP(B10,'w6'!$B:$B,'w6'!$F:$F),1)</f>
        <v>0.23819444444444443</v>
      </c>
      <c r="AL10" s="50">
        <f>_xlfn.RANK.EQ(AK10,AK$3:AK$10000,1)</f>
        <v>8</v>
      </c>
      <c r="AM10" s="50">
        <f>IFERROR(IF(_xlfn.XLOOKUP(B10,'w6'!$B:$B,'w6'!$G:$G)="--",0,_xlfn.XLOOKUP(B10,'w6'!$B:$B,'w6'!$G:$G)),0)</f>
        <v>156</v>
      </c>
      <c r="AN10" s="50">
        <f>_xlfn.RANK.EQ(AM10,AM$3:AM$10000,0)</f>
        <v>40</v>
      </c>
      <c r="AO10" s="56">
        <f>IFERROR(_xlfn.XLOOKUP(B10,'w7'!$B:$B,'w7'!$C:$C),0)</f>
        <v>56.3</v>
      </c>
      <c r="AP10" s="57">
        <f>_xlfn.RANK.EQ(AO10,AO$3:AO$10000,0)</f>
        <v>7</v>
      </c>
      <c r="AQ10" s="58">
        <f>IFERROR(_xlfn.XLOOKUP(B10,'w7'!$B:$B,'w7'!$F:$F),1)</f>
        <v>0.23055555555555557</v>
      </c>
      <c r="AR10" s="57">
        <f>_xlfn.RANK.EQ(AQ10,AQ$3:AQ$10000,1)</f>
        <v>10</v>
      </c>
      <c r="AS10" s="57">
        <f>IFERROR(IF(_xlfn.XLOOKUP(B10,'w7'!$B:$B,'w7'!$G:$G)="--",0,_xlfn.XLOOKUP(B10,'w7'!$B:$B,'w7'!$G:$G)),0)</f>
        <v>187</v>
      </c>
      <c r="AT10" s="57">
        <f>_xlfn.RANK.EQ(AS10,AS$3:AS$10000,0)</f>
        <v>37</v>
      </c>
      <c r="AU10" s="62">
        <f>IFERROR(_xlfn.XLOOKUP(B10,'w8'!$B:$B,'w8'!$C:$C),0)</f>
        <v>54.6</v>
      </c>
      <c r="AV10" s="61">
        <f>_xlfn.RANK.EQ(AU10,AU$3:AU$10000,0)</f>
        <v>8</v>
      </c>
      <c r="AW10" s="63">
        <f>IFERROR(_xlfn.XLOOKUP(B10,'w8'!$B:$B,'w8'!$F:$F),1)</f>
        <v>0.22569444444444445</v>
      </c>
      <c r="AX10" s="61">
        <f>_xlfn.RANK.EQ(AW10,AW$3:AW$10000,1)</f>
        <v>5</v>
      </c>
      <c r="AY10" s="61">
        <f>IFERROR(IF(_xlfn.XLOOKUP(B10,'w8'!$B:$B,'w8'!$G:$G)="--",0,_xlfn.XLOOKUP(B10,'w8'!$B:$B,'w8'!$G:$G)),0)</f>
        <v>117</v>
      </c>
      <c r="AZ10" s="61">
        <f>_xlfn.RANK.EQ(AY10,AY$3:AY$10000,0)</f>
        <v>51</v>
      </c>
      <c r="BA10" s="66">
        <f>IFERROR(_xlfn.XLOOKUP(C10,'w9'!$B:$B,'w9'!$C:$C),0)</f>
        <v>61.4</v>
      </c>
      <c r="BB10" s="67">
        <f>_xlfn.RANK.EQ(BA10,BA$3:BA$10000,0)</f>
        <v>7</v>
      </c>
      <c r="BC10" s="68">
        <f>IFERROR(_xlfn.XLOOKUP(C10,'w9'!$B:$B,'w9'!$F:$F),1)</f>
        <v>0.23194444444444445</v>
      </c>
      <c r="BD10" s="67">
        <f>_xlfn.RANK.EQ(BC10,BC$3:BC$10000,1)</f>
        <v>8</v>
      </c>
      <c r="BE10" s="67">
        <f>IFERROR(IF(_xlfn.XLOOKUP(C10,'w9'!$B:$B,'w9'!$G:$G)="--",0,_xlfn.XLOOKUP(C10,'w9'!$B:$B,'w9'!$G:$G)),0)</f>
        <v>110</v>
      </c>
      <c r="BF10" s="67">
        <f>_xlfn.RANK.EQ(BE10,BE$3:BE$10000,0)</f>
        <v>60</v>
      </c>
      <c r="BG10" s="72">
        <f>IFERROR(_xlfn.XLOOKUP(B10,'w10'!$B:$B,'w10'!$C:$C),0)</f>
        <v>48.2</v>
      </c>
      <c r="BH10" s="74">
        <f>_xlfn.RANK.EQ(BG10,BG$3:BG$10000,0)</f>
        <v>13</v>
      </c>
      <c r="BI10" s="75">
        <f>IFERROR(_xlfn.XLOOKUP(B10,'w10'!$B:$B,'w10'!$F:$F),1)</f>
        <v>0.23402777777777778</v>
      </c>
      <c r="BJ10" s="74">
        <f>_xlfn.RANK.EQ(BI10,BI$3:BI$10000,1)</f>
        <v>12</v>
      </c>
      <c r="BK10" s="74">
        <f>IFERROR(IF(_xlfn.XLOOKUP(B10,'w10'!$B:$B,'w10'!$G:$G)="--",0,_xlfn.XLOOKUP(B10,'w10'!$B:$B,'w10'!$G:$G)),0)</f>
        <v>124</v>
      </c>
      <c r="BL10" s="74">
        <f>_xlfn.RANK.EQ(BK10,BK$3:BK$10000,0)</f>
        <v>54</v>
      </c>
      <c r="BM10" s="78">
        <f>IFERROR(_xlfn.XLOOKUP(B10,'w11'!$B:$B,'w11'!$C:$C),0)</f>
        <v>43.9</v>
      </c>
      <c r="BN10" s="80">
        <f>_xlfn.RANK.EQ(BM10,BM$3:BM$10000,0)</f>
        <v>13</v>
      </c>
      <c r="BO10" s="81">
        <f>IFERROR(_xlfn.XLOOKUP(B10,'w11'!$B:$B,'w11'!$F:$F),1)</f>
        <v>0.23541666666666666</v>
      </c>
      <c r="BP10" s="80">
        <f>_xlfn.RANK.EQ(BO10,BO$3:BO$10000,1)</f>
        <v>15</v>
      </c>
      <c r="BQ10" s="80">
        <f>IFERROR(IF(_xlfn.XLOOKUP(B10,'w11'!$B:$B,'w11'!$G:$G)="--",0,_xlfn.XLOOKUP(B10,'w11'!$B:$B,'w11'!$G:$G)),0)</f>
        <v>157</v>
      </c>
      <c r="BR10" s="80">
        <f>_xlfn.RANK.EQ(BQ10,BQ$3:BQ$10000,0)</f>
        <v>45</v>
      </c>
      <c r="BS10" s="83">
        <f>IFERROR(_xlfn.XLOOKUP(B10,'w12'!$B:$B,'w12'!$C:$C),0)</f>
        <v>46.3</v>
      </c>
      <c r="BT10" s="86">
        <f>_xlfn.RANK.EQ(BS10,BS$3:BS$10000,0)</f>
        <v>9</v>
      </c>
      <c r="BU10" s="87">
        <f>IFERROR(_xlfn.XLOOKUP(B10,'w12'!$B:$B,'w12'!$F:$F),1)</f>
        <v>0.22777777777777777</v>
      </c>
      <c r="BV10" s="86">
        <f>_xlfn.RANK.EQ(BU10,BU$3:BU$10000,1)</f>
        <v>7</v>
      </c>
      <c r="BW10" s="86">
        <f>IFERROR(IF(_xlfn.XLOOKUP(B10,'w12'!$B:$B,'w12'!$G:$G)="--",0,_xlfn.XLOOKUP(B10,'w12'!$B:$B,'w12'!$G:$G)),0)</f>
        <v>123</v>
      </c>
      <c r="BX10" s="86">
        <f>_xlfn.RANK.EQ(BW10,BW$3:BW$10000,0)</f>
        <v>52</v>
      </c>
      <c r="BY10" s="89">
        <f>IFERROR(_xlfn.XLOOKUP(B10,'w13'!$B:$B,'w13'!$C:$C),0)</f>
        <v>65.2</v>
      </c>
      <c r="BZ10" s="92">
        <f>_xlfn.RANK.EQ(BY10,BY$3:BY$10000,0)</f>
        <v>6</v>
      </c>
      <c r="CA10" s="93">
        <f>IFERROR(_xlfn.XLOOKUP(B10,'w13'!$B:$B,'w13'!$F:$F),1)</f>
        <v>0.22430555555555556</v>
      </c>
      <c r="CB10" s="92">
        <f>_xlfn.RANK.EQ(CA10,CA$3:CA$10000,1)</f>
        <v>8</v>
      </c>
      <c r="CC10" s="92">
        <f>IFERROR(IF(_xlfn.XLOOKUP(B10,'w13'!$B:$B,'w13'!$G:$G)="--",0,_xlfn.XLOOKUP(B10,'w13'!$B:$B,'w13'!$G:$G)),0)</f>
        <v>93</v>
      </c>
      <c r="CD10" s="92">
        <f>_xlfn.RANK.EQ(CC10,CC$3:CC$10000,0)</f>
        <v>53</v>
      </c>
      <c r="CE10" s="95">
        <f>IFERROR(_xlfn.XLOOKUP(B10,'w14'!$B:$B,'w14'!$C:$C),0)</f>
        <v>57.6</v>
      </c>
      <c r="CF10" s="98">
        <f>_xlfn.RANK.EQ(CE10,CE$3:CE$10000,0)</f>
        <v>9</v>
      </c>
      <c r="CG10" s="99">
        <f>IFERROR(_xlfn.XLOOKUP(B10,'w14'!$B:$B,'w14'!$F:$F),1)</f>
        <v>0.22013888888888888</v>
      </c>
      <c r="CH10" s="98">
        <f>_xlfn.RANK.EQ(CG10,CG$3:CG$10000,1)</f>
        <v>4</v>
      </c>
      <c r="CI10" s="98">
        <f>IFERROR(IF(_xlfn.XLOOKUP(B10,'w14'!$B:$B,'w14'!$G:$G)="--",0,_xlfn.XLOOKUP(B10,'w14'!$B:$B,'w14'!$G:$G)),0)</f>
        <v>52</v>
      </c>
      <c r="CJ10" s="98">
        <f>_xlfn.RANK.EQ(CI10,CI$3:CI$10000,0)</f>
        <v>58</v>
      </c>
      <c r="CK10" s="9">
        <f>_xlfn.RANK.EQ(D10,D$3:D$10000,1)</f>
        <v>8</v>
      </c>
      <c r="CL10" s="26" t="s">
        <v>164</v>
      </c>
      <c r="CM10" s="8">
        <f>SUM(E10,K10,Q10,W10,AC10,AI10,AO10,AU10,BA10,BG10,BM10,BS10,BY10,CE10)</f>
        <v>671.6</v>
      </c>
      <c r="CN10" s="9">
        <f>_xlfn.RANK.EQ(CM10,CM$3:CM$10000)</f>
        <v>9</v>
      </c>
      <c r="CO10" s="15">
        <f>IFERROR(SUM(PRODUCT(E10,G10),PRODUCT(K10,M10),PRODUCT(Q10,S10),PRODUCT(W10,Y10),PRODUCT(AC10,AE10),PRODUCT(AI10,AK10),PRODUCT(AO10,AQ10),PRODUCT(AU10,AW10),PRODUCT(BA10,BC10),PRODUCT(BG10,BI10),PRODUCT(BM10,BO10),PRODUCT(BS10,BU10),PRODUCT(BY10,CA10),PRODUCT(CE10,CG10))/CM10,1)</f>
        <v>0.2371778009397128</v>
      </c>
      <c r="CP10" s="9">
        <f>_xlfn.RANK.EQ(CO10,CO$3:CO$10000,1)</f>
        <v>9</v>
      </c>
      <c r="CQ10" s="9">
        <f>SUM(I10,O10,U10,AA10,AG10,AM10,AS10,AY10,BE10,BK10,BQ10,BW10,CC10,CI10)</f>
        <v>2040</v>
      </c>
      <c r="CR10" s="9">
        <f>_xlfn.RANK.EQ(CQ10,CQ$3:CQ$10000)</f>
        <v>53</v>
      </c>
      <c r="CS10" s="23">
        <f t="shared" si="0"/>
        <v>5</v>
      </c>
      <c r="CT10" s="25">
        <f t="shared" si="1"/>
        <v>25.75</v>
      </c>
      <c r="CU10" s="24">
        <f>_xlfn.STDEV.S(F10,L10,R10,X10,AD10,AJ10,AP10,AV10,BB10,BH10,BN10,BT10,BZ10,CF10)</f>
        <v>8.1121940501748551</v>
      </c>
      <c r="CV10" s="21">
        <f>_xlfn.RANK.EQ(CU10,CU$3:CU$10000,1)</f>
        <v>26</v>
      </c>
      <c r="CW10" s="24">
        <f>_xlfn.STDEV.S(H10,N10,T10,Z10,AF10,AL10,AR10,AX10,BD10,BJ10,BP10,BV10,CB10,CH10)</f>
        <v>8.8594024058629923</v>
      </c>
      <c r="CX10" s="21">
        <f>_xlfn.RANK.EQ(CW10,CW$3:CW$10000,1)</f>
        <v>19</v>
      </c>
      <c r="CY10" s="24">
        <f>_xlfn.STDEV.S(J10,P10,V10,AB10,AH10,AN10,AT10,AZ10,BF10,BL10,BR10,BX10,CD10,CJ10)</f>
        <v>9.3632435443242485</v>
      </c>
      <c r="CZ10" s="21">
        <f>_xlfn.RANK.EQ(CY10,CY$3:CY$10000,1)</f>
        <v>23</v>
      </c>
      <c r="DA10">
        <f>SUM(COUNTIF(E10,"&gt;0"),COUNTIF(K10,"&gt;0"),COUNTIF(Q10,"&gt;0"),COUNTIF(W10,"&gt;0"),COUNTIF(AC10,"&gt;0"),COUNTIF(AI10,"&gt;0"),COUNTIF(AO10,"&gt;0"),COUNTIF(AU10,"&gt;0"),COUNTIF(BA10,"&gt;0"),COUNTIF(BG10,"&gt;0"),COUNTIF(BM10,"&gt;0"),COUNTIF(BS10,"&gt;0"),COUNTIF(BY10,"&gt;0"),COUNTIF(CE10,"&gt;0"))</f>
        <v>14</v>
      </c>
    </row>
    <row r="11" spans="1:105" x14ac:dyDescent="0.3">
      <c r="B11" t="s">
        <v>23</v>
      </c>
      <c r="C11" s="18" t="s">
        <v>103</v>
      </c>
      <c r="D11" s="4">
        <f>CN11*$CN$1+CP11*$CP$1+CR11*$CR$1</f>
        <v>10.174999999999999</v>
      </c>
      <c r="E11" s="29">
        <f>IFERROR(_xlfn.XLOOKUP(B11,'w1'!$B:$B,'w1'!$C:$C),0)</f>
        <v>38.299999999999997</v>
      </c>
      <c r="F11" s="30">
        <f>_xlfn.RANK.EQ(E11,E$3:E$10000,0)</f>
        <v>20</v>
      </c>
      <c r="G11" s="31">
        <f>IFERROR(_xlfn.XLOOKUP(B11,'w1'!$B:$B,'w1'!$F:$F),1)</f>
        <v>0.26041666666666669</v>
      </c>
      <c r="H11" s="30">
        <f>_xlfn.RANK.EQ(G11,G$3:G$10000,1)</f>
        <v>27</v>
      </c>
      <c r="I11" s="30">
        <f>IFERROR(IF(_xlfn.XLOOKUP(B11,'w1'!$B:$B,'w1'!$G:$G)="--",0,_xlfn.XLOOKUP(B11,'w1'!$B:$B,'w1'!$G:$G)),0)</f>
        <v>530</v>
      </c>
      <c r="J11" s="30">
        <f>_xlfn.RANK.EQ(I11,I$3:I$10000,0)</f>
        <v>17</v>
      </c>
      <c r="K11" s="34">
        <f>IFERROR(_xlfn.XLOOKUP(B11,'w2'!$B:$B,'w2'!$C:$C),0)</f>
        <v>49.8</v>
      </c>
      <c r="L11" s="35">
        <f>_xlfn.RANK.EQ(K11,K$3:K$10000,0)</f>
        <v>9</v>
      </c>
      <c r="M11" s="36">
        <f>IFERROR(_xlfn.XLOOKUP(B11,'w2'!$B:$B,'w2'!$F:$F),1)</f>
        <v>0.28055555555555556</v>
      </c>
      <c r="N11" s="35">
        <f>_xlfn.RANK.EQ(M11,M$3:M$10000,1)</f>
        <v>38</v>
      </c>
      <c r="O11" s="35">
        <f>IFERROR(IF(_xlfn.XLOOKUP(B11,'w2'!$B:$B,'w2'!$G:$G)="--",0,_xlfn.XLOOKUP(B11,'w2'!$B:$B,'w2'!$G:$G)),0)</f>
        <v>941</v>
      </c>
      <c r="P11" s="35">
        <f>_xlfn.RANK.EQ(O11,O$3:O$10000,0)</f>
        <v>8</v>
      </c>
      <c r="Q11" s="39">
        <f>IFERROR(_xlfn.XLOOKUP(B11,'w3'!$B:$B,'w3'!$C:$C),0)</f>
        <v>294.60000000000002</v>
      </c>
      <c r="R11" s="40">
        <f>_xlfn.RANK.EQ(Q11,Q$3:Q$10000,0)</f>
        <v>1</v>
      </c>
      <c r="S11" s="41">
        <f>IFERROR(_xlfn.XLOOKUP(B11,'w3'!$B:$B,'w3'!$F:$F),1)</f>
        <v>0.48819444444444443</v>
      </c>
      <c r="T11" s="40">
        <f>_xlfn.RANK.EQ(S11,S$3:S$10000,1)</f>
        <v>79</v>
      </c>
      <c r="U11" s="40">
        <f>IFERROR(IF(_xlfn.XLOOKUP(B11,'w3'!$B:$B,'w3'!$G:$G)="--",0,_xlfn.XLOOKUP(B11,'w3'!$B:$B,'w3'!$G:$G)),0)</f>
        <v>8175</v>
      </c>
      <c r="V11" s="40">
        <f>_xlfn.RANK.EQ(U11,U$3:U$10000,0)</f>
        <v>1</v>
      </c>
      <c r="W11" s="44">
        <f>IFERROR(_xlfn.XLOOKUP(B11,'w4'!$B:$B,'w4'!$C:$C),0)</f>
        <v>25.3</v>
      </c>
      <c r="X11" s="45">
        <f>_xlfn.RANK.EQ(W11,W$3:W$10000,0)</f>
        <v>35</v>
      </c>
      <c r="Y11" s="46">
        <f>IFERROR(_xlfn.XLOOKUP(B11,'w4'!$B:$B,'w4'!$F:$F),1)</f>
        <v>0.27083333333333331</v>
      </c>
      <c r="Z11" s="45">
        <f>_xlfn.RANK.EQ(Y11,Y$3:Y$10000,1)</f>
        <v>38</v>
      </c>
      <c r="AA11" s="45">
        <f>IFERROR(IF(_xlfn.XLOOKUP(B11,'w4'!$B:$B,'w4'!$G:$G)="--",0,_xlfn.XLOOKUP(B11,'w4'!$B:$B,'w4'!$G:$G)),0)</f>
        <v>329</v>
      </c>
      <c r="AB11" s="45">
        <f>_xlfn.RANK.EQ(AA11,AA$3:AA$10000,0)</f>
        <v>24</v>
      </c>
      <c r="AC11" s="13">
        <f>IFERROR(_xlfn.XLOOKUP(B11,'w5'!$B:$B,'w5'!$C:$C),0)</f>
        <v>23.3</v>
      </c>
      <c r="AD11" s="12">
        <f>_xlfn.RANK.EQ(AC11,AC$3:AC$10000,0)</f>
        <v>47</v>
      </c>
      <c r="AE11" s="14">
        <f>IFERROR(_xlfn.XLOOKUP(B11,'w5'!$B:$B,'w5'!$F:$F),1)</f>
        <v>0.32083333333333336</v>
      </c>
      <c r="AF11" s="12">
        <f>_xlfn.RANK.EQ(AE11,AE$3:AE$10000,1)</f>
        <v>49</v>
      </c>
      <c r="AG11" s="12">
        <f>IFERROR(IF(_xlfn.XLOOKUP(B11,'w5'!$B:$B,'w5'!$G:$G)="--",0,_xlfn.XLOOKUP(B11,'w5'!$B:$B,'w5'!$G:$G)),0)</f>
        <v>595</v>
      </c>
      <c r="AH11" s="12">
        <f>_xlfn.RANK.EQ(AG11,AG$3:AG$10000,0)</f>
        <v>23</v>
      </c>
      <c r="AI11" s="51">
        <f>IFERROR(_xlfn.XLOOKUP(B11,'w6'!$B:$B,'w6'!$C:$C),0)</f>
        <v>30.2</v>
      </c>
      <c r="AJ11" s="50">
        <f>_xlfn.RANK.EQ(AI11,AI$3:AI$10000,0)</f>
        <v>18</v>
      </c>
      <c r="AK11" s="52">
        <f>IFERROR(_xlfn.XLOOKUP(B11,'w6'!$B:$B,'w6'!$F:$F),1)</f>
        <v>0.31944444444444442</v>
      </c>
      <c r="AL11" s="50">
        <f>_xlfn.RANK.EQ(AK11,AK$3:AK$10000,1)</f>
        <v>44</v>
      </c>
      <c r="AM11" s="50">
        <f>IFERROR(IF(_xlfn.XLOOKUP(B11,'w6'!$B:$B,'w6'!$G:$G)="--",0,_xlfn.XLOOKUP(B11,'w6'!$B:$B,'w6'!$G:$G)),0)</f>
        <v>800</v>
      </c>
      <c r="AN11" s="50">
        <f>_xlfn.RANK.EQ(AM11,AM$3:AM$10000,0)</f>
        <v>11</v>
      </c>
      <c r="AO11" s="56">
        <f>IFERROR(_xlfn.XLOOKUP(B11,'w7'!$B:$B,'w7'!$C:$C),0)</f>
        <v>49.9</v>
      </c>
      <c r="AP11" s="57">
        <f>_xlfn.RANK.EQ(AO11,AO$3:AO$10000,0)</f>
        <v>9</v>
      </c>
      <c r="AQ11" s="58">
        <f>IFERROR(_xlfn.XLOOKUP(B11,'w7'!$B:$B,'w7'!$F:$F),1)</f>
        <v>0.29375000000000001</v>
      </c>
      <c r="AR11" s="57">
        <f>_xlfn.RANK.EQ(AQ11,AQ$3:AQ$10000,1)</f>
        <v>40</v>
      </c>
      <c r="AS11" s="57">
        <f>IFERROR(IF(_xlfn.XLOOKUP(B11,'w7'!$B:$B,'w7'!$G:$G)="--",0,_xlfn.XLOOKUP(B11,'w7'!$B:$B,'w7'!$G:$G)),0)</f>
        <v>732</v>
      </c>
      <c r="AT11" s="57">
        <f>_xlfn.RANK.EQ(AS11,AS$3:AS$10000,0)</f>
        <v>18</v>
      </c>
      <c r="AU11" s="62">
        <f>IFERROR(_xlfn.XLOOKUP(B11,'w8'!$B:$B,'w8'!$C:$C),0)</f>
        <v>38.299999999999997</v>
      </c>
      <c r="AV11" s="61">
        <f>_xlfn.RANK.EQ(AU11,AU$3:AU$10000,0)</f>
        <v>23</v>
      </c>
      <c r="AW11" s="63">
        <f>IFERROR(_xlfn.XLOOKUP(B11,'w8'!$B:$B,'w8'!$F:$F),1)</f>
        <v>0.31458333333333333</v>
      </c>
      <c r="AX11" s="61">
        <f>_xlfn.RANK.EQ(AW11,AW$3:AW$10000,1)</f>
        <v>53</v>
      </c>
      <c r="AY11" s="61">
        <f>IFERROR(IF(_xlfn.XLOOKUP(B11,'w8'!$B:$B,'w8'!$G:$G)="--",0,_xlfn.XLOOKUP(B11,'w8'!$B:$B,'w8'!$G:$G)),0)</f>
        <v>658</v>
      </c>
      <c r="AZ11" s="61">
        <f>_xlfn.RANK.EQ(AY11,AY$3:AY$10000,0)</f>
        <v>18</v>
      </c>
      <c r="BA11" s="66">
        <f>IFERROR(_xlfn.XLOOKUP(C11,'w9'!$B:$B,'w9'!$C:$C),0)</f>
        <v>71.900000000000006</v>
      </c>
      <c r="BB11" s="67">
        <f>_xlfn.RANK.EQ(BA11,BA$3:BA$10000,0)</f>
        <v>4</v>
      </c>
      <c r="BC11" s="68">
        <f>IFERROR(_xlfn.XLOOKUP(C11,'w9'!$B:$B,'w9'!$F:$F),1)</f>
        <v>0.29791666666666666</v>
      </c>
      <c r="BD11" s="67">
        <f>_xlfn.RANK.EQ(BC11,BC$3:BC$10000,1)</f>
        <v>37</v>
      </c>
      <c r="BE11" s="67">
        <f>IFERROR(IF(_xlfn.XLOOKUP(C11,'w9'!$B:$B,'w9'!$G:$G)="--",0,_xlfn.XLOOKUP(C11,'w9'!$B:$B,'w9'!$G:$G)),0)</f>
        <v>1017</v>
      </c>
      <c r="BF11" s="67">
        <f>_xlfn.RANK.EQ(BE11,BE$3:BE$10000,0)</f>
        <v>7</v>
      </c>
      <c r="BG11" s="72">
        <f>IFERROR(_xlfn.XLOOKUP(B11,'w10'!$B:$B,'w10'!$C:$C),0)</f>
        <v>35.200000000000003</v>
      </c>
      <c r="BH11" s="74">
        <f>_xlfn.RANK.EQ(BG11,BG$3:BG$10000,0)</f>
        <v>24</v>
      </c>
      <c r="BI11" s="75">
        <f>IFERROR(_xlfn.XLOOKUP(B11,'w10'!$B:$B,'w10'!$F:$F),1)</f>
        <v>0.29166666666666669</v>
      </c>
      <c r="BJ11" s="74">
        <f>_xlfn.RANK.EQ(BI11,BI$3:BI$10000,1)</f>
        <v>47</v>
      </c>
      <c r="BK11" s="74">
        <f>IFERROR(IF(_xlfn.XLOOKUP(B11,'w10'!$B:$B,'w10'!$G:$G)="--",0,_xlfn.XLOOKUP(B11,'w10'!$B:$B,'w10'!$G:$G)),0)</f>
        <v>711</v>
      </c>
      <c r="BL11" s="74">
        <f>_xlfn.RANK.EQ(BK11,BK$3:BK$10000,0)</f>
        <v>17</v>
      </c>
      <c r="BM11" s="78">
        <f>IFERROR(_xlfn.XLOOKUP(B11,'w11'!$B:$B,'w11'!$C:$C),0)</f>
        <v>33.6</v>
      </c>
      <c r="BN11" s="80">
        <f>_xlfn.RANK.EQ(BM11,BM$3:BM$10000,0)</f>
        <v>24</v>
      </c>
      <c r="BO11" s="81">
        <f>IFERROR(_xlfn.XLOOKUP(B11,'w11'!$B:$B,'w11'!$F:$F),1)</f>
        <v>0.30486111111111114</v>
      </c>
      <c r="BP11" s="80">
        <f>_xlfn.RANK.EQ(BO11,BO$3:BO$10000,1)</f>
        <v>52</v>
      </c>
      <c r="BQ11" s="80">
        <f>IFERROR(IF(_xlfn.XLOOKUP(B11,'w11'!$B:$B,'w11'!$G:$G)="--",0,_xlfn.XLOOKUP(B11,'w11'!$B:$B,'w11'!$G:$G)),0)</f>
        <v>800</v>
      </c>
      <c r="BR11" s="80">
        <f>_xlfn.RANK.EQ(BQ11,BQ$3:BQ$10000,0)</f>
        <v>9</v>
      </c>
      <c r="BS11" s="83">
        <f>IFERROR(_xlfn.XLOOKUP(B11,'w12'!$B:$B,'w12'!$C:$C),0)</f>
        <v>42.7</v>
      </c>
      <c r="BT11" s="86">
        <f>_xlfn.RANK.EQ(BS11,BS$3:BS$10000,0)</f>
        <v>11</v>
      </c>
      <c r="BU11" s="87">
        <f>IFERROR(_xlfn.XLOOKUP(B11,'w12'!$B:$B,'w12'!$F:$F),1)</f>
        <v>0.33402777777777776</v>
      </c>
      <c r="BV11" s="86">
        <f>_xlfn.RANK.EQ(BU11,BU$3:BU$10000,1)</f>
        <v>64</v>
      </c>
      <c r="BW11" s="86">
        <f>IFERROR(IF(_xlfn.XLOOKUP(B11,'w12'!$B:$B,'w12'!$G:$G)="--",0,_xlfn.XLOOKUP(B11,'w12'!$B:$B,'w12'!$G:$G)),0)</f>
        <v>713</v>
      </c>
      <c r="BX11" s="86">
        <f>_xlfn.RANK.EQ(BW11,BW$3:BW$10000,0)</f>
        <v>8</v>
      </c>
      <c r="BY11" s="89">
        <f>IFERROR(_xlfn.XLOOKUP(B11,'w13'!$B:$B,'w13'!$C:$C),0)</f>
        <v>0</v>
      </c>
      <c r="BZ11" s="92">
        <f>_xlfn.RANK.EQ(BY11,BY$3:BY$10000,0)</f>
        <v>76</v>
      </c>
      <c r="CA11" s="93">
        <f>IFERROR(_xlfn.XLOOKUP(B11,'w13'!$B:$B,'w13'!$F:$F),1)</f>
        <v>1</v>
      </c>
      <c r="CB11" s="92">
        <f>_xlfn.RANK.EQ(CA11,CA$3:CA$10000,1)</f>
        <v>76</v>
      </c>
      <c r="CC11" s="92">
        <f>IFERROR(IF(_xlfn.XLOOKUP(B11,'w13'!$B:$B,'w13'!$G:$G)="--",0,_xlfn.XLOOKUP(B11,'w13'!$B:$B,'w13'!$G:$G)),0)</f>
        <v>0</v>
      </c>
      <c r="CD11" s="92">
        <f>_xlfn.RANK.EQ(CC11,CC$3:CC$10000,0)</f>
        <v>76</v>
      </c>
      <c r="CE11" s="95">
        <f>IFERROR(_xlfn.XLOOKUP(B11,'w14'!$B:$B,'w14'!$C:$C),0)</f>
        <v>10.1</v>
      </c>
      <c r="CF11" s="98">
        <f>_xlfn.RANK.EQ(CE11,CE$3:CE$10000,0)</f>
        <v>57</v>
      </c>
      <c r="CG11" s="99">
        <f>IFERROR(_xlfn.XLOOKUP(B11,'w14'!$B:$B,'w14'!$F:$F),1)</f>
        <v>0.26527777777777778</v>
      </c>
      <c r="CH11" s="98">
        <f>_xlfn.RANK.EQ(CG11,CG$3:CG$10000,1)</f>
        <v>25</v>
      </c>
      <c r="CI11" s="98">
        <f>IFERROR(IF(_xlfn.XLOOKUP(B11,'w14'!$B:$B,'w14'!$G:$G)="--",0,_xlfn.XLOOKUP(B11,'w14'!$B:$B,'w14'!$G:$G)),0)</f>
        <v>3</v>
      </c>
      <c r="CJ11" s="98">
        <f>_xlfn.RANK.EQ(CI11,CI$3:CI$10000,0)</f>
        <v>64</v>
      </c>
      <c r="CK11" s="9">
        <f>_xlfn.RANK.EQ(D11,D$3:D$10000,1)</f>
        <v>9</v>
      </c>
      <c r="CL11" s="26" t="s">
        <v>103</v>
      </c>
      <c r="CM11" s="8">
        <f>SUM(E11,K11,Q11,W11,AC11,AI11,AO11,AU11,BA11,BG11,BM11,BS11,BY11,CE11)</f>
        <v>743.20000000000016</v>
      </c>
      <c r="CN11" s="9">
        <f>_xlfn.RANK.EQ(CM11,CM$3:CM$10000)</f>
        <v>8</v>
      </c>
      <c r="CO11" s="15">
        <f>IFERROR(SUM(PRODUCT(E11,G11),PRODUCT(K11,M11),PRODUCT(Q11,S11),PRODUCT(W11,Y11),PRODUCT(AC11,AE11),PRODUCT(AI11,AK11),PRODUCT(AO11,AQ11),PRODUCT(AU11,AW11),PRODUCT(BA11,BC11),PRODUCT(BG11,BI11),PRODUCT(BM11,BO11),PRODUCT(BS11,BU11),PRODUCT(BY11,CA11),PRODUCT(CE11,CG11))/CM11,1)</f>
        <v>0.37314531380815685</v>
      </c>
      <c r="CP11" s="9">
        <f>_xlfn.RANK.EQ(CO11,CO$3:CO$10000,1)</f>
        <v>95</v>
      </c>
      <c r="CQ11" s="9">
        <f>SUM(I11,O11,U11,AA11,AG11,AM11,AS11,AY11,BE11,BK11,BQ11,BW11,CC11,CI11)</f>
        <v>16004</v>
      </c>
      <c r="CR11" s="9">
        <f>_xlfn.RANK.EQ(CQ11,CQ$3:CQ$10000)</f>
        <v>8</v>
      </c>
      <c r="CS11" s="23">
        <f t="shared" si="0"/>
        <v>33</v>
      </c>
      <c r="CT11" s="25">
        <f t="shared" si="1"/>
        <v>91.3</v>
      </c>
      <c r="CU11" s="24">
        <f>_xlfn.STDEV.S(F11,L11,R11,X11,AD11,AJ11,AP11,AV11,BB11,BH11,BN11,BT11,BZ11,CF11)</f>
        <v>21.500319445620715</v>
      </c>
      <c r="CV11" s="21">
        <f>_xlfn.RANK.EQ(CU11,CU$3:CU$10000,1)</f>
        <v>92</v>
      </c>
      <c r="CW11" s="24">
        <f>_xlfn.STDEV.S(H11,N11,T11,Z11,AF11,AL11,AR11,AX11,BD11,BJ11,BP11,BV11,CB11,CH11)</f>
        <v>16.206259813505923</v>
      </c>
      <c r="CX11" s="21">
        <f>_xlfn.RANK.EQ(CW11,CW$3:CW$10000,1)</f>
        <v>60</v>
      </c>
      <c r="CY11" s="24">
        <f>_xlfn.STDEV.S(J11,P11,V11,AB11,AH11,AN11,AT11,AZ11,BF11,BL11,BR11,BX11,CD11,CJ11)</f>
        <v>21.682144373086917</v>
      </c>
      <c r="CZ11" s="21">
        <f>_xlfn.RANK.EQ(CY11,CY$3:CY$10000,1)</f>
        <v>96</v>
      </c>
      <c r="DA11">
        <f>SUM(COUNTIF(E11,"&gt;0"),COUNTIF(K11,"&gt;0"),COUNTIF(Q11,"&gt;0"),COUNTIF(W11,"&gt;0"),COUNTIF(AC11,"&gt;0"),COUNTIF(AI11,"&gt;0"),COUNTIF(AO11,"&gt;0"),COUNTIF(AU11,"&gt;0"),COUNTIF(BA11,"&gt;0"),COUNTIF(BG11,"&gt;0"),COUNTIF(BM11,"&gt;0"),COUNTIF(BS11,"&gt;0"),COUNTIF(BY11,"&gt;0"),COUNTIF(CE11,"&gt;0"))</f>
        <v>13</v>
      </c>
    </row>
    <row r="12" spans="1:105" x14ac:dyDescent="0.3">
      <c r="B12" t="s">
        <v>8</v>
      </c>
      <c r="C12" s="18" t="s">
        <v>90</v>
      </c>
      <c r="D12" s="4">
        <f>CN12*$CN$1+CP12*$CP$1+CR12*$CR$1</f>
        <v>10.6</v>
      </c>
      <c r="E12" s="29">
        <f>IFERROR(_xlfn.XLOOKUP(B12,'w1'!$B:$B,'w1'!$C:$C),0)</f>
        <v>60.4</v>
      </c>
      <c r="F12" s="30">
        <f>_xlfn.RANK.EQ(E12,E$3:E$10000,0)</f>
        <v>5</v>
      </c>
      <c r="G12" s="31">
        <f>IFERROR(_xlfn.XLOOKUP(B12,'w1'!$B:$B,'w1'!$F:$F),1)</f>
        <v>0.19166666666666668</v>
      </c>
      <c r="H12" s="30">
        <f>_xlfn.RANK.EQ(G12,G$3:G$10000,1)</f>
        <v>1</v>
      </c>
      <c r="I12" s="30">
        <f>IFERROR(IF(_xlfn.XLOOKUP(B12,'w1'!$B:$B,'w1'!$G:$G)="--",0,_xlfn.XLOOKUP(B12,'w1'!$B:$B,'w1'!$G:$G)),0)</f>
        <v>187</v>
      </c>
      <c r="J12" s="30">
        <f>_xlfn.RANK.EQ(I12,I$3:I$10000,0)</f>
        <v>46</v>
      </c>
      <c r="K12" s="34">
        <f>IFERROR(_xlfn.XLOOKUP(B12,'w2'!$B:$B,'w2'!$C:$C),0)</f>
        <v>36.9</v>
      </c>
      <c r="L12" s="35">
        <f>_xlfn.RANK.EQ(K12,K$3:K$10000,0)</f>
        <v>18</v>
      </c>
      <c r="M12" s="36">
        <f>IFERROR(_xlfn.XLOOKUP(B12,'w2'!$B:$B,'w2'!$F:$F),1)</f>
        <v>0.1986111111111111</v>
      </c>
      <c r="N12" s="35">
        <f>_xlfn.RANK.EQ(M12,M$3:M$10000,1)</f>
        <v>1</v>
      </c>
      <c r="O12" s="35">
        <f>IFERROR(IF(_xlfn.XLOOKUP(B12,'w2'!$B:$B,'w2'!$G:$G)="--",0,_xlfn.XLOOKUP(B12,'w2'!$B:$B,'w2'!$G:$G)),0)</f>
        <v>220</v>
      </c>
      <c r="P12" s="35">
        <f>_xlfn.RANK.EQ(O12,O$3:O$10000,0)</f>
        <v>36</v>
      </c>
      <c r="Q12" s="39">
        <f>IFERROR(_xlfn.XLOOKUP(B12,'w3'!$B:$B,'w3'!$C:$C),0)</f>
        <v>59.6</v>
      </c>
      <c r="R12" s="40">
        <f>_xlfn.RANK.EQ(Q12,Q$3:Q$10000,0)</f>
        <v>8</v>
      </c>
      <c r="S12" s="41">
        <f>IFERROR(_xlfn.XLOOKUP(B12,'w3'!$B:$B,'w3'!$F:$F),1)</f>
        <v>0.2048611111111111</v>
      </c>
      <c r="T12" s="40">
        <f>_xlfn.RANK.EQ(S12,S$3:S$10000,1)</f>
        <v>1</v>
      </c>
      <c r="U12" s="40">
        <f>IFERROR(IF(_xlfn.XLOOKUP(B12,'w3'!$B:$B,'w3'!$G:$G)="--",0,_xlfn.XLOOKUP(B12,'w3'!$B:$B,'w3'!$G:$G)),0)</f>
        <v>181</v>
      </c>
      <c r="V12" s="40">
        <f>_xlfn.RANK.EQ(U12,U$3:U$10000,0)</f>
        <v>37</v>
      </c>
      <c r="W12" s="44">
        <f>IFERROR(_xlfn.XLOOKUP(B12,'w4'!$B:$B,'w4'!$C:$C),0)</f>
        <v>54.1</v>
      </c>
      <c r="X12" s="45">
        <f>_xlfn.RANK.EQ(W12,W$3:W$10000,0)</f>
        <v>9</v>
      </c>
      <c r="Y12" s="46">
        <f>IFERROR(_xlfn.XLOOKUP(B12,'w4'!$B:$B,'w4'!$F:$F),1)</f>
        <v>0.19375000000000001</v>
      </c>
      <c r="Z12" s="45">
        <f>_xlfn.RANK.EQ(Y12,Y$3:Y$10000,1)</f>
        <v>1</v>
      </c>
      <c r="AA12" s="45">
        <f>IFERROR(IF(_xlfn.XLOOKUP(B12,'w4'!$B:$B,'w4'!$G:$G)="--",0,_xlfn.XLOOKUP(B12,'w4'!$B:$B,'w4'!$G:$G)),0)</f>
        <v>321</v>
      </c>
      <c r="AB12" s="45">
        <f>_xlfn.RANK.EQ(AA12,AA$3:AA$10000,0)</f>
        <v>25</v>
      </c>
      <c r="AC12" s="13">
        <f>IFERROR(_xlfn.XLOOKUP(B12,'w5'!$B:$B,'w5'!$C:$C),0)</f>
        <v>43.1</v>
      </c>
      <c r="AD12" s="12">
        <f>_xlfn.RANK.EQ(AC12,AC$3:AC$10000,0)</f>
        <v>17</v>
      </c>
      <c r="AE12" s="14">
        <f>IFERROR(_xlfn.XLOOKUP(B12,'w5'!$B:$B,'w5'!$F:$F),1)</f>
        <v>0.21180555555555555</v>
      </c>
      <c r="AF12" s="12">
        <f>_xlfn.RANK.EQ(AE12,AE$3:AE$10000,1)</f>
        <v>3</v>
      </c>
      <c r="AG12" s="12">
        <f>IFERROR(IF(_xlfn.XLOOKUP(B12,'w5'!$B:$B,'w5'!$G:$G)="--",0,_xlfn.XLOOKUP(B12,'w5'!$B:$B,'w5'!$G:$G)),0)</f>
        <v>142</v>
      </c>
      <c r="AH12" s="12">
        <f>_xlfn.RANK.EQ(AG12,AG$3:AG$10000,0)</f>
        <v>52</v>
      </c>
      <c r="AI12" s="51">
        <f>IFERROR(_xlfn.XLOOKUP(B12,'w6'!$B:$B,'w6'!$C:$C),0)</f>
        <v>26.5</v>
      </c>
      <c r="AJ12" s="50">
        <f>_xlfn.RANK.EQ(AI12,AI$3:AI$10000,0)</f>
        <v>22</v>
      </c>
      <c r="AK12" s="52">
        <f>IFERROR(_xlfn.XLOOKUP(B12,'w6'!$B:$B,'w6'!$F:$F),1)</f>
        <v>0.17777777777777778</v>
      </c>
      <c r="AL12" s="50">
        <f>_xlfn.RANK.EQ(AK12,AK$3:AK$10000,1)</f>
        <v>1</v>
      </c>
      <c r="AM12" s="50">
        <f>IFERROR(IF(_xlfn.XLOOKUP(B12,'w6'!$B:$B,'w6'!$G:$G)="--",0,_xlfn.XLOOKUP(B12,'w6'!$B:$B,'w6'!$G:$G)),0)</f>
        <v>181</v>
      </c>
      <c r="AN12" s="50">
        <f>_xlfn.RANK.EQ(AM12,AM$3:AM$10000,0)</f>
        <v>38</v>
      </c>
      <c r="AO12" s="56">
        <f>IFERROR(_xlfn.XLOOKUP(B12,'w7'!$B:$B,'w7'!$C:$C),0)</f>
        <v>44.7</v>
      </c>
      <c r="AP12" s="57">
        <f>_xlfn.RANK.EQ(AO12,AO$3:AO$10000,0)</f>
        <v>14</v>
      </c>
      <c r="AQ12" s="58">
        <f>IFERROR(_xlfn.XLOOKUP(B12,'w7'!$B:$B,'w7'!$F:$F),1)</f>
        <v>0.18611111111111112</v>
      </c>
      <c r="AR12" s="57">
        <f>_xlfn.RANK.EQ(AQ12,AQ$3:AQ$10000,1)</f>
        <v>1</v>
      </c>
      <c r="AS12" s="57">
        <f>IFERROR(IF(_xlfn.XLOOKUP(B12,'w7'!$B:$B,'w7'!$G:$G)="--",0,_xlfn.XLOOKUP(B12,'w7'!$B:$B,'w7'!$G:$G)),0)</f>
        <v>317</v>
      </c>
      <c r="AT12" s="57">
        <f>_xlfn.RANK.EQ(AS12,AS$3:AS$10000,0)</f>
        <v>27</v>
      </c>
      <c r="AU12" s="62">
        <f>IFERROR(_xlfn.XLOOKUP(B12,'w8'!$B:$B,'w8'!$C:$C),0)</f>
        <v>42.9</v>
      </c>
      <c r="AV12" s="61">
        <f>_xlfn.RANK.EQ(AU12,AU$3:AU$10000,0)</f>
        <v>19</v>
      </c>
      <c r="AW12" s="63">
        <f>IFERROR(_xlfn.XLOOKUP(B12,'w8'!$B:$B,'w8'!$F:$F),1)</f>
        <v>0.18819444444444444</v>
      </c>
      <c r="AX12" s="61">
        <f>_xlfn.RANK.EQ(AW12,AW$3:AW$10000,1)</f>
        <v>1</v>
      </c>
      <c r="AY12" s="61">
        <f>IFERROR(IF(_xlfn.XLOOKUP(B12,'w8'!$B:$B,'w8'!$G:$G)="--",0,_xlfn.XLOOKUP(B12,'w8'!$B:$B,'w8'!$G:$G)),0)</f>
        <v>171</v>
      </c>
      <c r="AZ12" s="61">
        <f>_xlfn.RANK.EQ(AY12,AY$3:AY$10000,0)</f>
        <v>42</v>
      </c>
      <c r="BA12" s="66">
        <f>IFERROR(_xlfn.XLOOKUP(C12,'w9'!$B:$B,'w9'!$C:$C),0)</f>
        <v>54.8</v>
      </c>
      <c r="BB12" s="67">
        <f>_xlfn.RANK.EQ(BA12,BA$3:BA$10000,0)</f>
        <v>11</v>
      </c>
      <c r="BC12" s="68">
        <f>IFERROR(_xlfn.XLOOKUP(C12,'w9'!$B:$B,'w9'!$F:$F),1)</f>
        <v>0.18680555555555556</v>
      </c>
      <c r="BD12" s="67">
        <f>_xlfn.RANK.EQ(BC12,BC$3:BC$10000,1)</f>
        <v>1</v>
      </c>
      <c r="BE12" s="67">
        <f>IFERROR(IF(_xlfn.XLOOKUP(C12,'w9'!$B:$B,'w9'!$G:$G)="--",0,_xlfn.XLOOKUP(C12,'w9'!$B:$B,'w9'!$G:$G)),0)</f>
        <v>188</v>
      </c>
      <c r="BF12" s="67">
        <f>_xlfn.RANK.EQ(BE12,BE$3:BE$10000,0)</f>
        <v>54</v>
      </c>
      <c r="BG12" s="72">
        <f>IFERROR(_xlfn.XLOOKUP(B12,'w10'!$B:$B,'w10'!$C:$C),0)</f>
        <v>40.1</v>
      </c>
      <c r="BH12" s="74">
        <f>_xlfn.RANK.EQ(BG12,BG$3:BG$10000,0)</f>
        <v>21</v>
      </c>
      <c r="BI12" s="75">
        <f>IFERROR(_xlfn.XLOOKUP(B12,'w10'!$B:$B,'w10'!$F:$F),1)</f>
        <v>0.18680555555555556</v>
      </c>
      <c r="BJ12" s="74">
        <f>_xlfn.RANK.EQ(BI12,BI$3:BI$10000,1)</f>
        <v>1</v>
      </c>
      <c r="BK12" s="74">
        <f>IFERROR(IF(_xlfn.XLOOKUP(B12,'w10'!$B:$B,'w10'!$G:$G)="--",0,_xlfn.XLOOKUP(B12,'w10'!$B:$B,'w10'!$G:$G)),0)</f>
        <v>176</v>
      </c>
      <c r="BL12" s="74">
        <f>_xlfn.RANK.EQ(BK12,BK$3:BK$10000,0)</f>
        <v>35</v>
      </c>
      <c r="BM12" s="78">
        <f>IFERROR(_xlfn.XLOOKUP(B12,'w11'!$B:$B,'w11'!$C:$C),0)</f>
        <v>41.9</v>
      </c>
      <c r="BN12" s="80">
        <f>_xlfn.RANK.EQ(BM12,BM$3:BM$10000,0)</f>
        <v>16</v>
      </c>
      <c r="BO12" s="81">
        <f>IFERROR(_xlfn.XLOOKUP(B12,'w11'!$B:$B,'w11'!$F:$F),1)</f>
        <v>0.18958333333333333</v>
      </c>
      <c r="BP12" s="80">
        <f>_xlfn.RANK.EQ(BO12,BO$3:BO$10000,1)</f>
        <v>3</v>
      </c>
      <c r="BQ12" s="80">
        <f>IFERROR(IF(_xlfn.XLOOKUP(B12,'w11'!$B:$B,'w11'!$G:$G)="--",0,_xlfn.XLOOKUP(B12,'w11'!$B:$B,'w11'!$G:$G)),0)</f>
        <v>171</v>
      </c>
      <c r="BR12" s="80">
        <f>_xlfn.RANK.EQ(BQ12,BQ$3:BQ$10000,0)</f>
        <v>42</v>
      </c>
      <c r="BS12" s="83">
        <f>IFERROR(_xlfn.XLOOKUP(B12,'w12'!$B:$B,'w12'!$C:$C),0)</f>
        <v>39.700000000000003</v>
      </c>
      <c r="BT12" s="86">
        <f>_xlfn.RANK.EQ(BS12,BS$3:BS$10000,0)</f>
        <v>13</v>
      </c>
      <c r="BU12" s="87">
        <f>IFERROR(_xlfn.XLOOKUP(B12,'w12'!$B:$B,'w12'!$F:$F),1)</f>
        <v>0.20694444444444443</v>
      </c>
      <c r="BV12" s="86">
        <f>_xlfn.RANK.EQ(BU12,BU$3:BU$10000,1)</f>
        <v>2</v>
      </c>
      <c r="BW12" s="86">
        <f>IFERROR(IF(_xlfn.XLOOKUP(B12,'w12'!$B:$B,'w12'!$G:$G)="--",0,_xlfn.XLOOKUP(B12,'w12'!$B:$B,'w12'!$G:$G)),0)</f>
        <v>323</v>
      </c>
      <c r="BX12" s="86">
        <f>_xlfn.RANK.EQ(BW12,BW$3:BW$10000,0)</f>
        <v>19</v>
      </c>
      <c r="BY12" s="89">
        <f>IFERROR(_xlfn.XLOOKUP(B12,'w13'!$B:$B,'w13'!$C:$C),0)</f>
        <v>27.8</v>
      </c>
      <c r="BZ12" s="92">
        <f>_xlfn.RANK.EQ(BY12,BY$3:BY$10000,0)</f>
        <v>26</v>
      </c>
      <c r="CA12" s="93">
        <f>IFERROR(_xlfn.XLOOKUP(B12,'w13'!$B:$B,'w13'!$F:$F),1)</f>
        <v>0.19236111111111112</v>
      </c>
      <c r="CB12" s="92">
        <f>_xlfn.RANK.EQ(CA12,CA$3:CA$10000,1)</f>
        <v>2</v>
      </c>
      <c r="CC12" s="92">
        <f>IFERROR(IF(_xlfn.XLOOKUP(B12,'w13'!$B:$B,'w13'!$G:$G)="--",0,_xlfn.XLOOKUP(B12,'w13'!$B:$B,'w13'!$G:$G)),0)</f>
        <v>80</v>
      </c>
      <c r="CD12" s="92">
        <f>_xlfn.RANK.EQ(CC12,CC$3:CC$10000,0)</f>
        <v>57</v>
      </c>
      <c r="CE12" s="95">
        <f>IFERROR(_xlfn.XLOOKUP(B12,'w14'!$B:$B,'w14'!$C:$C),0)</f>
        <v>50.4</v>
      </c>
      <c r="CF12" s="98">
        <f>_xlfn.RANK.EQ(CE12,CE$3:CE$10000,0)</f>
        <v>13</v>
      </c>
      <c r="CG12" s="99">
        <f>IFERROR(_xlfn.XLOOKUP(B12,'w14'!$B:$B,'w14'!$F:$F),1)</f>
        <v>0.19583333333333333</v>
      </c>
      <c r="CH12" s="98">
        <f>_xlfn.RANK.EQ(CG12,CG$3:CG$10000,1)</f>
        <v>1</v>
      </c>
      <c r="CI12" s="98">
        <f>IFERROR(IF(_xlfn.XLOOKUP(B12,'w14'!$B:$B,'w14'!$G:$G)="--",0,_xlfn.XLOOKUP(B12,'w14'!$B:$B,'w14'!$G:$G)),0)</f>
        <v>167</v>
      </c>
      <c r="CJ12" s="98">
        <f>_xlfn.RANK.EQ(CI12,CI$3:CI$10000,0)</f>
        <v>39</v>
      </c>
      <c r="CK12" s="9">
        <f>_xlfn.RANK.EQ(D12,D$3:D$10000,1)</f>
        <v>10</v>
      </c>
      <c r="CL12" s="26" t="s">
        <v>90</v>
      </c>
      <c r="CM12" s="8">
        <f>SUM(E12,K12,Q12,W12,AC12,AI12,AO12,AU12,BA12,BG12,BM12,BS12,BY12,CE12)</f>
        <v>622.9</v>
      </c>
      <c r="CN12" s="9">
        <f>_xlfn.RANK.EQ(CM12,CM$3:CM$10000)</f>
        <v>10</v>
      </c>
      <c r="CO12" s="15">
        <f>IFERROR(SUM(PRODUCT(E12,G12),PRODUCT(K12,M12),PRODUCT(Q12,S12),PRODUCT(W12,Y12),PRODUCT(AC12,AE12),PRODUCT(AI12,AK12),PRODUCT(AO12,AQ12),PRODUCT(AU12,AW12),PRODUCT(BA12,BC12),PRODUCT(BG12,BI12),PRODUCT(BM12,BO12),PRODUCT(BS12,BU12),PRODUCT(BY12,CA12),PRODUCT(CE12,CG12))/CM12,1)</f>
        <v>0.19414733504575377</v>
      </c>
      <c r="CP12" s="9">
        <f>_xlfn.RANK.EQ(CO12,CO$3:CO$10000,1)</f>
        <v>1</v>
      </c>
      <c r="CQ12" s="9">
        <f>SUM(I12,O12,U12,AA12,AG12,AM12,AS12,AY12,BE12,BK12,BQ12,BW12,CC12,CI12)</f>
        <v>2825</v>
      </c>
      <c r="CR12" s="9">
        <f>_xlfn.RANK.EQ(CQ12,CQ$3:CQ$10000)</f>
        <v>43</v>
      </c>
      <c r="CS12" s="23">
        <f t="shared" si="0"/>
        <v>3</v>
      </c>
      <c r="CT12" s="25">
        <f t="shared" si="1"/>
        <v>16.974999999999998</v>
      </c>
      <c r="CU12" s="24">
        <f>_xlfn.STDEV.S(F12,L12,R12,X12,AD12,AJ12,AP12,AV12,BB12,BH12,BN12,BT12,BZ12,CF12)</f>
        <v>5.8554004376911992</v>
      </c>
      <c r="CV12" s="21">
        <f>_xlfn.RANK.EQ(CU12,CU$3:CU$10000,1)</f>
        <v>17</v>
      </c>
      <c r="CW12" s="24">
        <f>_xlfn.STDEV.S(H12,N12,T12,Z12,AF12,AL12,AR12,AX12,BD12,BJ12,BP12,BV12,CB12,CH12)</f>
        <v>0.7559289460184544</v>
      </c>
      <c r="CX12" s="21">
        <f>_xlfn.RANK.EQ(CW12,CW$3:CW$10000,1)</f>
        <v>1</v>
      </c>
      <c r="CY12" s="24">
        <f>_xlfn.STDEV.S(J12,P12,V12,AB12,AH12,AN12,AT12,AZ12,BF12,BL12,BR12,BX12,CD12,CJ12)</f>
        <v>10.934620892647992</v>
      </c>
      <c r="CZ12" s="21">
        <f>_xlfn.RANK.EQ(CY12,CY$3:CY$10000,1)</f>
        <v>32</v>
      </c>
      <c r="DA12">
        <f>SUM(COUNTIF(E12,"&gt;0"),COUNTIF(K12,"&gt;0"),COUNTIF(Q12,"&gt;0"),COUNTIF(W12,"&gt;0"),COUNTIF(AC12,"&gt;0"),COUNTIF(AI12,"&gt;0"),COUNTIF(AO12,"&gt;0"),COUNTIF(AU12,"&gt;0"),COUNTIF(BA12,"&gt;0"),COUNTIF(BG12,"&gt;0"),COUNTIF(BM12,"&gt;0"),COUNTIF(BS12,"&gt;0"),COUNTIF(BY12,"&gt;0"),COUNTIF(CE12,"&gt;0"))</f>
        <v>14</v>
      </c>
    </row>
    <row r="13" spans="1:105" x14ac:dyDescent="0.3">
      <c r="B13" t="s">
        <v>15</v>
      </c>
      <c r="C13" s="18" t="s">
        <v>96</v>
      </c>
      <c r="D13" s="4">
        <f>CN13*$CN$1+CP13*$CP$1+CR13*$CR$1</f>
        <v>12.174999999999999</v>
      </c>
      <c r="E13" s="29">
        <f>IFERROR(_xlfn.XLOOKUP(B13,'w1'!$B:$B,'w1'!$C:$C),0)</f>
        <v>47.1</v>
      </c>
      <c r="F13" s="30">
        <f>_xlfn.RANK.EQ(E13,E$3:E$10000,0)</f>
        <v>12</v>
      </c>
      <c r="G13" s="31">
        <f>IFERROR(_xlfn.XLOOKUP(B13,'w1'!$B:$B,'w1'!$F:$F),1)</f>
        <v>0.2986111111111111</v>
      </c>
      <c r="H13" s="30">
        <f>_xlfn.RANK.EQ(G13,G$3:G$10000,1)</f>
        <v>54</v>
      </c>
      <c r="I13" s="30">
        <f>IFERROR(IF(_xlfn.XLOOKUP(B13,'w1'!$B:$B,'w1'!$G:$G)="--",0,_xlfn.XLOOKUP(B13,'w1'!$B:$B,'w1'!$G:$G)),0)</f>
        <v>1304</v>
      </c>
      <c r="J13" s="30">
        <f>_xlfn.RANK.EQ(I13,I$3:I$10000,0)</f>
        <v>6</v>
      </c>
      <c r="K13" s="34">
        <f>IFERROR(_xlfn.XLOOKUP(B13,'w2'!$B:$B,'w2'!$C:$C),0)</f>
        <v>42.6</v>
      </c>
      <c r="L13" s="35">
        <f>_xlfn.RANK.EQ(K13,K$3:K$10000,0)</f>
        <v>13</v>
      </c>
      <c r="M13" s="36">
        <f>IFERROR(_xlfn.XLOOKUP(B13,'w2'!$B:$B,'w2'!$F:$F),1)</f>
        <v>0.33680555555555558</v>
      </c>
      <c r="N13" s="35">
        <f>_xlfn.RANK.EQ(M13,M$3:M$10000,1)</f>
        <v>59</v>
      </c>
      <c r="O13" s="35">
        <f>IFERROR(IF(_xlfn.XLOOKUP(B13,'w2'!$B:$B,'w2'!$G:$G)="--",0,_xlfn.XLOOKUP(B13,'w2'!$B:$B,'w2'!$G:$G)),0)</f>
        <v>2160</v>
      </c>
      <c r="P13" s="35">
        <f>_xlfn.RANK.EQ(O13,O$3:O$10000,0)</f>
        <v>3</v>
      </c>
      <c r="Q13" s="39">
        <f>IFERROR(_xlfn.XLOOKUP(B13,'w3'!$B:$B,'w3'!$C:$C),0)</f>
        <v>42</v>
      </c>
      <c r="R13" s="40">
        <f>_xlfn.RANK.EQ(Q13,Q$3:Q$10000,0)</f>
        <v>17</v>
      </c>
      <c r="S13" s="41">
        <f>IFERROR(_xlfn.XLOOKUP(B13,'w3'!$B:$B,'w3'!$F:$F),1)</f>
        <v>0.29930555555555555</v>
      </c>
      <c r="T13" s="40">
        <f>_xlfn.RANK.EQ(S13,S$3:S$10000,1)</f>
        <v>52</v>
      </c>
      <c r="U13" s="40">
        <f>IFERROR(IF(_xlfn.XLOOKUP(B13,'w3'!$B:$B,'w3'!$G:$G)="--",0,_xlfn.XLOOKUP(B13,'w3'!$B:$B,'w3'!$G:$G)),0)</f>
        <v>1362</v>
      </c>
      <c r="V13" s="40">
        <f>_xlfn.RANK.EQ(U13,U$3:U$10000,0)</f>
        <v>7</v>
      </c>
      <c r="W13" s="44">
        <f>IFERROR(_xlfn.XLOOKUP(B13,'w4'!$B:$B,'w4'!$C:$C),0)</f>
        <v>28.9</v>
      </c>
      <c r="X13" s="45">
        <f>_xlfn.RANK.EQ(W13,W$3:W$10000,0)</f>
        <v>27</v>
      </c>
      <c r="Y13" s="46">
        <f>IFERROR(_xlfn.XLOOKUP(B13,'w4'!$B:$B,'w4'!$F:$F),1)</f>
        <v>0.33888888888888891</v>
      </c>
      <c r="Z13" s="45">
        <f>_xlfn.RANK.EQ(Y13,Y$3:Y$10000,1)</f>
        <v>60</v>
      </c>
      <c r="AA13" s="45">
        <f>IFERROR(IF(_xlfn.XLOOKUP(B13,'w4'!$B:$B,'w4'!$G:$G)="--",0,_xlfn.XLOOKUP(B13,'w4'!$B:$B,'w4'!$G:$G)),0)</f>
        <v>1780</v>
      </c>
      <c r="AB13" s="45">
        <f>_xlfn.RANK.EQ(AA13,AA$3:AA$10000,0)</f>
        <v>4</v>
      </c>
      <c r="AC13" s="13">
        <f>IFERROR(_xlfn.XLOOKUP(B13,'w5'!$B:$B,'w5'!$C:$C),0)</f>
        <v>42.9</v>
      </c>
      <c r="AD13" s="12">
        <f>_xlfn.RANK.EQ(AC13,AC$3:AC$10000,0)</f>
        <v>18</v>
      </c>
      <c r="AE13" s="14">
        <f>IFERROR(_xlfn.XLOOKUP(B13,'w5'!$B:$B,'w5'!$F:$F),1)</f>
        <v>0.3347222222222222</v>
      </c>
      <c r="AF13" s="12">
        <f>_xlfn.RANK.EQ(AE13,AE$3:AE$10000,1)</f>
        <v>52</v>
      </c>
      <c r="AG13" s="12">
        <f>IFERROR(IF(_xlfn.XLOOKUP(B13,'w5'!$B:$B,'w5'!$G:$G)="--",0,_xlfn.XLOOKUP(B13,'w5'!$B:$B,'w5'!$G:$G)),0)</f>
        <v>2017</v>
      </c>
      <c r="AH13" s="12">
        <f>_xlfn.RANK.EQ(AG13,AG$3:AG$10000,0)</f>
        <v>3</v>
      </c>
      <c r="AI13" s="51">
        <f>IFERROR(_xlfn.XLOOKUP(B13,'w6'!$B:$B,'w6'!$C:$C),0)</f>
        <v>32.799999999999997</v>
      </c>
      <c r="AJ13" s="50">
        <f>_xlfn.RANK.EQ(AI13,AI$3:AI$10000,0)</f>
        <v>15</v>
      </c>
      <c r="AK13" s="52">
        <f>IFERROR(_xlfn.XLOOKUP(B13,'w6'!$B:$B,'w6'!$F:$F),1)</f>
        <v>0.32847222222222222</v>
      </c>
      <c r="AL13" s="50">
        <f>_xlfn.RANK.EQ(AK13,AK$3:AK$10000,1)</f>
        <v>46</v>
      </c>
      <c r="AM13" s="50">
        <f>IFERROR(IF(_xlfn.XLOOKUP(B13,'w6'!$B:$B,'w6'!$G:$G)="--",0,_xlfn.XLOOKUP(B13,'w6'!$B:$B,'w6'!$G:$G)),0)</f>
        <v>1615</v>
      </c>
      <c r="AN13" s="50">
        <f>_xlfn.RANK.EQ(AM13,AM$3:AM$10000,0)</f>
        <v>2</v>
      </c>
      <c r="AO13" s="56">
        <f>IFERROR(_xlfn.XLOOKUP(B13,'w7'!$B:$B,'w7'!$C:$C),0)</f>
        <v>49.6</v>
      </c>
      <c r="AP13" s="57">
        <f>_xlfn.RANK.EQ(AO13,AO$3:AO$10000,0)</f>
        <v>10</v>
      </c>
      <c r="AQ13" s="58">
        <f>IFERROR(_xlfn.XLOOKUP(B13,'w7'!$B:$B,'w7'!$F:$F),1)</f>
        <v>0.31597222222222221</v>
      </c>
      <c r="AR13" s="57">
        <f>_xlfn.RANK.EQ(AQ13,AQ$3:AQ$10000,1)</f>
        <v>47</v>
      </c>
      <c r="AS13" s="57">
        <f>IFERROR(IF(_xlfn.XLOOKUP(B13,'w7'!$B:$B,'w7'!$G:$G)="--",0,_xlfn.XLOOKUP(B13,'w7'!$B:$B,'w7'!$G:$G)),0)</f>
        <v>1532</v>
      </c>
      <c r="AT13" s="57">
        <f>_xlfn.RANK.EQ(AS13,AS$3:AS$10000,0)</f>
        <v>7</v>
      </c>
      <c r="AU13" s="62">
        <f>IFERROR(_xlfn.XLOOKUP(B13,'w8'!$B:$B,'w8'!$C:$C),0)</f>
        <v>48.4</v>
      </c>
      <c r="AV13" s="61">
        <f>_xlfn.RANK.EQ(AU13,AU$3:AU$10000,0)</f>
        <v>18</v>
      </c>
      <c r="AW13" s="63">
        <f>IFERROR(_xlfn.XLOOKUP(B13,'w8'!$B:$B,'w8'!$F:$F),1)</f>
        <v>0.29444444444444445</v>
      </c>
      <c r="AX13" s="61">
        <f>_xlfn.RANK.EQ(AW13,AW$3:AW$10000,1)</f>
        <v>45</v>
      </c>
      <c r="AY13" s="61">
        <f>IFERROR(IF(_xlfn.XLOOKUP(B13,'w8'!$B:$B,'w8'!$G:$G)="--",0,_xlfn.XLOOKUP(B13,'w8'!$B:$B,'w8'!$G:$G)),0)</f>
        <v>1391</v>
      </c>
      <c r="AZ13" s="61">
        <f>_xlfn.RANK.EQ(AY13,AY$3:AY$10000,0)</f>
        <v>8</v>
      </c>
      <c r="BA13" s="66">
        <f>IFERROR(_xlfn.XLOOKUP(C13,'w9'!$B:$B,'w9'!$C:$C),0)</f>
        <v>35</v>
      </c>
      <c r="BB13" s="67">
        <f>_xlfn.RANK.EQ(BA13,BA$3:BA$10000,0)</f>
        <v>30</v>
      </c>
      <c r="BC13" s="68">
        <f>IFERROR(_xlfn.XLOOKUP(C13,'w9'!$B:$B,'w9'!$F:$F),1)</f>
        <v>0.32430555555555557</v>
      </c>
      <c r="BD13" s="67">
        <f>_xlfn.RANK.EQ(BC13,BC$3:BC$10000,1)</f>
        <v>52</v>
      </c>
      <c r="BE13" s="67">
        <f>IFERROR(IF(_xlfn.XLOOKUP(C13,'w9'!$B:$B,'w9'!$G:$G)="--",0,_xlfn.XLOOKUP(C13,'w9'!$B:$B,'w9'!$G:$G)),0)</f>
        <v>1436</v>
      </c>
      <c r="BF13" s="67">
        <f>_xlfn.RANK.EQ(BE13,BE$3:BE$10000,0)</f>
        <v>6</v>
      </c>
      <c r="BG13" s="72">
        <f>IFERROR(_xlfn.XLOOKUP(B13,'w10'!$B:$B,'w10'!$C:$C),0)</f>
        <v>31.5</v>
      </c>
      <c r="BH13" s="74">
        <f>_xlfn.RANK.EQ(BG13,BG$3:BG$10000,0)</f>
        <v>27</v>
      </c>
      <c r="BI13" s="75">
        <f>IFERROR(_xlfn.XLOOKUP(B13,'w10'!$B:$B,'w10'!$F:$F),1)</f>
        <v>0.24583333333333332</v>
      </c>
      <c r="BJ13" s="74">
        <f>_xlfn.RANK.EQ(BI13,BI$3:BI$10000,1)</f>
        <v>19</v>
      </c>
      <c r="BK13" s="74">
        <f>IFERROR(IF(_xlfn.XLOOKUP(B13,'w10'!$B:$B,'w10'!$G:$G)="--",0,_xlfn.XLOOKUP(B13,'w10'!$B:$B,'w10'!$G:$G)),0)</f>
        <v>204</v>
      </c>
      <c r="BL13" s="74">
        <f>_xlfn.RANK.EQ(BK13,BK$3:BK$10000,0)</f>
        <v>33</v>
      </c>
      <c r="BM13" s="78">
        <f>IFERROR(_xlfn.XLOOKUP(B13,'w11'!$B:$B,'w11'!$C:$C),0)</f>
        <v>45.3</v>
      </c>
      <c r="BN13" s="80">
        <f>_xlfn.RANK.EQ(BM13,BM$3:BM$10000,0)</f>
        <v>11</v>
      </c>
      <c r="BO13" s="81">
        <f>IFERROR(_xlfn.XLOOKUP(B13,'w11'!$B:$B,'w11'!$F:$F),1)</f>
        <v>0.33680555555555558</v>
      </c>
      <c r="BP13" s="80">
        <f>_xlfn.RANK.EQ(BO13,BO$3:BO$10000,1)</f>
        <v>59</v>
      </c>
      <c r="BQ13" s="80">
        <f>IFERROR(IF(_xlfn.XLOOKUP(B13,'w11'!$B:$B,'w11'!$G:$G)="--",0,_xlfn.XLOOKUP(B13,'w11'!$B:$B,'w11'!$G:$G)),0)</f>
        <v>2192</v>
      </c>
      <c r="BR13" s="80">
        <f>_xlfn.RANK.EQ(BQ13,BQ$3:BQ$10000,0)</f>
        <v>2</v>
      </c>
      <c r="BS13" s="83">
        <f>IFERROR(_xlfn.XLOOKUP(B13,'w12'!$B:$B,'w12'!$C:$C),0)</f>
        <v>50</v>
      </c>
      <c r="BT13" s="86">
        <f>_xlfn.RANK.EQ(BS13,BS$3:BS$10000,0)</f>
        <v>8</v>
      </c>
      <c r="BU13" s="87">
        <f>IFERROR(_xlfn.XLOOKUP(B13,'w12'!$B:$B,'w12'!$F:$F),1)</f>
        <v>0.33333333333333331</v>
      </c>
      <c r="BV13" s="86">
        <f>_xlfn.RANK.EQ(BU13,BU$3:BU$10000,1)</f>
        <v>63</v>
      </c>
      <c r="BW13" s="86">
        <f>IFERROR(IF(_xlfn.XLOOKUP(B13,'w12'!$B:$B,'w12'!$G:$G)="--",0,_xlfn.XLOOKUP(B13,'w12'!$B:$B,'w12'!$G:$G)),0)</f>
        <v>1823</v>
      </c>
      <c r="BX13" s="86">
        <f>_xlfn.RANK.EQ(BW13,BW$3:BW$10000,0)</f>
        <v>4</v>
      </c>
      <c r="BY13" s="89">
        <f>IFERROR(_xlfn.XLOOKUP(B13,'w13'!$B:$B,'w13'!$C:$C),0)</f>
        <v>37.9</v>
      </c>
      <c r="BZ13" s="92">
        <f>_xlfn.RANK.EQ(BY13,BY$3:BY$10000,0)</f>
        <v>17</v>
      </c>
      <c r="CA13" s="93">
        <f>IFERROR(_xlfn.XLOOKUP(B13,'w13'!$B:$B,'w13'!$F:$F),1)</f>
        <v>0.27569444444444446</v>
      </c>
      <c r="CB13" s="92">
        <f>_xlfn.RANK.EQ(CA13,CA$3:CA$10000,1)</f>
        <v>40</v>
      </c>
      <c r="CC13" s="92">
        <f>IFERROR(IF(_xlfn.XLOOKUP(B13,'w13'!$B:$B,'w13'!$G:$G)="--",0,_xlfn.XLOOKUP(B13,'w13'!$B:$B,'w13'!$G:$G)),0)</f>
        <v>1428</v>
      </c>
      <c r="CD13" s="92">
        <f>_xlfn.RANK.EQ(CC13,CC$3:CC$10000,0)</f>
        <v>7</v>
      </c>
      <c r="CE13" s="95">
        <f>IFERROR(_xlfn.XLOOKUP(B13,'w14'!$B:$B,'w14'!$C:$C),0)</f>
        <v>61.4</v>
      </c>
      <c r="CF13" s="98">
        <f>_xlfn.RANK.EQ(CE13,CE$3:CE$10000,0)</f>
        <v>7</v>
      </c>
      <c r="CG13" s="99">
        <f>IFERROR(_xlfn.XLOOKUP(B13,'w14'!$B:$B,'w14'!$F:$F),1)</f>
        <v>0.3263888888888889</v>
      </c>
      <c r="CH13" s="98">
        <f>_xlfn.RANK.EQ(CG13,CG$3:CG$10000,1)</f>
        <v>48</v>
      </c>
      <c r="CI13" s="98">
        <f>IFERROR(IF(_xlfn.XLOOKUP(B13,'w14'!$B:$B,'w14'!$G:$G)="--",0,_xlfn.XLOOKUP(B13,'w14'!$B:$B,'w14'!$G:$G)),0)</f>
        <v>2389</v>
      </c>
      <c r="CJ13" s="98">
        <f>_xlfn.RANK.EQ(CI13,CI$3:CI$10000,0)</f>
        <v>4</v>
      </c>
      <c r="CK13" s="9">
        <f>_xlfn.RANK.EQ(D13,D$3:D$10000,1)</f>
        <v>11</v>
      </c>
      <c r="CL13" s="26" t="s">
        <v>96</v>
      </c>
      <c r="CM13" s="8">
        <f>SUM(E13,K13,Q13,W13,AC13,AI13,AO13,AU13,BA13,BG13,BM13,BS13,BY13,CE13)</f>
        <v>595.4</v>
      </c>
      <c r="CN13" s="9">
        <f>_xlfn.RANK.EQ(CM13,CM$3:CM$10000)</f>
        <v>11</v>
      </c>
      <c r="CO13" s="15">
        <f>IFERROR(SUM(PRODUCT(E13,G13),PRODUCT(K13,M13),PRODUCT(Q13,S13),PRODUCT(W13,Y13),PRODUCT(AC13,AE13),PRODUCT(AI13,AK13),PRODUCT(AO13,AQ13),PRODUCT(AU13,AW13),PRODUCT(BA13,BC13),PRODUCT(BG13,BI13),PRODUCT(BM13,BO13),PRODUCT(BS13,BU13),PRODUCT(BY13,CA13),PRODUCT(CE13,CG13))/CM13,1)</f>
        <v>0.31464818236106445</v>
      </c>
      <c r="CP13" s="9">
        <f>_xlfn.RANK.EQ(CO13,CO$3:CO$10000,1)</f>
        <v>64</v>
      </c>
      <c r="CQ13" s="9">
        <f>SUM(I13,O13,U13,AA13,AG13,AM13,AS13,AY13,BE13,BK13,BQ13,BW13,CC13,CI13)</f>
        <v>22633</v>
      </c>
      <c r="CR13" s="9">
        <f>_xlfn.RANK.EQ(CQ13,CQ$3:CQ$10000)</f>
        <v>5</v>
      </c>
      <c r="CS13" s="23">
        <f t="shared" si="0"/>
        <v>4</v>
      </c>
      <c r="CT13" s="25">
        <f t="shared" si="1"/>
        <v>21.224999999999998</v>
      </c>
      <c r="CU13" s="24">
        <f>_xlfn.STDEV.S(F13,L13,R13,X13,AD13,AJ13,AP13,AV13,BB13,BH13,BN13,BT13,BZ13,CF13)</f>
        <v>7.2187180378437086</v>
      </c>
      <c r="CV13" s="21">
        <f>_xlfn.RANK.EQ(CU13,CU$3:CU$10000,1)</f>
        <v>21</v>
      </c>
      <c r="CW13" s="24">
        <f>_xlfn.STDEV.S(H13,N13,T13,Z13,AF13,AL13,AR13,AX13,BD13,BJ13,BP13,BV13,CB13,CH13)</f>
        <v>10.999500488159049</v>
      </c>
      <c r="CX13" s="21">
        <f>_xlfn.RANK.EQ(CW13,CW$3:CW$10000,1)</f>
        <v>33</v>
      </c>
      <c r="CY13" s="24">
        <f>_xlfn.STDEV.S(J13,P13,V13,AB13,AH13,AN13,AT13,AZ13,BF13,BL13,BR13,BX13,CD13,CJ13)</f>
        <v>7.7841766805107007</v>
      </c>
      <c r="CZ13" s="21">
        <f>_xlfn.RANK.EQ(CY13,CY$3:CY$10000,1)</f>
        <v>18</v>
      </c>
      <c r="DA13">
        <f>SUM(COUNTIF(E13,"&gt;0"),COUNTIF(K13,"&gt;0"),COUNTIF(Q13,"&gt;0"),COUNTIF(W13,"&gt;0"),COUNTIF(AC13,"&gt;0"),COUNTIF(AI13,"&gt;0"),COUNTIF(AO13,"&gt;0"),COUNTIF(AU13,"&gt;0"),COUNTIF(BA13,"&gt;0"),COUNTIF(BG13,"&gt;0"),COUNTIF(BM13,"&gt;0"),COUNTIF(BS13,"&gt;0"),COUNTIF(BY13,"&gt;0"),COUNTIF(CE13,"&gt;0"))</f>
        <v>14</v>
      </c>
    </row>
    <row r="14" spans="1:105" x14ac:dyDescent="0.3">
      <c r="B14" t="s">
        <v>24</v>
      </c>
      <c r="C14" s="18" t="s">
        <v>453</v>
      </c>
      <c r="D14" s="4">
        <f>CN14*$CN$1+CP14*$CP$1+CR14*$CR$1</f>
        <v>13.499999999999998</v>
      </c>
      <c r="E14" s="29">
        <f>IFERROR(_xlfn.XLOOKUP(B14,'w1'!$B:$B,'w1'!$C:$C),0)</f>
        <v>35.700000000000003</v>
      </c>
      <c r="F14" s="30">
        <f>_xlfn.RANK.EQ(E14,E$3:E$10000,0)</f>
        <v>21</v>
      </c>
      <c r="G14" s="31">
        <f>IFERROR(_xlfn.XLOOKUP(B14,'w1'!$B:$B,'w1'!$F:$F),1)</f>
        <v>0.32569444444444445</v>
      </c>
      <c r="H14" s="30">
        <f>_xlfn.RANK.EQ(G14,G$3:G$10000,1)</f>
        <v>64</v>
      </c>
      <c r="I14" s="30">
        <f>IFERROR(IF(_xlfn.XLOOKUP(B14,'w1'!$B:$B,'w1'!$G:$G)="--",0,_xlfn.XLOOKUP(B14,'w1'!$B:$B,'w1'!$G:$G)),0)</f>
        <v>751</v>
      </c>
      <c r="J14" s="30">
        <f>_xlfn.RANK.EQ(I14,I$3:I$10000,0)</f>
        <v>12</v>
      </c>
      <c r="K14" s="34">
        <f>IFERROR(_xlfn.XLOOKUP(B14,'w2'!$B:$B,'w2'!$C:$C),0)</f>
        <v>33</v>
      </c>
      <c r="L14" s="35">
        <f>_xlfn.RANK.EQ(K14,K$3:K$10000,0)</f>
        <v>22</v>
      </c>
      <c r="M14" s="36">
        <f>IFERROR(_xlfn.XLOOKUP(B14,'w2'!$B:$B,'w2'!$F:$F),1)</f>
        <v>0.27500000000000002</v>
      </c>
      <c r="N14" s="35">
        <f>_xlfn.RANK.EQ(M14,M$3:M$10000,1)</f>
        <v>32</v>
      </c>
      <c r="O14" s="35">
        <f>IFERROR(IF(_xlfn.XLOOKUP(B14,'w2'!$B:$B,'w2'!$G:$G)="--",0,_xlfn.XLOOKUP(B14,'w2'!$B:$B,'w2'!$G:$G)),0)</f>
        <v>521</v>
      </c>
      <c r="P14" s="35">
        <f>_xlfn.RANK.EQ(O14,O$3:O$10000,0)</f>
        <v>17</v>
      </c>
      <c r="Q14" s="39">
        <f>IFERROR(_xlfn.XLOOKUP(B14,'w3'!$B:$B,'w3'!$C:$C),0)</f>
        <v>61.6</v>
      </c>
      <c r="R14" s="40">
        <f>_xlfn.RANK.EQ(Q14,Q$3:Q$10000,0)</f>
        <v>7</v>
      </c>
      <c r="S14" s="41">
        <f>IFERROR(_xlfn.XLOOKUP(B14,'w3'!$B:$B,'w3'!$F:$F),1)</f>
        <v>0.35833333333333334</v>
      </c>
      <c r="T14" s="40">
        <f>_xlfn.RANK.EQ(S14,S$3:S$10000,1)</f>
        <v>73</v>
      </c>
      <c r="U14" s="40">
        <f>IFERROR(IF(_xlfn.XLOOKUP(B14,'w3'!$B:$B,'w3'!$G:$G)="--",0,_xlfn.XLOOKUP(B14,'w3'!$B:$B,'w3'!$G:$G)),0)</f>
        <v>2509</v>
      </c>
      <c r="V14" s="40">
        <f>_xlfn.RANK.EQ(U14,U$3:U$10000,0)</f>
        <v>3</v>
      </c>
      <c r="W14" s="44">
        <f>IFERROR(_xlfn.XLOOKUP(B14,'w4'!$B:$B,'w4'!$C:$C),0)</f>
        <v>53.2</v>
      </c>
      <c r="X14" s="45">
        <f>_xlfn.RANK.EQ(W14,W$3:W$10000,0)</f>
        <v>10</v>
      </c>
      <c r="Y14" s="46">
        <f>IFERROR(_xlfn.XLOOKUP(B14,'w4'!$B:$B,'w4'!$F:$F),1)</f>
        <v>0.32291666666666669</v>
      </c>
      <c r="Z14" s="45">
        <f>_xlfn.RANK.EQ(Y14,Y$3:Y$10000,1)</f>
        <v>56</v>
      </c>
      <c r="AA14" s="45">
        <f>IFERROR(IF(_xlfn.XLOOKUP(B14,'w4'!$B:$B,'w4'!$G:$G)="--",0,_xlfn.XLOOKUP(B14,'w4'!$B:$B,'w4'!$G:$G)),0)</f>
        <v>1000</v>
      </c>
      <c r="AB14" s="45">
        <f>_xlfn.RANK.EQ(AA14,AA$3:AA$10000,0)</f>
        <v>12</v>
      </c>
      <c r="AC14" s="13">
        <f>IFERROR(_xlfn.XLOOKUP(B14,'w5'!$B:$B,'w5'!$C:$C),0)</f>
        <v>42.9</v>
      </c>
      <c r="AD14" s="12">
        <f>_xlfn.RANK.EQ(AC14,AC$3:AC$10000,0)</f>
        <v>18</v>
      </c>
      <c r="AE14" s="14">
        <f>IFERROR(_xlfn.XLOOKUP(B14,'w5'!$B:$B,'w5'!$F:$F),1)</f>
        <v>0.37013888888888891</v>
      </c>
      <c r="AF14" s="12">
        <f>_xlfn.RANK.EQ(AE14,AE$3:AE$10000,1)</f>
        <v>60</v>
      </c>
      <c r="AG14" s="12">
        <f>IFERROR(IF(_xlfn.XLOOKUP(B14,'w5'!$B:$B,'w5'!$G:$G)="--",0,_xlfn.XLOOKUP(B14,'w5'!$B:$B,'w5'!$G:$G)),0)</f>
        <v>1854</v>
      </c>
      <c r="AH14" s="12">
        <f>_xlfn.RANK.EQ(AG14,AG$3:AG$10000,0)</f>
        <v>5</v>
      </c>
      <c r="AI14" s="51">
        <f>IFERROR(_xlfn.XLOOKUP(B14,'w6'!$B:$B,'w6'!$C:$C),0)</f>
        <v>20.6</v>
      </c>
      <c r="AJ14" s="50">
        <f>_xlfn.RANK.EQ(AI14,AI$3:AI$10000,0)</f>
        <v>30</v>
      </c>
      <c r="AK14" s="52">
        <f>IFERROR(_xlfn.XLOOKUP(B14,'w6'!$B:$B,'w6'!$F:$F),1)</f>
        <v>0.2951388888888889</v>
      </c>
      <c r="AL14" s="50">
        <f>_xlfn.RANK.EQ(AK14,AK$3:AK$10000,1)</f>
        <v>35</v>
      </c>
      <c r="AM14" s="50">
        <f>IFERROR(IF(_xlfn.XLOOKUP(B14,'w6'!$B:$B,'w6'!$G:$G)="--",0,_xlfn.XLOOKUP(B14,'w6'!$B:$B,'w6'!$G:$G)),0)</f>
        <v>480</v>
      </c>
      <c r="AN14" s="50">
        <f>_xlfn.RANK.EQ(AM14,AM$3:AM$10000,0)</f>
        <v>15</v>
      </c>
      <c r="AO14" s="56">
        <f>IFERROR(_xlfn.XLOOKUP(B14,'w7'!$B:$B,'w7'!$C:$C),0)</f>
        <v>48.2</v>
      </c>
      <c r="AP14" s="57">
        <f>_xlfn.RANK.EQ(AO14,AO$3:AO$10000,0)</f>
        <v>12</v>
      </c>
      <c r="AQ14" s="58">
        <f>IFERROR(_xlfn.XLOOKUP(B14,'w7'!$B:$B,'w7'!$F:$F),1)</f>
        <v>0.37569444444444444</v>
      </c>
      <c r="AR14" s="57">
        <f>_xlfn.RANK.EQ(AQ14,AQ$3:AQ$10000,1)</f>
        <v>57</v>
      </c>
      <c r="AS14" s="57">
        <f>IFERROR(IF(_xlfn.XLOOKUP(B14,'w7'!$B:$B,'w7'!$G:$G)="--",0,_xlfn.XLOOKUP(B14,'w7'!$B:$B,'w7'!$G:$G)),0)</f>
        <v>1915</v>
      </c>
      <c r="AT14" s="57">
        <f>_xlfn.RANK.EQ(AS14,AS$3:AS$10000,0)</f>
        <v>3</v>
      </c>
      <c r="AU14" s="62">
        <f>IFERROR(_xlfn.XLOOKUP(B14,'w8'!$B:$B,'w8'!$C:$C),0)</f>
        <v>52.1</v>
      </c>
      <c r="AV14" s="61">
        <f>_xlfn.RANK.EQ(AU14,AU$3:AU$10000,0)</f>
        <v>12</v>
      </c>
      <c r="AW14" s="63">
        <f>IFERROR(_xlfn.XLOOKUP(B14,'w8'!$B:$B,'w8'!$F:$F),1)</f>
        <v>0.31111111111111112</v>
      </c>
      <c r="AX14" s="61">
        <f>_xlfn.RANK.EQ(AW14,AW$3:AW$10000,1)</f>
        <v>51</v>
      </c>
      <c r="AY14" s="61">
        <f>IFERROR(IF(_xlfn.XLOOKUP(B14,'w8'!$B:$B,'w8'!$G:$G)="--",0,_xlfn.XLOOKUP(B14,'w8'!$B:$B,'w8'!$G:$G)),0)</f>
        <v>1452</v>
      </c>
      <c r="AZ14" s="61">
        <f>_xlfn.RANK.EQ(AY14,AY$3:AY$10000,0)</f>
        <v>7</v>
      </c>
      <c r="BA14" s="66">
        <f>IFERROR(_xlfn.XLOOKUP(C14,'w9'!$B:$B,'w9'!$C:$C),0)</f>
        <v>53.9</v>
      </c>
      <c r="BB14" s="67">
        <f>_xlfn.RANK.EQ(BA14,BA$3:BA$10000,0)</f>
        <v>12</v>
      </c>
      <c r="BC14" s="68">
        <f>IFERROR(_xlfn.XLOOKUP(C14,'w9'!$B:$B,'w9'!$F:$F),1)</f>
        <v>0.28263888888888888</v>
      </c>
      <c r="BD14" s="67">
        <f>_xlfn.RANK.EQ(BC14,BC$3:BC$10000,1)</f>
        <v>34</v>
      </c>
      <c r="BE14" s="67">
        <f>IFERROR(IF(_xlfn.XLOOKUP(C14,'w9'!$B:$B,'w9'!$G:$G)="--",0,_xlfn.XLOOKUP(C14,'w9'!$B:$B,'w9'!$G:$G)),0)</f>
        <v>650</v>
      </c>
      <c r="BF14" s="67">
        <f>_xlfn.RANK.EQ(BE14,BE$3:BE$10000,0)</f>
        <v>18</v>
      </c>
      <c r="BG14" s="72">
        <f>IFERROR(_xlfn.XLOOKUP(B14,'w10'!$B:$B,'w10'!$C:$C),0)</f>
        <v>49.9</v>
      </c>
      <c r="BH14" s="74">
        <f>_xlfn.RANK.EQ(BG14,BG$3:BG$10000,0)</f>
        <v>11</v>
      </c>
      <c r="BI14" s="75">
        <f>IFERROR(_xlfn.XLOOKUP(B14,'w10'!$B:$B,'w10'!$F:$F),1)</f>
        <v>0.30972222222222223</v>
      </c>
      <c r="BJ14" s="74">
        <f>_xlfn.RANK.EQ(BI14,BI$3:BI$10000,1)</f>
        <v>55</v>
      </c>
      <c r="BK14" s="74">
        <f>IFERROR(IF(_xlfn.XLOOKUP(B14,'w10'!$B:$B,'w10'!$G:$G)="--",0,_xlfn.XLOOKUP(B14,'w10'!$B:$B,'w10'!$G:$G)),0)</f>
        <v>1325</v>
      </c>
      <c r="BL14" s="74">
        <f>_xlfn.RANK.EQ(BK14,BK$3:BK$10000,0)</f>
        <v>8</v>
      </c>
      <c r="BM14" s="78">
        <f>IFERROR(_xlfn.XLOOKUP(B14,'w11'!$B:$B,'w11'!$C:$C),0)</f>
        <v>6</v>
      </c>
      <c r="BN14" s="80">
        <f>_xlfn.RANK.EQ(BM14,BM$3:BM$10000,0)</f>
        <v>72</v>
      </c>
      <c r="BO14" s="81">
        <f>IFERROR(_xlfn.XLOOKUP(B14,'w11'!$B:$B,'w11'!$F:$F),1)</f>
        <v>0.28680555555555554</v>
      </c>
      <c r="BP14" s="80">
        <f>_xlfn.RANK.EQ(BO14,BO$3:BO$10000,1)</f>
        <v>44</v>
      </c>
      <c r="BQ14" s="80">
        <f>IFERROR(IF(_xlfn.XLOOKUP(B14,'w11'!$B:$B,'w11'!$G:$G)="--",0,_xlfn.XLOOKUP(B14,'w11'!$B:$B,'w11'!$G:$G)),0)</f>
        <v>80</v>
      </c>
      <c r="BR14" s="80">
        <f>_xlfn.RANK.EQ(BQ14,BQ$3:BQ$10000,0)</f>
        <v>64</v>
      </c>
      <c r="BS14" s="83">
        <f>IFERROR(_xlfn.XLOOKUP(B14,'w12'!$B:$B,'w12'!$C:$C),0)</f>
        <v>21</v>
      </c>
      <c r="BT14" s="86">
        <f>_xlfn.RANK.EQ(BS14,BS$3:BS$10000,0)</f>
        <v>34</v>
      </c>
      <c r="BU14" s="87">
        <f>IFERROR(_xlfn.XLOOKUP(B14,'w12'!$B:$B,'w12'!$F:$F),1)</f>
        <v>0.31180555555555556</v>
      </c>
      <c r="BV14" s="86">
        <f>_xlfn.RANK.EQ(BU14,BU$3:BU$10000,1)</f>
        <v>55</v>
      </c>
      <c r="BW14" s="86">
        <f>IFERROR(IF(_xlfn.XLOOKUP(B14,'w12'!$B:$B,'w12'!$G:$G)="--",0,_xlfn.XLOOKUP(B14,'w12'!$B:$B,'w12'!$G:$G)),0)</f>
        <v>369</v>
      </c>
      <c r="BX14" s="86">
        <f>_xlfn.RANK.EQ(BW14,BW$3:BW$10000,0)</f>
        <v>16</v>
      </c>
      <c r="BY14" s="89">
        <f>IFERROR(_xlfn.XLOOKUP(B14,'w13'!$B:$B,'w13'!$C:$C),0)</f>
        <v>67.5</v>
      </c>
      <c r="BZ14" s="92">
        <f>_xlfn.RANK.EQ(BY14,BY$3:BY$10000,0)</f>
        <v>4</v>
      </c>
      <c r="CA14" s="93">
        <f>IFERROR(_xlfn.XLOOKUP(B14,'w13'!$B:$B,'w13'!$F:$F),1)</f>
        <v>0.34236111111111112</v>
      </c>
      <c r="CB14" s="92">
        <f>_xlfn.RANK.EQ(CA14,CA$3:CA$10000,1)</f>
        <v>57</v>
      </c>
      <c r="CC14" s="92">
        <f>IFERROR(IF(_xlfn.XLOOKUP(B14,'w13'!$B:$B,'w13'!$G:$G)="--",0,_xlfn.XLOOKUP(B14,'w13'!$B:$B,'w13'!$G:$G)),0)</f>
        <v>2194</v>
      </c>
      <c r="CD14" s="92">
        <f>_xlfn.RANK.EQ(CC14,CC$3:CC$10000,0)</f>
        <v>2</v>
      </c>
      <c r="CE14" s="95">
        <f>IFERROR(_xlfn.XLOOKUP(B14,'w14'!$B:$B,'w14'!$C:$C),0)</f>
        <v>33.799999999999997</v>
      </c>
      <c r="CF14" s="98">
        <f>_xlfn.RANK.EQ(CE14,CE$3:CE$10000,0)</f>
        <v>28</v>
      </c>
      <c r="CG14" s="99">
        <f>IFERROR(_xlfn.XLOOKUP(B14,'w14'!$B:$B,'w14'!$F:$F),1)</f>
        <v>0.33333333333333331</v>
      </c>
      <c r="CH14" s="98">
        <f>_xlfn.RANK.EQ(CG14,CG$3:CG$10000,1)</f>
        <v>52</v>
      </c>
      <c r="CI14" s="98">
        <f>IFERROR(IF(_xlfn.XLOOKUP(B14,'w14'!$B:$B,'w14'!$G:$G)="--",0,_xlfn.XLOOKUP(B14,'w14'!$B:$B,'w14'!$G:$G)),0)</f>
        <v>849</v>
      </c>
      <c r="CJ14" s="98">
        <f>_xlfn.RANK.EQ(CI14,CI$3:CI$10000,0)</f>
        <v>12</v>
      </c>
      <c r="CK14" s="9">
        <f>_xlfn.RANK.EQ(D14,D$3:D$10000,1)</f>
        <v>12</v>
      </c>
      <c r="CL14" s="26" t="s">
        <v>104</v>
      </c>
      <c r="CM14" s="8">
        <f>SUM(E14,K14,Q14,W14,AC14,AI14,AO14,AU14,BA14,BG14,BM14,BS14,BY14,CE14)</f>
        <v>579.39999999999986</v>
      </c>
      <c r="CN14" s="9">
        <f>_xlfn.RANK.EQ(CM14,CM$3:CM$10000)</f>
        <v>12</v>
      </c>
      <c r="CO14" s="15">
        <f>IFERROR(SUM(PRODUCT(E14,G14),PRODUCT(K14,M14),PRODUCT(Q14,S14),PRODUCT(W14,Y14),PRODUCT(AC14,AE14),PRODUCT(AI14,AK14),PRODUCT(AO14,AQ14),PRODUCT(AU14,AW14),PRODUCT(BA14,BC14),PRODUCT(BG14,BI14),PRODUCT(BM14,BO14),PRODUCT(BS14,BU14),PRODUCT(BY14,CA14),PRODUCT(CE14,CG14))/CM14,1)</f>
        <v>0.32717490315652215</v>
      </c>
      <c r="CP14" s="9">
        <f>_xlfn.RANK.EQ(CO14,CO$3:CO$10000,1)</f>
        <v>75</v>
      </c>
      <c r="CQ14" s="9">
        <f>SUM(I14,O14,U14,AA14,AG14,AM14,AS14,AY14,BE14,BK14,BQ14,BW14,CC14,CI14)</f>
        <v>15949</v>
      </c>
      <c r="CR14" s="9">
        <f>_xlfn.RANK.EQ(CQ14,CQ$3:CQ$10000)</f>
        <v>9</v>
      </c>
      <c r="CS14" s="23">
        <f t="shared" si="0"/>
        <v>28</v>
      </c>
      <c r="CT14" s="25">
        <f t="shared" si="1"/>
        <v>78.300000000000011</v>
      </c>
      <c r="CU14" s="24">
        <f>_xlfn.STDEV.S(F14,L14,R14,X14,AD14,AJ14,AP14,AV14,BB14,BH14,BN14,BT14,BZ14,CF14)</f>
        <v>17.229064377982322</v>
      </c>
      <c r="CV14" s="21">
        <f>_xlfn.RANK.EQ(CU14,CU$3:CU$10000,1)</f>
        <v>80</v>
      </c>
      <c r="CW14" s="24">
        <f>_xlfn.STDEV.S(H14,N14,T14,Z14,AF14,AL14,AR14,AX14,BD14,BJ14,BP14,BV14,CB14,CH14)</f>
        <v>11.800772930543234</v>
      </c>
      <c r="CX14" s="21">
        <f>_xlfn.RANK.EQ(CW14,CW$3:CW$10000,1)</f>
        <v>36</v>
      </c>
      <c r="CY14" s="24">
        <f>_xlfn.STDEV.S(J14,P14,V14,AB14,AH14,AN14,AT14,AZ14,BF14,BL14,BR14,BX14,CD14,CJ14)</f>
        <v>15.426536292312088</v>
      </c>
      <c r="CZ14" s="21">
        <f>_xlfn.RANK.EQ(CY14,CY$3:CY$10000,1)</f>
        <v>56</v>
      </c>
      <c r="DA14">
        <f>SUM(COUNTIF(E14,"&gt;0"),COUNTIF(K14,"&gt;0"),COUNTIF(Q14,"&gt;0"),COUNTIF(W14,"&gt;0"),COUNTIF(AC14,"&gt;0"),COUNTIF(AI14,"&gt;0"),COUNTIF(AO14,"&gt;0"),COUNTIF(AU14,"&gt;0"),COUNTIF(BA14,"&gt;0"),COUNTIF(BG14,"&gt;0"),COUNTIF(BM14,"&gt;0"),COUNTIF(BS14,"&gt;0"),COUNTIF(BY14,"&gt;0"),COUNTIF(CE14,"&gt;0"))</f>
        <v>14</v>
      </c>
    </row>
    <row r="15" spans="1:105" x14ac:dyDescent="0.3">
      <c r="B15" t="s">
        <v>7</v>
      </c>
      <c r="C15" s="18" t="s">
        <v>89</v>
      </c>
      <c r="D15" s="4">
        <f>CN15*$CN$1+CP15*$CP$1+CR15*$CR$1</f>
        <v>14.2</v>
      </c>
      <c r="E15" s="29">
        <f>IFERROR(_xlfn.XLOOKUP(B15,'w1'!$B:$B,'w1'!$C:$C),0)</f>
        <v>60.9</v>
      </c>
      <c r="F15" s="30">
        <f>_xlfn.RANK.EQ(E15,E$3:E$10000,0)</f>
        <v>4</v>
      </c>
      <c r="G15" s="31">
        <f>IFERROR(_xlfn.XLOOKUP(B15,'w1'!$B:$B,'w1'!$F:$F),1)</f>
        <v>0.31805555555555554</v>
      </c>
      <c r="H15" s="30">
        <f>_xlfn.RANK.EQ(G15,G$3:G$10000,1)</f>
        <v>61</v>
      </c>
      <c r="I15" s="30">
        <f>IFERROR(IF(_xlfn.XLOOKUP(B15,'w1'!$B:$B,'w1'!$G:$G)="--",0,_xlfn.XLOOKUP(B15,'w1'!$B:$B,'w1'!$G:$G)),0)</f>
        <v>1907</v>
      </c>
      <c r="J15" s="30">
        <f>_xlfn.RANK.EQ(I15,I$3:I$10000,0)</f>
        <v>3</v>
      </c>
      <c r="K15" s="34">
        <f>IFERROR(_xlfn.XLOOKUP(B15,'w2'!$B:$B,'w2'!$C:$C),0)</f>
        <v>56.9</v>
      </c>
      <c r="L15" s="35">
        <f>_xlfn.RANK.EQ(K15,K$3:K$10000,0)</f>
        <v>8</v>
      </c>
      <c r="M15" s="36">
        <f>IFERROR(_xlfn.XLOOKUP(B15,'w2'!$B:$B,'w2'!$F:$F),1)</f>
        <v>0.34236111111111112</v>
      </c>
      <c r="N15" s="35">
        <f>_xlfn.RANK.EQ(M15,M$3:M$10000,1)</f>
        <v>60</v>
      </c>
      <c r="O15" s="35">
        <f>IFERROR(IF(_xlfn.XLOOKUP(B15,'w2'!$B:$B,'w2'!$G:$G)="--",0,_xlfn.XLOOKUP(B15,'w2'!$B:$B,'w2'!$G:$G)),0)</f>
        <v>2893</v>
      </c>
      <c r="P15" s="35">
        <f>_xlfn.RANK.EQ(O15,O$3:O$10000,0)</f>
        <v>2</v>
      </c>
      <c r="Q15" s="39">
        <f>IFERROR(_xlfn.XLOOKUP(B15,'w3'!$B:$B,'w3'!$C:$C),0)</f>
        <v>52.6</v>
      </c>
      <c r="R15" s="40">
        <f>_xlfn.RANK.EQ(Q15,Q$3:Q$10000,0)</f>
        <v>10</v>
      </c>
      <c r="S15" s="41">
        <f>IFERROR(_xlfn.XLOOKUP(B15,'w3'!$B:$B,'w3'!$F:$F),1)</f>
        <v>0.27291666666666664</v>
      </c>
      <c r="T15" s="40">
        <f>_xlfn.RANK.EQ(S15,S$3:S$10000,1)</f>
        <v>40</v>
      </c>
      <c r="U15" s="40">
        <f>IFERROR(IF(_xlfn.XLOOKUP(B15,'w3'!$B:$B,'w3'!$G:$G)="--",0,_xlfn.XLOOKUP(B15,'w3'!$B:$B,'w3'!$G:$G)),0)</f>
        <v>1658</v>
      </c>
      <c r="V15" s="40">
        <f>_xlfn.RANK.EQ(U15,U$3:U$10000,0)</f>
        <v>6</v>
      </c>
      <c r="W15" s="44">
        <f>IFERROR(_xlfn.XLOOKUP(B15,'w4'!$B:$B,'w4'!$C:$C),0)</f>
        <v>42.2</v>
      </c>
      <c r="X15" s="45">
        <f>_xlfn.RANK.EQ(W15,W$3:W$10000,0)</f>
        <v>13</v>
      </c>
      <c r="Y15" s="46">
        <f>IFERROR(_xlfn.XLOOKUP(B15,'w4'!$B:$B,'w4'!$F:$F),1)</f>
        <v>0.34375</v>
      </c>
      <c r="Z15" s="45">
        <f>_xlfn.RANK.EQ(Y15,Y$3:Y$10000,1)</f>
        <v>62</v>
      </c>
      <c r="AA15" s="45">
        <f>IFERROR(IF(_xlfn.XLOOKUP(B15,'w4'!$B:$B,'w4'!$G:$G)="--",0,_xlfn.XLOOKUP(B15,'w4'!$B:$B,'w4'!$G:$G)),0)</f>
        <v>2944</v>
      </c>
      <c r="AB15" s="45">
        <f>_xlfn.RANK.EQ(AA15,AA$3:AA$10000,0)</f>
        <v>1</v>
      </c>
      <c r="AC15" s="13">
        <f>IFERROR(_xlfn.XLOOKUP(B15,'w5'!$B:$B,'w5'!$C:$C),0)</f>
        <v>18.100000000000001</v>
      </c>
      <c r="AD15" s="12">
        <f>_xlfn.RANK.EQ(AC15,AC$3:AC$10000,0)</f>
        <v>53</v>
      </c>
      <c r="AE15" s="14">
        <f>IFERROR(_xlfn.XLOOKUP(B15,'w5'!$B:$B,'w5'!$F:$F),1)</f>
        <v>0.35</v>
      </c>
      <c r="AF15" s="12">
        <f>_xlfn.RANK.EQ(AE15,AE$3:AE$10000,1)</f>
        <v>56</v>
      </c>
      <c r="AG15" s="12">
        <f>IFERROR(IF(_xlfn.XLOOKUP(B15,'w5'!$B:$B,'w5'!$G:$G)="--",0,_xlfn.XLOOKUP(B15,'w5'!$B:$B,'w5'!$G:$G)),0)</f>
        <v>1084</v>
      </c>
      <c r="AH15" s="12">
        <f>_xlfn.RANK.EQ(AG15,AG$3:AG$10000,0)</f>
        <v>13</v>
      </c>
      <c r="AI15" s="51">
        <f>IFERROR(_xlfn.XLOOKUP(B15,'w6'!$B:$B,'w6'!$C:$C),0)</f>
        <v>23</v>
      </c>
      <c r="AJ15" s="50">
        <f>_xlfn.RANK.EQ(AI15,AI$3:AI$10000,0)</f>
        <v>26</v>
      </c>
      <c r="AK15" s="52">
        <f>IFERROR(_xlfn.XLOOKUP(B15,'w6'!$B:$B,'w6'!$F:$F),1)</f>
        <v>0.35486111111111113</v>
      </c>
      <c r="AL15" s="50">
        <f>_xlfn.RANK.EQ(AK15,AK$3:AK$10000,1)</f>
        <v>53</v>
      </c>
      <c r="AM15" s="50">
        <f>IFERROR(IF(_xlfn.XLOOKUP(B15,'w6'!$B:$B,'w6'!$G:$G)="--",0,_xlfn.XLOOKUP(B15,'w6'!$B:$B,'w6'!$G:$G)),0)</f>
        <v>1377</v>
      </c>
      <c r="AN15" s="50">
        <f>_xlfn.RANK.EQ(AM15,AM$3:AM$10000,0)</f>
        <v>3</v>
      </c>
      <c r="AO15" s="56">
        <f>IFERROR(_xlfn.XLOOKUP(B15,'w7'!$B:$B,'w7'!$C:$C),0)</f>
        <v>33.5</v>
      </c>
      <c r="AP15" s="57">
        <f>_xlfn.RANK.EQ(AO15,AO$3:AO$10000,0)</f>
        <v>22</v>
      </c>
      <c r="AQ15" s="58">
        <f>IFERROR(_xlfn.XLOOKUP(B15,'w7'!$B:$B,'w7'!$F:$F),1)</f>
        <v>0.29652777777777778</v>
      </c>
      <c r="AR15" s="57">
        <f>_xlfn.RANK.EQ(AQ15,AQ$3:AQ$10000,1)</f>
        <v>41</v>
      </c>
      <c r="AS15" s="57">
        <f>IFERROR(IF(_xlfn.XLOOKUP(B15,'w7'!$B:$B,'w7'!$G:$G)="--",0,_xlfn.XLOOKUP(B15,'w7'!$B:$B,'w7'!$G:$G)),0)</f>
        <v>1321</v>
      </c>
      <c r="AT15" s="57">
        <f>_xlfn.RANK.EQ(AS15,AS$3:AS$10000,0)</f>
        <v>11</v>
      </c>
      <c r="AU15" s="62">
        <f>IFERROR(_xlfn.XLOOKUP(B15,'w8'!$B:$B,'w8'!$C:$C),0)</f>
        <v>84.2</v>
      </c>
      <c r="AV15" s="61">
        <f>_xlfn.RANK.EQ(AU15,AU$3:AU$10000,0)</f>
        <v>5</v>
      </c>
      <c r="AW15" s="63">
        <f>IFERROR(_xlfn.XLOOKUP(B15,'w8'!$B:$B,'w8'!$F:$F),1)</f>
        <v>0.30486111111111114</v>
      </c>
      <c r="AX15" s="61">
        <f>_xlfn.RANK.EQ(AW15,AW$3:AW$10000,1)</f>
        <v>47</v>
      </c>
      <c r="AY15" s="61">
        <f>IFERROR(IF(_xlfn.XLOOKUP(B15,'w8'!$B:$B,'w8'!$G:$G)="--",0,_xlfn.XLOOKUP(B15,'w8'!$B:$B,'w8'!$G:$G)),0)</f>
        <v>2583</v>
      </c>
      <c r="AZ15" s="61">
        <f>_xlfn.RANK.EQ(AY15,AY$3:AY$10000,0)</f>
        <v>3</v>
      </c>
      <c r="BA15" s="66">
        <f>IFERROR(_xlfn.XLOOKUP(C15,'w9'!$B:$B,'w9'!$C:$C),0)</f>
        <v>50.2</v>
      </c>
      <c r="BB15" s="67">
        <f>_xlfn.RANK.EQ(BA15,BA$3:BA$10000,0)</f>
        <v>15</v>
      </c>
      <c r="BC15" s="68">
        <f>IFERROR(_xlfn.XLOOKUP(C15,'w9'!$B:$B,'w9'!$F:$F),1)</f>
        <v>0.32222222222222224</v>
      </c>
      <c r="BD15" s="67">
        <f>_xlfn.RANK.EQ(BC15,BC$3:BC$10000,1)</f>
        <v>51</v>
      </c>
      <c r="BE15" s="67">
        <f>IFERROR(IF(_xlfn.XLOOKUP(C15,'w9'!$B:$B,'w9'!$G:$G)="--",0,_xlfn.XLOOKUP(C15,'w9'!$B:$B,'w9'!$G:$G)),0)</f>
        <v>2129</v>
      </c>
      <c r="BF15" s="67">
        <f>_xlfn.RANK.EQ(BE15,BE$3:BE$10000,0)</f>
        <v>1</v>
      </c>
      <c r="BG15" s="72">
        <f>IFERROR(_xlfn.XLOOKUP(B15,'w10'!$B:$B,'w10'!$C:$C),0)</f>
        <v>29.3</v>
      </c>
      <c r="BH15" s="74">
        <f>_xlfn.RANK.EQ(BG15,BG$3:BG$10000,0)</f>
        <v>30</v>
      </c>
      <c r="BI15" s="75">
        <f>IFERROR(_xlfn.XLOOKUP(B15,'w10'!$B:$B,'w10'!$F:$F),1)</f>
        <v>0.33402777777777776</v>
      </c>
      <c r="BJ15" s="74">
        <f>_xlfn.RANK.EQ(BI15,BI$3:BI$10000,1)</f>
        <v>62</v>
      </c>
      <c r="BK15" s="74">
        <f>IFERROR(IF(_xlfn.XLOOKUP(B15,'w10'!$B:$B,'w10'!$G:$G)="--",0,_xlfn.XLOOKUP(B15,'w10'!$B:$B,'w10'!$G:$G)),0)</f>
        <v>1511</v>
      </c>
      <c r="BL15" s="74">
        <f>_xlfn.RANK.EQ(BK15,BK$3:BK$10000,0)</f>
        <v>6</v>
      </c>
      <c r="BM15" s="78">
        <f>IFERROR(_xlfn.XLOOKUP(B15,'w11'!$B:$B,'w11'!$C:$C),0)</f>
        <v>0</v>
      </c>
      <c r="BN15" s="80">
        <f>_xlfn.RANK.EQ(BM15,BM$3:BM$10000,0)</f>
        <v>76</v>
      </c>
      <c r="BO15" s="81">
        <f>IFERROR(_xlfn.XLOOKUP(B15,'w11'!$B:$B,'w11'!$F:$F),1)</f>
        <v>1</v>
      </c>
      <c r="BP15" s="80">
        <f>_xlfn.RANK.EQ(BO15,BO$3:BO$10000,1)</f>
        <v>76</v>
      </c>
      <c r="BQ15" s="80">
        <f>IFERROR(IF(_xlfn.XLOOKUP(B15,'w11'!$B:$B,'w11'!$G:$G)="--",0,_xlfn.XLOOKUP(B15,'w11'!$B:$B,'w11'!$G:$G)),0)</f>
        <v>0</v>
      </c>
      <c r="BR15" s="80">
        <f>_xlfn.RANK.EQ(BQ15,BQ$3:BQ$10000,0)</f>
        <v>75</v>
      </c>
      <c r="BS15" s="83">
        <f>IFERROR(_xlfn.XLOOKUP(B15,'w12'!$B:$B,'w12'!$C:$C),0)</f>
        <v>0</v>
      </c>
      <c r="BT15" s="86">
        <f>_xlfn.RANK.EQ(BS15,BS$3:BS$10000,0)</f>
        <v>76</v>
      </c>
      <c r="BU15" s="87">
        <f>IFERROR(_xlfn.XLOOKUP(B15,'w12'!$B:$B,'w12'!$F:$F),1)</f>
        <v>1</v>
      </c>
      <c r="BV15" s="86">
        <f>_xlfn.RANK.EQ(BU15,BU$3:BU$10000,1)</f>
        <v>76</v>
      </c>
      <c r="BW15" s="86">
        <f>IFERROR(IF(_xlfn.XLOOKUP(B15,'w12'!$B:$B,'w12'!$G:$G)="--",0,_xlfn.XLOOKUP(B15,'w12'!$B:$B,'w12'!$G:$G)),0)</f>
        <v>0</v>
      </c>
      <c r="BX15" s="86">
        <f>_xlfn.RANK.EQ(BW15,BW$3:BW$10000,0)</f>
        <v>73</v>
      </c>
      <c r="BY15" s="89">
        <f>IFERROR(_xlfn.XLOOKUP(B15,'w13'!$B:$B,'w13'!$C:$C),0)</f>
        <v>17</v>
      </c>
      <c r="BZ15" s="92">
        <f>_xlfn.RANK.EQ(BY15,BY$3:BY$10000,0)</f>
        <v>47</v>
      </c>
      <c r="CA15" s="93">
        <f>IFERROR(_xlfn.XLOOKUP(B15,'w13'!$B:$B,'w13'!$F:$F),1)</f>
        <v>0.3972222222222222</v>
      </c>
      <c r="CB15" s="92">
        <f>_xlfn.RANK.EQ(CA15,CA$3:CA$10000,1)</f>
        <v>67</v>
      </c>
      <c r="CC15" s="92">
        <f>IFERROR(IF(_xlfn.XLOOKUP(B15,'w13'!$B:$B,'w13'!$G:$G)="--",0,_xlfn.XLOOKUP(B15,'w13'!$B:$B,'w13'!$G:$G)),0)</f>
        <v>1128</v>
      </c>
      <c r="CD15" s="92">
        <f>_xlfn.RANK.EQ(CC15,CC$3:CC$10000,0)</f>
        <v>11</v>
      </c>
      <c r="CE15" s="95">
        <f>IFERROR(_xlfn.XLOOKUP(B15,'w14'!$B:$B,'w14'!$C:$C),0)</f>
        <v>91.2</v>
      </c>
      <c r="CF15" s="98">
        <f>_xlfn.RANK.EQ(CE15,CE$3:CE$10000,0)</f>
        <v>2</v>
      </c>
      <c r="CG15" s="99">
        <f>IFERROR(_xlfn.XLOOKUP(B15,'w14'!$B:$B,'w14'!$F:$F),1)</f>
        <v>0.31319444444444444</v>
      </c>
      <c r="CH15" s="98">
        <f>_xlfn.RANK.EQ(CG15,CG$3:CG$10000,1)</f>
        <v>43</v>
      </c>
      <c r="CI15" s="98">
        <f>IFERROR(IF(_xlfn.XLOOKUP(B15,'w14'!$B:$B,'w14'!$G:$G)="--",0,_xlfn.XLOOKUP(B15,'w14'!$B:$B,'w14'!$G:$G)),0)</f>
        <v>2480</v>
      </c>
      <c r="CJ15" s="98">
        <f>_xlfn.RANK.EQ(CI15,CI$3:CI$10000,0)</f>
        <v>3</v>
      </c>
      <c r="CK15" s="9">
        <f>_xlfn.RANK.EQ(D15,D$3:D$10000,1)</f>
        <v>13</v>
      </c>
      <c r="CL15" s="26" t="s">
        <v>89</v>
      </c>
      <c r="CM15" s="8">
        <f>SUM(E15,K15,Q15,W15,AC15,AI15,AO15,AU15,BA15,BG15,BM15,BS15,BY15,CE15)</f>
        <v>559.1</v>
      </c>
      <c r="CN15" s="9">
        <f>_xlfn.RANK.EQ(CM15,CM$3:CM$10000)</f>
        <v>13</v>
      </c>
      <c r="CO15" s="15">
        <f>IFERROR(SUM(PRODUCT(E15,G15),PRODUCT(K15,M15),PRODUCT(Q15,S15),PRODUCT(W15,Y15),PRODUCT(AC15,AE15),PRODUCT(AI15,AK15),PRODUCT(AO15,AQ15),PRODUCT(AU15,AW15),PRODUCT(BA15,BC15),PRODUCT(BG15,BI15),PRODUCT(BM15,BO15),PRODUCT(BS15,BU15),PRODUCT(BY15,CA15),PRODUCT(CE15,CG15))/CM15,1)</f>
        <v>0.320318493014567</v>
      </c>
      <c r="CP15" s="9">
        <f>_xlfn.RANK.EQ(CO15,CO$3:CO$10000,1)</f>
        <v>71</v>
      </c>
      <c r="CQ15" s="9">
        <f>SUM(I15,O15,U15,AA15,AG15,AM15,AS15,AY15,BE15,BK15,BQ15,BW15,CC15,CI15)</f>
        <v>23015</v>
      </c>
      <c r="CR15" s="9">
        <f>_xlfn.RANK.EQ(CQ15,CQ$3:CQ$10000)</f>
        <v>3</v>
      </c>
      <c r="CS15" s="23"/>
      <c r="CT15" s="25"/>
      <c r="CU15" s="24">
        <f>_xlfn.STDEV.S(F15,L15,R15,X15,AD15,AJ15,AP15,AV15,BB15,BH15,BN15,BT15,BZ15,CF15)</f>
        <v>25.62332814165531</v>
      </c>
      <c r="CV15" s="21">
        <f>_xlfn.RANK.EQ(CU15,CU$3:CU$10000,1)</f>
        <v>103</v>
      </c>
      <c r="CW15" s="24">
        <f>_xlfn.STDEV.S(H15,N15,T15,Z15,AF15,AL15,AR15,AX15,BD15,BJ15,BP15,BV15,CB15,CH15)</f>
        <v>11.735407117768876</v>
      </c>
      <c r="CX15" s="21">
        <f>_xlfn.RANK.EQ(CW15,CW$3:CW$10000,1)</f>
        <v>34</v>
      </c>
      <c r="CY15" s="24">
        <f>_xlfn.STDEV.S(J15,P15,V15,AB15,AH15,AN15,AT15,AZ15,BF15,BL15,BR15,BX15,CD15,CJ15)</f>
        <v>25.266165535734167</v>
      </c>
      <c r="CZ15" s="21">
        <f>_xlfn.RANK.EQ(CY15,CY$3:CY$10000,1)</f>
        <v>100</v>
      </c>
      <c r="DA15">
        <f>SUM(COUNTIF(E15,"&gt;0"),COUNTIF(K15,"&gt;0"),COUNTIF(Q15,"&gt;0"),COUNTIF(W15,"&gt;0"),COUNTIF(AC15,"&gt;0"),COUNTIF(AI15,"&gt;0"),COUNTIF(AO15,"&gt;0"),COUNTIF(AU15,"&gt;0"),COUNTIF(BA15,"&gt;0"),COUNTIF(BG15,"&gt;0"),COUNTIF(BM15,"&gt;0"),COUNTIF(BS15,"&gt;0"),COUNTIF(BY15,"&gt;0"),COUNTIF(CE15,"&gt;0"))</f>
        <v>12</v>
      </c>
    </row>
    <row r="16" spans="1:105" x14ac:dyDescent="0.3">
      <c r="B16" t="s">
        <v>51</v>
      </c>
      <c r="C16" s="18" t="s">
        <v>147</v>
      </c>
      <c r="D16" s="4">
        <f>CN16*$CN$1+CP16*$CP$1+CR16*$CR$1</f>
        <v>15.2</v>
      </c>
      <c r="E16" s="29">
        <f>IFERROR(_xlfn.XLOOKUP(B16,'w1'!$B:$B,'w1'!$C:$C),0)</f>
        <v>17.100000000000001</v>
      </c>
      <c r="F16" s="30">
        <f>_xlfn.RANK.EQ(E16,E$3:E$10000,0)</f>
        <v>48</v>
      </c>
      <c r="G16" s="31">
        <f>IFERROR(_xlfn.XLOOKUP(B16,'w1'!$B:$B,'w1'!$F:$F),1)</f>
        <v>0.27986111111111112</v>
      </c>
      <c r="H16" s="30">
        <f>_xlfn.RANK.EQ(G16,G$3:G$10000,1)</f>
        <v>46</v>
      </c>
      <c r="I16" s="30">
        <f>IFERROR(IF(_xlfn.XLOOKUP(B16,'w1'!$B:$B,'w1'!$G:$G)="--",0,_xlfn.XLOOKUP(B16,'w1'!$B:$B,'w1'!$G:$G)),0)</f>
        <v>72</v>
      </c>
      <c r="J16" s="30">
        <f>_xlfn.RANK.EQ(I16,I$3:I$10000,0)</f>
        <v>58</v>
      </c>
      <c r="K16" s="34">
        <f>IFERROR(_xlfn.XLOOKUP(B16,'w2'!$B:$B,'w2'!$C:$C),0)</f>
        <v>27.1</v>
      </c>
      <c r="L16" s="35">
        <f>_xlfn.RANK.EQ(K16,K$3:K$10000,0)</f>
        <v>33</v>
      </c>
      <c r="M16" s="36">
        <f>IFERROR(_xlfn.XLOOKUP(B16,'w2'!$B:$B,'w2'!$F:$F),1)</f>
        <v>0.27777777777777779</v>
      </c>
      <c r="N16" s="35">
        <f>_xlfn.RANK.EQ(M16,M$3:M$10000,1)</f>
        <v>35</v>
      </c>
      <c r="O16" s="35">
        <f>IFERROR(IF(_xlfn.XLOOKUP(B16,'w2'!$B:$B,'w2'!$G:$G)="--",0,_xlfn.XLOOKUP(B16,'w2'!$B:$B,'w2'!$G:$G)),0)</f>
        <v>67</v>
      </c>
      <c r="P16" s="35">
        <f>_xlfn.RANK.EQ(O16,O$3:O$10000,0)</f>
        <v>60</v>
      </c>
      <c r="Q16" s="39">
        <f>IFERROR(_xlfn.XLOOKUP(B16,'w3'!$B:$B,'w3'!$C:$C),0)</f>
        <v>30.6</v>
      </c>
      <c r="R16" s="40">
        <f>_xlfn.RANK.EQ(Q16,Q$3:Q$10000,0)</f>
        <v>28</v>
      </c>
      <c r="S16" s="41">
        <f>IFERROR(_xlfn.XLOOKUP(B16,'w3'!$B:$B,'w3'!$F:$F),1)</f>
        <v>0.27013888888888887</v>
      </c>
      <c r="T16" s="40">
        <f>_xlfn.RANK.EQ(S16,S$3:S$10000,1)</f>
        <v>36</v>
      </c>
      <c r="U16" s="40">
        <f>IFERROR(IF(_xlfn.XLOOKUP(B16,'w3'!$B:$B,'w3'!$G:$G)="--",0,_xlfn.XLOOKUP(B16,'w3'!$B:$B,'w3'!$G:$G)),0)</f>
        <v>135</v>
      </c>
      <c r="V16" s="40">
        <f>_xlfn.RANK.EQ(U16,U$3:U$10000,0)</f>
        <v>45</v>
      </c>
      <c r="W16" s="44">
        <f>IFERROR(_xlfn.XLOOKUP(B16,'w4'!$B:$B,'w4'!$C:$C),0)</f>
        <v>33.1</v>
      </c>
      <c r="X16" s="45">
        <f>_xlfn.RANK.EQ(W16,W$3:W$10000,0)</f>
        <v>21</v>
      </c>
      <c r="Y16" s="46">
        <f>IFERROR(_xlfn.XLOOKUP(B16,'w4'!$B:$B,'w4'!$F:$F),1)</f>
        <v>0.26041666666666669</v>
      </c>
      <c r="Z16" s="45">
        <f>_xlfn.RANK.EQ(Y16,Y$3:Y$10000,1)</f>
        <v>30</v>
      </c>
      <c r="AA16" s="45">
        <f>IFERROR(IF(_xlfn.XLOOKUP(B16,'w4'!$B:$B,'w4'!$G:$G)="--",0,_xlfn.XLOOKUP(B16,'w4'!$B:$B,'w4'!$G:$G)),0)</f>
        <v>292</v>
      </c>
      <c r="AB16" s="45">
        <f>_xlfn.RANK.EQ(AA16,AA$3:AA$10000,0)</f>
        <v>29</v>
      </c>
      <c r="AC16" s="13">
        <f>IFERROR(_xlfn.XLOOKUP(B16,'w5'!$B:$B,'w5'!$C:$C),0)</f>
        <v>37.299999999999997</v>
      </c>
      <c r="AD16" s="12">
        <f>_xlfn.RANK.EQ(AC16,AC$3:AC$10000,0)</f>
        <v>27</v>
      </c>
      <c r="AE16" s="14">
        <f>IFERROR(_xlfn.XLOOKUP(B16,'w5'!$B:$B,'w5'!$F:$F),1)</f>
        <v>0.22708333333333333</v>
      </c>
      <c r="AF16" s="12">
        <f>_xlfn.RANK.EQ(AE16,AE$3:AE$10000,1)</f>
        <v>8</v>
      </c>
      <c r="AG16" s="12">
        <f>IFERROR(IF(_xlfn.XLOOKUP(B16,'w5'!$B:$B,'w5'!$G:$G)="--",0,_xlfn.XLOOKUP(B16,'w5'!$B:$B,'w5'!$G:$G)),0)</f>
        <v>137</v>
      </c>
      <c r="AH16" s="12">
        <f>_xlfn.RANK.EQ(AG16,AG$3:AG$10000,0)</f>
        <v>54</v>
      </c>
      <c r="AI16" s="51">
        <f>IFERROR(_xlfn.XLOOKUP(B16,'w6'!$B:$B,'w6'!$C:$C),0)</f>
        <v>39.799999999999997</v>
      </c>
      <c r="AJ16" s="50">
        <f>_xlfn.RANK.EQ(AI16,AI$3:AI$10000,0)</f>
        <v>10</v>
      </c>
      <c r="AK16" s="52">
        <f>IFERROR(_xlfn.XLOOKUP(B16,'w6'!$B:$B,'w6'!$F:$F),1)</f>
        <v>0.25486111111111109</v>
      </c>
      <c r="AL16" s="50">
        <f>_xlfn.RANK.EQ(AK16,AK$3:AK$10000,1)</f>
        <v>17</v>
      </c>
      <c r="AM16" s="50">
        <f>IFERROR(IF(_xlfn.XLOOKUP(B16,'w6'!$B:$B,'w6'!$G:$G)="--",0,_xlfn.XLOOKUP(B16,'w6'!$B:$B,'w6'!$G:$G)),0)</f>
        <v>280</v>
      </c>
      <c r="AN16" s="50">
        <f>_xlfn.RANK.EQ(AM16,AM$3:AM$10000,0)</f>
        <v>28</v>
      </c>
      <c r="AO16" s="56">
        <f>IFERROR(_xlfn.XLOOKUP(B16,'w7'!$B:$B,'w7'!$C:$C),0)</f>
        <v>36.6</v>
      </c>
      <c r="AP16" s="57">
        <f>_xlfn.RANK.EQ(AO16,AO$3:AO$10000,0)</f>
        <v>20</v>
      </c>
      <c r="AQ16" s="58">
        <f>IFERROR(_xlfn.XLOOKUP(B16,'w7'!$B:$B,'w7'!$F:$F),1)</f>
        <v>0.25486111111111109</v>
      </c>
      <c r="AR16" s="57">
        <f>_xlfn.RANK.EQ(AQ16,AQ$3:AQ$10000,1)</f>
        <v>24</v>
      </c>
      <c r="AS16" s="57">
        <f>IFERROR(IF(_xlfn.XLOOKUP(B16,'w7'!$B:$B,'w7'!$G:$G)="--",0,_xlfn.XLOOKUP(B16,'w7'!$B:$B,'w7'!$G:$G)),0)</f>
        <v>81</v>
      </c>
      <c r="AT16" s="57">
        <f>_xlfn.RANK.EQ(AS16,AS$3:AS$10000,0)</f>
        <v>56</v>
      </c>
      <c r="AU16" s="62">
        <f>IFERROR(_xlfn.XLOOKUP(B16,'w8'!$B:$B,'w8'!$C:$C),0)</f>
        <v>58.4</v>
      </c>
      <c r="AV16" s="61">
        <f>_xlfn.RANK.EQ(AU16,AU$3:AU$10000,0)</f>
        <v>7</v>
      </c>
      <c r="AW16" s="63">
        <f>IFERROR(_xlfn.XLOOKUP(B16,'w8'!$B:$B,'w8'!$F:$F),1)</f>
        <v>0.25624999999999998</v>
      </c>
      <c r="AX16" s="61">
        <f>_xlfn.RANK.EQ(AW16,AW$3:AW$10000,1)</f>
        <v>19</v>
      </c>
      <c r="AY16" s="61">
        <f>IFERROR(IF(_xlfn.XLOOKUP(B16,'w8'!$B:$B,'w8'!$G:$G)="--",0,_xlfn.XLOOKUP(B16,'w8'!$B:$B,'w8'!$G:$G)),0)</f>
        <v>165</v>
      </c>
      <c r="AZ16" s="61">
        <f>_xlfn.RANK.EQ(AY16,AY$3:AY$10000,0)</f>
        <v>44</v>
      </c>
      <c r="BA16" s="66">
        <f>IFERROR(_xlfn.XLOOKUP(C16,'w9'!$B:$B,'w9'!$C:$C),0)</f>
        <v>38.700000000000003</v>
      </c>
      <c r="BB16" s="67">
        <f>_xlfn.RANK.EQ(BA16,BA$3:BA$10000,0)</f>
        <v>25</v>
      </c>
      <c r="BC16" s="68">
        <f>IFERROR(_xlfn.XLOOKUP(C16,'w9'!$B:$B,'w9'!$F:$F),1)</f>
        <v>0.26041666666666669</v>
      </c>
      <c r="BD16" s="67">
        <f>_xlfn.RANK.EQ(BC16,BC$3:BC$10000,1)</f>
        <v>18</v>
      </c>
      <c r="BE16" s="67">
        <f>IFERROR(IF(_xlfn.XLOOKUP(C16,'w9'!$B:$B,'w9'!$G:$G)="--",0,_xlfn.XLOOKUP(C16,'w9'!$B:$B,'w9'!$G:$G)),0)</f>
        <v>244</v>
      </c>
      <c r="BF16" s="67">
        <f>_xlfn.RANK.EQ(BE16,BE$3:BE$10000,0)</f>
        <v>48</v>
      </c>
      <c r="BG16" s="72">
        <f>IFERROR(_xlfn.XLOOKUP(B16,'w10'!$B:$B,'w10'!$C:$C),0)</f>
        <v>46.6</v>
      </c>
      <c r="BH16" s="74">
        <f>_xlfn.RANK.EQ(BG16,BG$3:BG$10000,0)</f>
        <v>14</v>
      </c>
      <c r="BI16" s="75">
        <f>IFERROR(_xlfn.XLOOKUP(B16,'w10'!$B:$B,'w10'!$F:$F),1)</f>
        <v>0.25624999999999998</v>
      </c>
      <c r="BJ16" s="74">
        <f>_xlfn.RANK.EQ(BI16,BI$3:BI$10000,1)</f>
        <v>24</v>
      </c>
      <c r="BK16" s="74">
        <f>IFERROR(IF(_xlfn.XLOOKUP(B16,'w10'!$B:$B,'w10'!$G:$G)="--",0,_xlfn.XLOOKUP(B16,'w10'!$B:$B,'w10'!$G:$G)),0)</f>
        <v>72</v>
      </c>
      <c r="BL16" s="74">
        <f>_xlfn.RANK.EQ(BK16,BK$3:BK$10000,0)</f>
        <v>63</v>
      </c>
      <c r="BM16" s="78">
        <f>IFERROR(_xlfn.XLOOKUP(B16,'w11'!$B:$B,'w11'!$C:$C),0)</f>
        <v>44.8</v>
      </c>
      <c r="BN16" s="80">
        <f>_xlfn.RANK.EQ(BM16,BM$3:BM$10000,0)</f>
        <v>12</v>
      </c>
      <c r="BO16" s="81">
        <f>IFERROR(_xlfn.XLOOKUP(B16,'w11'!$B:$B,'w11'!$F:$F),1)</f>
        <v>0.25208333333333333</v>
      </c>
      <c r="BP16" s="80">
        <f>_xlfn.RANK.EQ(BO16,BO$3:BO$10000,1)</f>
        <v>21</v>
      </c>
      <c r="BQ16" s="80">
        <f>IFERROR(IF(_xlfn.XLOOKUP(B16,'w11'!$B:$B,'w11'!$G:$G)="--",0,_xlfn.XLOOKUP(B16,'w11'!$B:$B,'w11'!$G:$G)),0)</f>
        <v>287</v>
      </c>
      <c r="BR16" s="80">
        <f>_xlfn.RANK.EQ(BQ16,BQ$3:BQ$10000,0)</f>
        <v>30</v>
      </c>
      <c r="BS16" s="83">
        <f>IFERROR(_xlfn.XLOOKUP(B16,'w12'!$B:$B,'w12'!$C:$C),0)</f>
        <v>23.4</v>
      </c>
      <c r="BT16" s="86">
        <f>_xlfn.RANK.EQ(BS16,BS$3:BS$10000,0)</f>
        <v>22</v>
      </c>
      <c r="BU16" s="87">
        <f>IFERROR(_xlfn.XLOOKUP(B16,'w12'!$B:$B,'w12'!$F:$F),1)</f>
        <v>0.2673611111111111</v>
      </c>
      <c r="BV16" s="86">
        <f>_xlfn.RANK.EQ(BU16,BU$3:BU$10000,1)</f>
        <v>30</v>
      </c>
      <c r="BW16" s="86">
        <f>IFERROR(IF(_xlfn.XLOOKUP(B16,'w12'!$B:$B,'w12'!$G:$G)="--",0,_xlfn.XLOOKUP(B16,'w12'!$B:$B,'w12'!$G:$G)),0)</f>
        <v>152</v>
      </c>
      <c r="BX16" s="86">
        <f>_xlfn.RANK.EQ(BW16,BW$3:BW$10000,0)</f>
        <v>47</v>
      </c>
      <c r="BY16" s="89">
        <f>IFERROR(_xlfn.XLOOKUP(B16,'w13'!$B:$B,'w13'!$C:$C),0)</f>
        <v>48.3</v>
      </c>
      <c r="BZ16" s="92">
        <f>_xlfn.RANK.EQ(BY16,BY$3:BY$10000,0)</f>
        <v>9</v>
      </c>
      <c r="CA16" s="93">
        <f>IFERROR(_xlfn.XLOOKUP(B16,'w13'!$B:$B,'w13'!$F:$F),1)</f>
        <v>0.26805555555555555</v>
      </c>
      <c r="CB16" s="92">
        <f>_xlfn.RANK.EQ(CA16,CA$3:CA$10000,1)</f>
        <v>33</v>
      </c>
      <c r="CC16" s="92">
        <f>IFERROR(IF(_xlfn.XLOOKUP(B16,'w13'!$B:$B,'w13'!$G:$G)="--",0,_xlfn.XLOOKUP(B16,'w13'!$B:$B,'w13'!$G:$G)),0)</f>
        <v>262</v>
      </c>
      <c r="CD16" s="92">
        <f>_xlfn.RANK.EQ(CC16,CC$3:CC$10000,0)</f>
        <v>27</v>
      </c>
      <c r="CE16" s="95">
        <f>IFERROR(_xlfn.XLOOKUP(B16,'w14'!$B:$B,'w14'!$C:$C),0)</f>
        <v>69.400000000000006</v>
      </c>
      <c r="CF16" s="98">
        <f>_xlfn.RANK.EQ(CE16,CE$3:CE$10000,0)</f>
        <v>4</v>
      </c>
      <c r="CG16" s="99">
        <f>IFERROR(_xlfn.XLOOKUP(B16,'w14'!$B:$B,'w14'!$F:$F),1)</f>
        <v>0.26666666666666666</v>
      </c>
      <c r="CH16" s="98">
        <f>_xlfn.RANK.EQ(CG16,CG$3:CG$10000,1)</f>
        <v>28</v>
      </c>
      <c r="CI16" s="98">
        <f>IFERROR(IF(_xlfn.XLOOKUP(B16,'w14'!$B:$B,'w14'!$G:$G)="--",0,_xlfn.XLOOKUP(B16,'w14'!$B:$B,'w14'!$G:$G)),0)</f>
        <v>177</v>
      </c>
      <c r="CJ16" s="98">
        <f>_xlfn.RANK.EQ(CI16,CI$3:CI$10000,0)</f>
        <v>38</v>
      </c>
      <c r="CK16" s="9">
        <f>_xlfn.RANK.EQ(D16,D$3:D$10000,1)</f>
        <v>14</v>
      </c>
      <c r="CL16" s="26" t="s">
        <v>147</v>
      </c>
      <c r="CM16" s="8">
        <f>SUM(E16,K16,Q16,W16,AC16,AI16,AO16,AU16,BA16,BG16,BM16,BS16,BY16,CE16)</f>
        <v>551.20000000000005</v>
      </c>
      <c r="CN16" s="9">
        <f>_xlfn.RANK.EQ(CM16,CM$3:CM$10000)</f>
        <v>14</v>
      </c>
      <c r="CO16" s="15">
        <f>IFERROR(SUM(PRODUCT(E16,G16),PRODUCT(K16,M16),PRODUCT(Q16,S16),PRODUCT(W16,Y16),PRODUCT(AC16,AE16),PRODUCT(AI16,AK16),PRODUCT(AO16,AQ16),PRODUCT(AU16,AW16),PRODUCT(BA16,BC16),PRODUCT(BG16,BI16),PRODUCT(BM16,BO16),PRODUCT(BS16,BU16),PRODUCT(BY16,CA16),PRODUCT(CE16,CG16))/CM16,1)</f>
        <v>0.25966754354136429</v>
      </c>
      <c r="CP16" s="9">
        <f>_xlfn.RANK.EQ(CO16,CO$3:CO$10000,1)</f>
        <v>27</v>
      </c>
      <c r="CQ16" s="9">
        <f>SUM(I16,O16,U16,AA16,AG16,AM16,AS16,AY16,BE16,BK16,BQ16,BW16,CC16,CI16)</f>
        <v>2423</v>
      </c>
      <c r="CR16" s="9">
        <f>_xlfn.RANK.EQ(CQ16,CQ$3:CQ$10000)</f>
        <v>49</v>
      </c>
      <c r="CS16" s="23">
        <f t="shared" ref="CS16:CS20" si="2">_xlfn.RANK.EQ(CT16,CT$3:CT$10000,1)</f>
        <v>10</v>
      </c>
      <c r="CT16" s="25">
        <f t="shared" ref="CT16:CT20" si="3">CV16*$CN$1+CX16*$CP$1+CZ16*$CR$1</f>
        <v>40.5</v>
      </c>
      <c r="CU16" s="24">
        <f>_xlfn.STDEV.S(F16,L16,R16,X16,AD16,AJ16,AP16,AV16,BB16,BH16,BN16,BT16,BZ16,CF16)</f>
        <v>11.903457804029369</v>
      </c>
      <c r="CV16" s="21">
        <f>_xlfn.RANK.EQ(CU16,CU$3:CU$10000,1)</f>
        <v>41</v>
      </c>
      <c r="CW16" s="24">
        <f>_xlfn.STDEV.S(H16,N16,T16,Z16,AF16,AL16,AR16,AX16,BD16,BJ16,BP16,BV16,CB16,CH16)</f>
        <v>9.6684032796538855</v>
      </c>
      <c r="CX16" s="21">
        <f>_xlfn.RANK.EQ(CW16,CW$3:CW$10000,1)</f>
        <v>24</v>
      </c>
      <c r="CY16" s="24">
        <f>_xlfn.STDEV.S(J16,P16,V16,AB16,AH16,AN16,AT16,AZ16,BF16,BL16,BR16,BX16,CD16,CJ16)</f>
        <v>12.638029127193057</v>
      </c>
      <c r="CZ16" s="21">
        <f>_xlfn.RANK.EQ(CY16,CY$3:CY$10000,1)</f>
        <v>38</v>
      </c>
      <c r="DA16">
        <f>SUM(COUNTIF(E16,"&gt;0"),COUNTIF(K16,"&gt;0"),COUNTIF(Q16,"&gt;0"),COUNTIF(W16,"&gt;0"),COUNTIF(AC16,"&gt;0"),COUNTIF(AI16,"&gt;0"),COUNTIF(AO16,"&gt;0"),COUNTIF(AU16,"&gt;0"),COUNTIF(BA16,"&gt;0"),COUNTIF(BG16,"&gt;0"),COUNTIF(BM16,"&gt;0"),COUNTIF(BS16,"&gt;0"),COUNTIF(BY16,"&gt;0"),COUNTIF(CE16,"&gt;0"))</f>
        <v>14</v>
      </c>
    </row>
    <row r="17" spans="1:105" x14ac:dyDescent="0.3">
      <c r="B17" t="s">
        <v>32</v>
      </c>
      <c r="C17" s="18" t="s">
        <v>111</v>
      </c>
      <c r="D17" s="4">
        <f>CN17*$CN$1+CP17*$CP$1+CR17*$CR$1</f>
        <v>15.950000000000001</v>
      </c>
      <c r="E17" s="29">
        <f>IFERROR(_xlfn.XLOOKUP(B17,'w1'!$B:$B,'w1'!$C:$C),0)</f>
        <v>26.2</v>
      </c>
      <c r="F17" s="30">
        <f>_xlfn.RANK.EQ(E17,E$3:E$10000,0)</f>
        <v>29</v>
      </c>
      <c r="G17" s="31">
        <f>IFERROR(_xlfn.XLOOKUP(B17,'w1'!$B:$B,'w1'!$F:$F),1)</f>
        <v>0.26041666666666669</v>
      </c>
      <c r="H17" s="30">
        <f>_xlfn.RANK.EQ(G17,G$3:G$10000,1)</f>
        <v>27</v>
      </c>
      <c r="I17" s="30">
        <f>IFERROR(IF(_xlfn.XLOOKUP(B17,'w1'!$B:$B,'w1'!$G:$G)="--",0,_xlfn.XLOOKUP(B17,'w1'!$B:$B,'w1'!$G:$G)),0)</f>
        <v>350</v>
      </c>
      <c r="J17" s="30">
        <f>_xlfn.RANK.EQ(I17,I$3:I$10000,0)</f>
        <v>25</v>
      </c>
      <c r="K17" s="34">
        <f>IFERROR(_xlfn.XLOOKUP(B17,'w2'!$B:$B,'w2'!$C:$C),0)</f>
        <v>30.8</v>
      </c>
      <c r="L17" s="35">
        <f>_xlfn.RANK.EQ(K17,K$3:K$10000,0)</f>
        <v>28</v>
      </c>
      <c r="M17" s="36">
        <f>IFERROR(_xlfn.XLOOKUP(B17,'w2'!$B:$B,'w2'!$F:$F),1)</f>
        <v>0.29236111111111113</v>
      </c>
      <c r="N17" s="35">
        <f>_xlfn.RANK.EQ(M17,M$3:M$10000,1)</f>
        <v>45</v>
      </c>
      <c r="O17" s="35">
        <f>IFERROR(IF(_xlfn.XLOOKUP(B17,'w2'!$B:$B,'w2'!$G:$G)="--",0,_xlfn.XLOOKUP(B17,'w2'!$B:$B,'w2'!$G:$G)),0)</f>
        <v>440</v>
      </c>
      <c r="P17" s="35">
        <f>_xlfn.RANK.EQ(O17,O$3:O$10000,0)</f>
        <v>23</v>
      </c>
      <c r="Q17" s="39">
        <f>IFERROR(_xlfn.XLOOKUP(B17,'w3'!$B:$B,'w3'!$C:$C),0)</f>
        <v>53.5</v>
      </c>
      <c r="R17" s="40">
        <f>_xlfn.RANK.EQ(Q17,Q$3:Q$10000,0)</f>
        <v>9</v>
      </c>
      <c r="S17" s="41">
        <f>IFERROR(_xlfn.XLOOKUP(B17,'w3'!$B:$B,'w3'!$F:$F),1)</f>
        <v>0.29930555555555555</v>
      </c>
      <c r="T17" s="40">
        <f>_xlfn.RANK.EQ(S17,S$3:S$10000,1)</f>
        <v>52</v>
      </c>
      <c r="U17" s="40">
        <f>IFERROR(IF(_xlfn.XLOOKUP(B17,'w3'!$B:$B,'w3'!$G:$G)="--",0,_xlfn.XLOOKUP(B17,'w3'!$B:$B,'w3'!$G:$G)),0)</f>
        <v>1256</v>
      </c>
      <c r="V17" s="40">
        <f>_xlfn.RANK.EQ(U17,U$3:U$10000,0)</f>
        <v>8</v>
      </c>
      <c r="W17" s="44">
        <f>IFERROR(_xlfn.XLOOKUP(B17,'w4'!$B:$B,'w4'!$C:$C),0)</f>
        <v>64.2</v>
      </c>
      <c r="X17" s="45">
        <f>_xlfn.RANK.EQ(W17,W$3:W$10000,0)</f>
        <v>4</v>
      </c>
      <c r="Y17" s="46">
        <f>IFERROR(_xlfn.XLOOKUP(B17,'w4'!$B:$B,'w4'!$F:$F),1)</f>
        <v>0.30277777777777776</v>
      </c>
      <c r="Z17" s="45">
        <f>_xlfn.RANK.EQ(Y17,Y$3:Y$10000,1)</f>
        <v>51</v>
      </c>
      <c r="AA17" s="45">
        <f>IFERROR(IF(_xlfn.XLOOKUP(B17,'w4'!$B:$B,'w4'!$G:$G)="--",0,_xlfn.XLOOKUP(B17,'w4'!$B:$B,'w4'!$G:$G)),0)</f>
        <v>1558</v>
      </c>
      <c r="AB17" s="45">
        <f>_xlfn.RANK.EQ(AA17,AA$3:AA$10000,0)</f>
        <v>7</v>
      </c>
      <c r="AC17" s="13">
        <f>IFERROR(_xlfn.XLOOKUP(B17,'w5'!$B:$B,'w5'!$C:$C),0)</f>
        <v>47.5</v>
      </c>
      <c r="AD17" s="12">
        <f>_xlfn.RANK.EQ(AC17,AC$3:AC$10000,0)</f>
        <v>11</v>
      </c>
      <c r="AE17" s="14">
        <f>IFERROR(_xlfn.XLOOKUP(B17,'w5'!$B:$B,'w5'!$F:$F),1)</f>
        <v>0.32569444444444445</v>
      </c>
      <c r="AF17" s="12">
        <f>_xlfn.RANK.EQ(AE17,AE$3:AE$10000,1)</f>
        <v>51</v>
      </c>
      <c r="AG17" s="12">
        <f>IFERROR(IF(_xlfn.XLOOKUP(B17,'w5'!$B:$B,'w5'!$G:$G)="--",0,_xlfn.XLOOKUP(B17,'w5'!$B:$B,'w5'!$G:$G)),0)</f>
        <v>1136</v>
      </c>
      <c r="AH17" s="12">
        <f>_xlfn.RANK.EQ(AG17,AG$3:AG$10000,0)</f>
        <v>11</v>
      </c>
      <c r="AI17" s="51">
        <f>IFERROR(_xlfn.XLOOKUP(B17,'w6'!$B:$B,'w6'!$C:$C),0)</f>
        <v>40.6</v>
      </c>
      <c r="AJ17" s="50">
        <f>_xlfn.RANK.EQ(AI17,AI$3:AI$10000,0)</f>
        <v>9</v>
      </c>
      <c r="AK17" s="52">
        <f>IFERROR(_xlfn.XLOOKUP(B17,'w6'!$B:$B,'w6'!$F:$F),1)</f>
        <v>0.31111111111111112</v>
      </c>
      <c r="AL17" s="50">
        <f>_xlfn.RANK.EQ(AK17,AK$3:AK$10000,1)</f>
        <v>41</v>
      </c>
      <c r="AM17" s="50">
        <f>IFERROR(IF(_xlfn.XLOOKUP(B17,'w6'!$B:$B,'w6'!$G:$G)="--",0,_xlfn.XLOOKUP(B17,'w6'!$B:$B,'w6'!$G:$G)),0)</f>
        <v>1107</v>
      </c>
      <c r="AN17" s="50">
        <f>_xlfn.RANK.EQ(AM17,AM$3:AM$10000,0)</f>
        <v>4</v>
      </c>
      <c r="AO17" s="56">
        <f>IFERROR(_xlfn.XLOOKUP(B17,'w7'!$B:$B,'w7'!$C:$C),0)</f>
        <v>35.4</v>
      </c>
      <c r="AP17" s="57">
        <f>_xlfn.RANK.EQ(AO17,AO$3:AO$10000,0)</f>
        <v>21</v>
      </c>
      <c r="AQ17" s="58">
        <f>IFERROR(_xlfn.XLOOKUP(B17,'w7'!$B:$B,'w7'!$F:$F),1)</f>
        <v>0.25694444444444442</v>
      </c>
      <c r="AR17" s="57">
        <f>_xlfn.RANK.EQ(AQ17,AQ$3:AQ$10000,1)</f>
        <v>27</v>
      </c>
      <c r="AS17" s="57">
        <f>IFERROR(IF(_xlfn.XLOOKUP(B17,'w7'!$B:$B,'w7'!$G:$G)="--",0,_xlfn.XLOOKUP(B17,'w7'!$B:$B,'w7'!$G:$G)),0)</f>
        <v>358</v>
      </c>
      <c r="AT17" s="57">
        <f>_xlfn.RANK.EQ(AS17,AS$3:AS$10000,0)</f>
        <v>25</v>
      </c>
      <c r="AU17" s="62">
        <f>IFERROR(_xlfn.XLOOKUP(B17,'w8'!$B:$B,'w8'!$C:$C),0)</f>
        <v>37.4</v>
      </c>
      <c r="AV17" s="61">
        <f>_xlfn.RANK.EQ(AU17,AU$3:AU$10000,0)</f>
        <v>25</v>
      </c>
      <c r="AW17" s="63">
        <f>IFERROR(_xlfn.XLOOKUP(B17,'w8'!$B:$B,'w8'!$F:$F),1)</f>
        <v>0.28958333333333336</v>
      </c>
      <c r="AX17" s="61">
        <f>_xlfn.RANK.EQ(AW17,AW$3:AW$10000,1)</f>
        <v>42</v>
      </c>
      <c r="AY17" s="61">
        <f>IFERROR(IF(_xlfn.XLOOKUP(B17,'w8'!$B:$B,'w8'!$G:$G)="--",0,_xlfn.XLOOKUP(B17,'w8'!$B:$B,'w8'!$G:$G)),0)</f>
        <v>1113</v>
      </c>
      <c r="AZ17" s="61">
        <f>_xlfn.RANK.EQ(AY17,AY$3:AY$10000,0)</f>
        <v>13</v>
      </c>
      <c r="BA17" s="66">
        <f>IFERROR(_xlfn.XLOOKUP(C17,'w9'!$B:$B,'w9'!$C:$C),0)</f>
        <v>26.6</v>
      </c>
      <c r="BB17" s="67">
        <f>_xlfn.RANK.EQ(BA17,BA$3:BA$10000,0)</f>
        <v>42</v>
      </c>
      <c r="BC17" s="68">
        <f>IFERROR(_xlfn.XLOOKUP(C17,'w9'!$B:$B,'w9'!$F:$F),1)</f>
        <v>0.27708333333333335</v>
      </c>
      <c r="BD17" s="67">
        <f>_xlfn.RANK.EQ(BC17,BC$3:BC$10000,1)</f>
        <v>27</v>
      </c>
      <c r="BE17" s="67">
        <f>IFERROR(IF(_xlfn.XLOOKUP(C17,'w9'!$B:$B,'w9'!$G:$G)="--",0,_xlfn.XLOOKUP(C17,'w9'!$B:$B,'w9'!$G:$G)),0)</f>
        <v>357</v>
      </c>
      <c r="BF17" s="67">
        <f>_xlfn.RANK.EQ(BE17,BE$3:BE$10000,0)</f>
        <v>41</v>
      </c>
      <c r="BG17" s="72">
        <f>IFERROR(_xlfn.XLOOKUP(B17,'w10'!$B:$B,'w10'!$C:$C),0)</f>
        <v>46.3</v>
      </c>
      <c r="BH17" s="74">
        <f>_xlfn.RANK.EQ(BG17,BG$3:BG$10000,0)</f>
        <v>15</v>
      </c>
      <c r="BI17" s="75">
        <f>IFERROR(_xlfn.XLOOKUP(B17,'w10'!$B:$B,'w10'!$F:$F),1)</f>
        <v>0.32708333333333334</v>
      </c>
      <c r="BJ17" s="74">
        <f>_xlfn.RANK.EQ(BI17,BI$3:BI$10000,1)</f>
        <v>61</v>
      </c>
      <c r="BK17" s="74">
        <f>IFERROR(IF(_xlfn.XLOOKUP(B17,'w10'!$B:$B,'w10'!$G:$G)="--",0,_xlfn.XLOOKUP(B17,'w10'!$B:$B,'w10'!$G:$G)),0)</f>
        <v>1330</v>
      </c>
      <c r="BL17" s="74">
        <f>_xlfn.RANK.EQ(BK17,BK$3:BK$10000,0)</f>
        <v>7</v>
      </c>
      <c r="BM17" s="78">
        <f>IFERROR(_xlfn.XLOOKUP(B17,'w11'!$B:$B,'w11'!$C:$C),0)</f>
        <v>43.1</v>
      </c>
      <c r="BN17" s="80">
        <f>_xlfn.RANK.EQ(BM17,BM$3:BM$10000,0)</f>
        <v>15</v>
      </c>
      <c r="BO17" s="81">
        <f>IFERROR(_xlfn.XLOOKUP(B17,'w11'!$B:$B,'w11'!$F:$F),1)</f>
        <v>0.29236111111111113</v>
      </c>
      <c r="BP17" s="80">
        <f>_xlfn.RANK.EQ(BO17,BO$3:BO$10000,1)</f>
        <v>48</v>
      </c>
      <c r="BQ17" s="80">
        <f>IFERROR(IF(_xlfn.XLOOKUP(B17,'w11'!$B:$B,'w11'!$G:$G)="--",0,_xlfn.XLOOKUP(B17,'w11'!$B:$B,'w11'!$G:$G)),0)</f>
        <v>725</v>
      </c>
      <c r="BR17" s="80">
        <f>_xlfn.RANK.EQ(BQ17,BQ$3:BQ$10000,0)</f>
        <v>11</v>
      </c>
      <c r="BS17" s="83">
        <f>IFERROR(_xlfn.XLOOKUP(B17,'w12'!$B:$B,'w12'!$C:$C),0)</f>
        <v>27.1</v>
      </c>
      <c r="BT17" s="86">
        <f>_xlfn.RANK.EQ(BS17,BS$3:BS$10000,0)</f>
        <v>20</v>
      </c>
      <c r="BU17" s="87">
        <f>IFERROR(_xlfn.XLOOKUP(B17,'w12'!$B:$B,'w12'!$F:$F),1)</f>
        <v>0.25</v>
      </c>
      <c r="BV17" s="86">
        <f>_xlfn.RANK.EQ(BU17,BU$3:BU$10000,1)</f>
        <v>17</v>
      </c>
      <c r="BW17" s="86">
        <f>IFERROR(IF(_xlfn.XLOOKUP(B17,'w12'!$B:$B,'w12'!$G:$G)="--",0,_xlfn.XLOOKUP(B17,'w12'!$B:$B,'w12'!$G:$G)),0)</f>
        <v>252</v>
      </c>
      <c r="BX17" s="86">
        <f>_xlfn.RANK.EQ(BW17,BW$3:BW$10000,0)</f>
        <v>28</v>
      </c>
      <c r="BY17" s="89">
        <f>IFERROR(_xlfn.XLOOKUP(B17,'w13'!$B:$B,'w13'!$C:$C),0)</f>
        <v>18</v>
      </c>
      <c r="BZ17" s="92">
        <f>_xlfn.RANK.EQ(BY17,BY$3:BY$10000,0)</f>
        <v>44</v>
      </c>
      <c r="CA17" s="93">
        <f>IFERROR(_xlfn.XLOOKUP(B17,'w13'!$B:$B,'w13'!$F:$F),1)</f>
        <v>0.36666666666666664</v>
      </c>
      <c r="CB17" s="92">
        <f>_xlfn.RANK.EQ(CA17,CA$3:CA$10000,1)</f>
        <v>65</v>
      </c>
      <c r="CC17" s="92">
        <f>IFERROR(IF(_xlfn.XLOOKUP(B17,'w13'!$B:$B,'w13'!$G:$G)="--",0,_xlfn.XLOOKUP(B17,'w13'!$B:$B,'w13'!$G:$G)),0)</f>
        <v>295</v>
      </c>
      <c r="CD17" s="92">
        <f>_xlfn.RANK.EQ(CC17,CC$3:CC$10000,0)</f>
        <v>25</v>
      </c>
      <c r="CE17" s="95">
        <f>IFERROR(_xlfn.XLOOKUP(B17,'w14'!$B:$B,'w14'!$C:$C),0)</f>
        <v>47.7</v>
      </c>
      <c r="CF17" s="98">
        <f>_xlfn.RANK.EQ(CE17,CE$3:CE$10000,0)</f>
        <v>14</v>
      </c>
      <c r="CG17" s="99">
        <f>IFERROR(_xlfn.XLOOKUP(B17,'w14'!$B:$B,'w14'!$F:$F),1)</f>
        <v>0.28819444444444442</v>
      </c>
      <c r="CH17" s="98">
        <f>_xlfn.RANK.EQ(CG17,CG$3:CG$10000,1)</f>
        <v>39</v>
      </c>
      <c r="CI17" s="98">
        <f>IFERROR(IF(_xlfn.XLOOKUP(B17,'w14'!$B:$B,'w14'!$G:$G)="--",0,_xlfn.XLOOKUP(B17,'w14'!$B:$B,'w14'!$G:$G)),0)</f>
        <v>744</v>
      </c>
      <c r="CJ17" s="98">
        <f>_xlfn.RANK.EQ(CI17,CI$3:CI$10000,0)</f>
        <v>14</v>
      </c>
      <c r="CK17" s="9">
        <f>_xlfn.RANK.EQ(D17,D$3:D$10000,1)</f>
        <v>15</v>
      </c>
      <c r="CL17" s="26" t="s">
        <v>111</v>
      </c>
      <c r="CM17" s="8">
        <f>SUM(E17,K17,Q17,W17,AC17,AI17,AO17,AU17,BA17,BG17,BM17,BS17,BY17,CE17)</f>
        <v>544.40000000000009</v>
      </c>
      <c r="CN17" s="9">
        <f>_xlfn.RANK.EQ(CM17,CM$3:CM$10000)</f>
        <v>15</v>
      </c>
      <c r="CO17" s="15">
        <f>IFERROR(SUM(PRODUCT(E17,G17),PRODUCT(K17,M17),PRODUCT(Q17,S17),PRODUCT(W17,Y17),PRODUCT(AC17,AE17),PRODUCT(AI17,AK17),PRODUCT(AO17,AQ17),PRODUCT(AU17,AW17),PRODUCT(BA17,BC17),PRODUCT(BG17,BI17),PRODUCT(BM17,BO17),PRODUCT(BS17,BU17),PRODUCT(BY17,CA17),PRODUCT(CE17,CG17))/CM17,1)</f>
        <v>0.29673710609029302</v>
      </c>
      <c r="CP17" s="9">
        <f>_xlfn.RANK.EQ(CO17,CO$3:CO$10000,1)</f>
        <v>57</v>
      </c>
      <c r="CQ17" s="9">
        <f>SUM(I17,O17,U17,AA17,AG17,AM17,AS17,AY17,BE17,BK17,BQ17,BW17,CC17,CI17)</f>
        <v>11021</v>
      </c>
      <c r="CR17" s="9">
        <f>_xlfn.RANK.EQ(CQ17,CQ$3:CQ$10000)</f>
        <v>11</v>
      </c>
      <c r="CS17" s="23">
        <f t="shared" si="2"/>
        <v>12</v>
      </c>
      <c r="CT17" s="25">
        <f t="shared" si="3"/>
        <v>41.875</v>
      </c>
      <c r="CU17" s="24">
        <f>_xlfn.STDEV.S(F17,L17,R17,X17,AD17,AJ17,AP17,AV17,BB17,BH17,BN17,BT17,BZ17,CF17)</f>
        <v>12.068485888807745</v>
      </c>
      <c r="CV17" s="21">
        <f>_xlfn.RANK.EQ(CU17,CU$3:CU$10000,1)</f>
        <v>42</v>
      </c>
      <c r="CW17" s="24">
        <f>_xlfn.STDEV.S(H17,N17,T17,Z17,AF17,AL17,AR17,AX17,BD17,BJ17,BP17,BV17,CB17,CH17)</f>
        <v>13.881959199219368</v>
      </c>
      <c r="CX17" s="21">
        <f>_xlfn.RANK.EQ(CW17,CW$3:CW$10000,1)</f>
        <v>48</v>
      </c>
      <c r="CY17" s="24">
        <f>_xlfn.STDEV.S(J17,P17,V17,AB17,AH17,AN17,AT17,AZ17,BF17,BL17,BR17,BX17,CD17,CJ17)</f>
        <v>10.636863125135021</v>
      </c>
      <c r="CZ17" s="21">
        <f>_xlfn.RANK.EQ(CY17,CY$3:CY$10000,1)</f>
        <v>31</v>
      </c>
      <c r="DA17">
        <f>SUM(COUNTIF(E17,"&gt;0"),COUNTIF(K17,"&gt;0"),COUNTIF(Q17,"&gt;0"),COUNTIF(W17,"&gt;0"),COUNTIF(AC17,"&gt;0"),COUNTIF(AI17,"&gt;0"),COUNTIF(AO17,"&gt;0"),COUNTIF(AU17,"&gt;0"),COUNTIF(BA17,"&gt;0"),COUNTIF(BG17,"&gt;0"),COUNTIF(BM17,"&gt;0"),COUNTIF(BS17,"&gt;0"),COUNTIF(BY17,"&gt;0"),COUNTIF(CE17,"&gt;0"))</f>
        <v>14</v>
      </c>
    </row>
    <row r="18" spans="1:105" x14ac:dyDescent="0.3">
      <c r="A18" t="s">
        <v>171</v>
      </c>
      <c r="B18" t="s">
        <v>14</v>
      </c>
      <c r="C18" s="18" t="s">
        <v>95</v>
      </c>
      <c r="D18" s="4">
        <f>CN18*$CN$1+CP18*$CP$1+CR18*$CR$1</f>
        <v>16.274999999999999</v>
      </c>
      <c r="E18" s="29">
        <f>IFERROR(_xlfn.XLOOKUP(B18,'w1'!$B:$B,'w1'!$C:$C),0)</f>
        <v>51.2</v>
      </c>
      <c r="F18" s="30">
        <f>_xlfn.RANK.EQ(E18,E$3:E$10000,0)</f>
        <v>11</v>
      </c>
      <c r="G18" s="31">
        <f>IFERROR(_xlfn.XLOOKUP(B18,'w1'!$B:$B,'w1'!$F:$F),1)</f>
        <v>0.24097222222222223</v>
      </c>
      <c r="H18" s="30">
        <f>_xlfn.RANK.EQ(G18,G$3:G$10000,1)</f>
        <v>12</v>
      </c>
      <c r="I18" s="30">
        <f>IFERROR(IF(_xlfn.XLOOKUP(B18,'w1'!$B:$B,'w1'!$G:$G)="--",0,_xlfn.XLOOKUP(B18,'w1'!$B:$B,'w1'!$G:$G)),0)</f>
        <v>275</v>
      </c>
      <c r="J18" s="30">
        <f>_xlfn.RANK.EQ(I18,I$3:I$10000,0)</f>
        <v>34</v>
      </c>
      <c r="K18" s="34">
        <f>IFERROR(_xlfn.XLOOKUP(B18,'w2'!$B:$B,'w2'!$C:$C),0)</f>
        <v>47</v>
      </c>
      <c r="L18" s="35">
        <f>_xlfn.RANK.EQ(K18,K$3:K$10000,0)</f>
        <v>11</v>
      </c>
      <c r="M18" s="36">
        <f>IFERROR(_xlfn.XLOOKUP(B18,'w2'!$B:$B,'w2'!$F:$F),1)</f>
        <v>0.24097222222222223</v>
      </c>
      <c r="N18" s="35">
        <f>_xlfn.RANK.EQ(M18,M$3:M$10000,1)</f>
        <v>10</v>
      </c>
      <c r="O18" s="35">
        <f>IFERROR(IF(_xlfn.XLOOKUP(B18,'w2'!$B:$B,'w2'!$G:$G)="--",0,_xlfn.XLOOKUP(B18,'w2'!$B:$B,'w2'!$G:$G)),0)</f>
        <v>302</v>
      </c>
      <c r="P18" s="35">
        <f>_xlfn.RANK.EQ(O18,O$3:O$10000,0)</f>
        <v>31</v>
      </c>
      <c r="Q18" s="39">
        <f>IFERROR(_xlfn.XLOOKUP(B18,'w3'!$B:$B,'w3'!$C:$C),0)</f>
        <v>40</v>
      </c>
      <c r="R18" s="40">
        <f>_xlfn.RANK.EQ(Q18,Q$3:Q$10000,0)</f>
        <v>19</v>
      </c>
      <c r="S18" s="41">
        <f>IFERROR(_xlfn.XLOOKUP(B18,'w3'!$B:$B,'w3'!$F:$F),1)</f>
        <v>0.23819444444444443</v>
      </c>
      <c r="T18" s="40">
        <f>_xlfn.RANK.EQ(S18,S$3:S$10000,1)</f>
        <v>10</v>
      </c>
      <c r="U18" s="40">
        <f>IFERROR(IF(_xlfn.XLOOKUP(B18,'w3'!$B:$B,'w3'!$G:$G)="--",0,_xlfn.XLOOKUP(B18,'w3'!$B:$B,'w3'!$G:$G)),0)</f>
        <v>244</v>
      </c>
      <c r="V18" s="40">
        <f>_xlfn.RANK.EQ(U18,U$3:U$10000,0)</f>
        <v>32</v>
      </c>
      <c r="W18" s="44">
        <f>IFERROR(_xlfn.XLOOKUP(B18,'w4'!$B:$B,'w4'!$C:$C),0)</f>
        <v>36</v>
      </c>
      <c r="X18" s="45">
        <f>_xlfn.RANK.EQ(W18,W$3:W$10000,0)</f>
        <v>18</v>
      </c>
      <c r="Y18" s="46">
        <f>IFERROR(_xlfn.XLOOKUP(B18,'w4'!$B:$B,'w4'!$F:$F),1)</f>
        <v>0.24305555555555555</v>
      </c>
      <c r="Z18" s="45">
        <f>_xlfn.RANK.EQ(Y18,Y$3:Y$10000,1)</f>
        <v>15</v>
      </c>
      <c r="AA18" s="45">
        <f>IFERROR(IF(_xlfn.XLOOKUP(B18,'w4'!$B:$B,'w4'!$G:$G)="--",0,_xlfn.XLOOKUP(B18,'w4'!$B:$B,'w4'!$G:$G)),0)</f>
        <v>275</v>
      </c>
      <c r="AB18" s="45">
        <f>_xlfn.RANK.EQ(AA18,AA$3:AA$10000,0)</f>
        <v>31</v>
      </c>
      <c r="AC18" s="13">
        <f>IFERROR(_xlfn.XLOOKUP(B18,'w5'!$B:$B,'w5'!$C:$C),0)</f>
        <v>56</v>
      </c>
      <c r="AD18" s="12">
        <f>_xlfn.RANK.EQ(AC18,AC$3:AC$10000,0)</f>
        <v>6</v>
      </c>
      <c r="AE18" s="14">
        <f>IFERROR(_xlfn.XLOOKUP(B18,'w5'!$B:$B,'w5'!$F:$F),1)</f>
        <v>0.25277777777777777</v>
      </c>
      <c r="AF18" s="12">
        <f>_xlfn.RANK.EQ(AE18,AE$3:AE$10000,1)</f>
        <v>21</v>
      </c>
      <c r="AG18" s="12">
        <f>IFERROR(IF(_xlfn.XLOOKUP(B18,'w5'!$B:$B,'w5'!$G:$G)="--",0,_xlfn.XLOOKUP(B18,'w5'!$B:$B,'w5'!$G:$G)),0)</f>
        <v>268</v>
      </c>
      <c r="AH18" s="12">
        <f>_xlfn.RANK.EQ(AG18,AG$3:AG$10000,0)</f>
        <v>37</v>
      </c>
      <c r="AI18" s="51">
        <f>IFERROR(_xlfn.XLOOKUP(B18,'w6'!$B:$B,'w6'!$C:$C),0)</f>
        <v>26</v>
      </c>
      <c r="AJ18" s="50">
        <f>_xlfn.RANK.EQ(AI18,AI$3:AI$10000,0)</f>
        <v>23</v>
      </c>
      <c r="AK18" s="52">
        <f>IFERROR(_xlfn.XLOOKUP(B18,'w6'!$B:$B,'w6'!$F:$F),1)</f>
        <v>0.24861111111111112</v>
      </c>
      <c r="AL18" s="50">
        <f>_xlfn.RANK.EQ(AK18,AK$3:AK$10000,1)</f>
        <v>13</v>
      </c>
      <c r="AM18" s="50">
        <f>IFERROR(IF(_xlfn.XLOOKUP(B18,'w6'!$B:$B,'w6'!$G:$G)="--",0,_xlfn.XLOOKUP(B18,'w6'!$B:$B,'w6'!$G:$G)),0)</f>
        <v>269</v>
      </c>
      <c r="AN18" s="50">
        <f>_xlfn.RANK.EQ(AM18,AM$3:AM$10000,0)</f>
        <v>30</v>
      </c>
      <c r="AO18" s="56">
        <f>IFERROR(_xlfn.XLOOKUP(B18,'w7'!$B:$B,'w7'!$C:$C),0)</f>
        <v>59</v>
      </c>
      <c r="AP18" s="57">
        <f>_xlfn.RANK.EQ(AO18,AO$3:AO$10000,0)</f>
        <v>6</v>
      </c>
      <c r="AQ18" s="58">
        <f>IFERROR(_xlfn.XLOOKUP(B18,'w7'!$B:$B,'w7'!$F:$F),1)</f>
        <v>0.24236111111111111</v>
      </c>
      <c r="AR18" s="57">
        <f>_xlfn.RANK.EQ(AQ18,AQ$3:AQ$10000,1)</f>
        <v>16</v>
      </c>
      <c r="AS18" s="57">
        <f>IFERROR(IF(_xlfn.XLOOKUP(B18,'w7'!$B:$B,'w7'!$G:$G)="--",0,_xlfn.XLOOKUP(B18,'w7'!$B:$B,'w7'!$G:$G)),0)</f>
        <v>365</v>
      </c>
      <c r="AT18" s="57">
        <f>_xlfn.RANK.EQ(AS18,AS$3:AS$10000,0)</f>
        <v>24</v>
      </c>
      <c r="AU18" s="62">
        <f>IFERROR(_xlfn.XLOOKUP(B18,'w8'!$B:$B,'w8'!$C:$C),0)</f>
        <v>51.3</v>
      </c>
      <c r="AV18" s="61">
        <f>_xlfn.RANK.EQ(AU18,AU$3:AU$10000,0)</f>
        <v>14</v>
      </c>
      <c r="AW18" s="63">
        <f>IFERROR(_xlfn.XLOOKUP(B18,'w8'!$B:$B,'w8'!$F:$F),1)</f>
        <v>0.22708333333333333</v>
      </c>
      <c r="AX18" s="61">
        <f>_xlfn.RANK.EQ(AW18,AW$3:AW$10000,1)</f>
        <v>7</v>
      </c>
      <c r="AY18" s="61">
        <f>IFERROR(IF(_xlfn.XLOOKUP(B18,'w8'!$B:$B,'w8'!$G:$G)="--",0,_xlfn.XLOOKUP(B18,'w8'!$B:$B,'w8'!$G:$G)),0)</f>
        <v>188</v>
      </c>
      <c r="AZ18" s="61">
        <f>_xlfn.RANK.EQ(AY18,AY$3:AY$10000,0)</f>
        <v>39</v>
      </c>
      <c r="BA18" s="66">
        <f>IFERROR(_xlfn.XLOOKUP(C18,'w9'!$B:$B,'w9'!$C:$C),0)</f>
        <v>15.6</v>
      </c>
      <c r="BB18" s="67">
        <f>_xlfn.RANK.EQ(BA18,BA$3:BA$10000,0)</f>
        <v>58</v>
      </c>
      <c r="BC18" s="68">
        <f>IFERROR(_xlfn.XLOOKUP(C18,'w9'!$B:$B,'w9'!$F:$F),1)</f>
        <v>0.37569444444444444</v>
      </c>
      <c r="BD18" s="67">
        <f>_xlfn.RANK.EQ(BC18,BC$3:BC$10000,1)</f>
        <v>68</v>
      </c>
      <c r="BE18" s="67">
        <f>IFERROR(IF(_xlfn.XLOOKUP(C18,'w9'!$B:$B,'w9'!$G:$G)="--",0,_xlfn.XLOOKUP(C18,'w9'!$B:$B,'w9'!$G:$G)),0)</f>
        <v>776</v>
      </c>
      <c r="BF18" s="67">
        <f>_xlfn.RANK.EQ(BE18,BE$3:BE$10000,0)</f>
        <v>14</v>
      </c>
      <c r="BG18" s="72">
        <f>IFERROR(_xlfn.XLOOKUP(B18,'w10'!$B:$B,'w10'!$C:$C),0)</f>
        <v>49</v>
      </c>
      <c r="BH18" s="74">
        <f>_xlfn.RANK.EQ(BG18,BG$3:BG$10000,0)</f>
        <v>12</v>
      </c>
      <c r="BI18" s="75">
        <f>IFERROR(_xlfn.XLOOKUP(B18,'w10'!$B:$B,'w10'!$F:$F),1)</f>
        <v>0.23194444444444445</v>
      </c>
      <c r="BJ18" s="74">
        <f>_xlfn.RANK.EQ(BI18,BI$3:BI$10000,1)</f>
        <v>10</v>
      </c>
      <c r="BK18" s="74">
        <f>IFERROR(IF(_xlfn.XLOOKUP(B18,'w10'!$B:$B,'w10'!$G:$G)="--",0,_xlfn.XLOOKUP(B18,'w10'!$B:$B,'w10'!$G:$G)),0)</f>
        <v>350</v>
      </c>
      <c r="BL18" s="74">
        <f>_xlfn.RANK.EQ(BK18,BK$3:BK$10000,0)</f>
        <v>21</v>
      </c>
      <c r="BM18" s="78">
        <f>IFERROR(_xlfn.XLOOKUP(B18,'w11'!$B:$B,'w11'!$C:$C),0)</f>
        <v>13</v>
      </c>
      <c r="BN18" s="80">
        <f>_xlfn.RANK.EQ(BM18,BM$3:BM$10000,0)</f>
        <v>57</v>
      </c>
      <c r="BO18" s="81">
        <f>IFERROR(_xlfn.XLOOKUP(B18,'w11'!$B:$B,'w11'!$F:$F),1)</f>
        <v>0.23333333333333334</v>
      </c>
      <c r="BP18" s="80">
        <f>_xlfn.RANK.EQ(BO18,BO$3:BO$10000,1)</f>
        <v>14</v>
      </c>
      <c r="BQ18" s="80">
        <f>IFERROR(IF(_xlfn.XLOOKUP(B18,'w11'!$B:$B,'w11'!$G:$G)="--",0,_xlfn.XLOOKUP(B18,'w11'!$B:$B,'w11'!$G:$G)),0)</f>
        <v>53</v>
      </c>
      <c r="BR18" s="80">
        <f>_xlfn.RANK.EQ(BQ18,BQ$3:BQ$10000,0)</f>
        <v>68</v>
      </c>
      <c r="BS18" s="83">
        <f>IFERROR(_xlfn.XLOOKUP(B18,'w12'!$B:$B,'w12'!$C:$C),0)</f>
        <v>33</v>
      </c>
      <c r="BT18" s="86">
        <f>_xlfn.RANK.EQ(BS18,BS$3:BS$10000,0)</f>
        <v>19</v>
      </c>
      <c r="BU18" s="87">
        <f>IFERROR(_xlfn.XLOOKUP(B18,'w12'!$B:$B,'w12'!$F:$F),1)</f>
        <v>0.25069444444444444</v>
      </c>
      <c r="BV18" s="86">
        <f>_xlfn.RANK.EQ(BU18,BU$3:BU$10000,1)</f>
        <v>18</v>
      </c>
      <c r="BW18" s="86">
        <f>IFERROR(IF(_xlfn.XLOOKUP(B18,'w12'!$B:$B,'w12'!$G:$G)="--",0,_xlfn.XLOOKUP(B18,'w12'!$B:$B,'w12'!$G:$G)),0)</f>
        <v>277</v>
      </c>
      <c r="BX18" s="86">
        <f>_xlfn.RANK.EQ(BW18,BW$3:BW$10000,0)</f>
        <v>24</v>
      </c>
      <c r="BY18" s="89">
        <f>IFERROR(_xlfn.XLOOKUP(B18,'w13'!$B:$B,'w13'!$C:$C),0)</f>
        <v>34</v>
      </c>
      <c r="BZ18" s="92">
        <f>_xlfn.RANK.EQ(BY18,BY$3:BY$10000,0)</f>
        <v>20</v>
      </c>
      <c r="CA18" s="93">
        <f>IFERROR(_xlfn.XLOOKUP(B18,'w13'!$B:$B,'w13'!$F:$F),1)</f>
        <v>0.23333333333333334</v>
      </c>
      <c r="CB18" s="92">
        <f>_xlfn.RANK.EQ(CA18,CA$3:CA$10000,1)</f>
        <v>15</v>
      </c>
      <c r="CC18" s="92">
        <f>IFERROR(IF(_xlfn.XLOOKUP(B18,'w13'!$B:$B,'w13'!$G:$G)="--",0,_xlfn.XLOOKUP(B18,'w13'!$B:$B,'w13'!$G:$G)),0)</f>
        <v>311</v>
      </c>
      <c r="CD18" s="92">
        <f>_xlfn.RANK.EQ(CC18,CC$3:CC$10000,0)</f>
        <v>23</v>
      </c>
      <c r="CE18" s="95">
        <f>IFERROR(_xlfn.XLOOKUP(B18,'w14'!$B:$B,'w14'!$C:$C),0)</f>
        <v>32</v>
      </c>
      <c r="CF18" s="98">
        <f>_xlfn.RANK.EQ(CE18,CE$3:CE$10000,0)</f>
        <v>32</v>
      </c>
      <c r="CG18" s="99">
        <f>IFERROR(_xlfn.XLOOKUP(B18,'w14'!$B:$B,'w14'!$F:$F),1)</f>
        <v>0.27152777777777776</v>
      </c>
      <c r="CH18" s="98">
        <f>_xlfn.RANK.EQ(CG18,CG$3:CG$10000,1)</f>
        <v>30</v>
      </c>
      <c r="CI18" s="98">
        <f>IFERROR(IF(_xlfn.XLOOKUP(B18,'w14'!$B:$B,'w14'!$G:$G)="--",0,_xlfn.XLOOKUP(B18,'w14'!$B:$B,'w14'!$G:$G)),0)</f>
        <v>374</v>
      </c>
      <c r="CJ18" s="98">
        <f>_xlfn.RANK.EQ(CI18,CI$3:CI$10000,0)</f>
        <v>23</v>
      </c>
      <c r="CK18" s="9">
        <f>_xlfn.RANK.EQ(D18,D$3:D$10000,1)</f>
        <v>16</v>
      </c>
      <c r="CL18" s="26" t="s">
        <v>95</v>
      </c>
      <c r="CM18" s="8">
        <f>SUM(E18,K18,Q18,W18,AC18,AI18,AO18,AU18,BA18,BG18,BM18,BS18,BY18,CE18)</f>
        <v>543.1</v>
      </c>
      <c r="CN18" s="9">
        <f>_xlfn.RANK.EQ(CM18,CM$3:CM$10000)</f>
        <v>16</v>
      </c>
      <c r="CO18" s="15">
        <f>IFERROR(SUM(PRODUCT(E18,G18),PRODUCT(K18,M18),PRODUCT(Q18,S18),PRODUCT(W18,Y18),PRODUCT(AC18,AE18),PRODUCT(AI18,AK18),PRODUCT(AO18,AQ18),PRODUCT(AU18,AW18),PRODUCT(BA18,BC18),PRODUCT(BG18,BI18),PRODUCT(BM18,BO18),PRODUCT(BS18,BU18),PRODUCT(BY18,CA18),PRODUCT(CE18,CG18))/CM18,1)</f>
        <v>0.24611297796599768</v>
      </c>
      <c r="CP18" s="9">
        <f>_xlfn.RANK.EQ(CO18,CO$3:CO$10000,1)</f>
        <v>15</v>
      </c>
      <c r="CQ18" s="9">
        <f>SUM(I18,O18,U18,AA18,AG18,AM18,AS18,AY18,BE18,BK18,BQ18,BW18,CC18,CI18)</f>
        <v>4327</v>
      </c>
      <c r="CR18" s="9">
        <f>_xlfn.RANK.EQ(CQ18,CQ$3:CQ$10000)</f>
        <v>28</v>
      </c>
      <c r="CS18" s="23">
        <f t="shared" si="2"/>
        <v>23</v>
      </c>
      <c r="CT18" s="25">
        <f t="shared" si="3"/>
        <v>65.049999999999983</v>
      </c>
      <c r="CU18" s="24">
        <f>_xlfn.STDEV.S(F18,L18,R18,X18,AD18,AJ18,AP18,AV18,BB18,BH18,BN18,BT18,BZ18,CF18)</f>
        <v>16.589418049129726</v>
      </c>
      <c r="CV18" s="21">
        <f>_xlfn.RANK.EQ(CU18,CU$3:CU$10000,1)</f>
        <v>66</v>
      </c>
      <c r="CW18" s="24">
        <f>_xlfn.STDEV.S(H18,N18,T18,Z18,AF18,AL18,AR18,AX18,BD18,BJ18,BP18,BV18,CB18,CH18)</f>
        <v>15.346009253222807</v>
      </c>
      <c r="CX18" s="21">
        <f>_xlfn.RANK.EQ(CW18,CW$3:CW$10000,1)</f>
        <v>55</v>
      </c>
      <c r="CY18" s="24">
        <f>_xlfn.STDEV.S(J18,P18,V18,AB18,AH18,AN18,AT18,AZ18,BF18,BL18,BR18,BX18,CD18,CJ18)</f>
        <v>12.692690636913657</v>
      </c>
      <c r="CZ18" s="21">
        <f>_xlfn.RANK.EQ(CY18,CY$3:CY$10000,1)</f>
        <v>39</v>
      </c>
      <c r="DA18">
        <f>SUM(COUNTIF(E18,"&gt;0"),COUNTIF(K18,"&gt;0"),COUNTIF(Q18,"&gt;0"),COUNTIF(W18,"&gt;0"),COUNTIF(AC18,"&gt;0"),COUNTIF(AI18,"&gt;0"),COUNTIF(AO18,"&gt;0"),COUNTIF(AU18,"&gt;0"),COUNTIF(BA18,"&gt;0"),COUNTIF(BG18,"&gt;0"),COUNTIF(BM18,"&gt;0"),COUNTIF(BS18,"&gt;0"),COUNTIF(BY18,"&gt;0"),COUNTIF(CE18,"&gt;0"))</f>
        <v>14</v>
      </c>
    </row>
    <row r="19" spans="1:105" x14ac:dyDescent="0.3">
      <c r="B19" t="s">
        <v>12</v>
      </c>
      <c r="C19" s="18" t="s">
        <v>93</v>
      </c>
      <c r="D19" s="4">
        <f>CN19*$CN$1+CP19*$CP$1+CR19*$CR$1</f>
        <v>18.175000000000001</v>
      </c>
      <c r="E19" s="29">
        <f>IFERROR(_xlfn.XLOOKUP(B19,'w1'!$B:$B,'w1'!$C:$C),0)</f>
        <v>54.7</v>
      </c>
      <c r="F19" s="30">
        <f>_xlfn.RANK.EQ(E19,E$3:E$10000,0)</f>
        <v>9</v>
      </c>
      <c r="G19" s="31">
        <f>IFERROR(_xlfn.XLOOKUP(B19,'w1'!$B:$B,'w1'!$F:$F),1)</f>
        <v>0.2673611111111111</v>
      </c>
      <c r="H19" s="30">
        <f>_xlfn.RANK.EQ(G19,G$3:G$10000,1)</f>
        <v>33</v>
      </c>
      <c r="I19" s="30">
        <f>IFERROR(IF(_xlfn.XLOOKUP(B19,'w1'!$B:$B,'w1'!$G:$G)="--",0,_xlfn.XLOOKUP(B19,'w1'!$B:$B,'w1'!$G:$G)),0)</f>
        <v>463</v>
      </c>
      <c r="J19" s="30">
        <f>_xlfn.RANK.EQ(I19,I$3:I$10000,0)</f>
        <v>22</v>
      </c>
      <c r="K19" s="34">
        <f>IFERROR(_xlfn.XLOOKUP(B19,'w2'!$B:$B,'w2'!$C:$C),0)</f>
        <v>34</v>
      </c>
      <c r="L19" s="35">
        <f>_xlfn.RANK.EQ(K19,K$3:K$10000,0)</f>
        <v>21</v>
      </c>
      <c r="M19" s="36">
        <f>IFERROR(_xlfn.XLOOKUP(B19,'w2'!$B:$B,'w2'!$F:$F),1)</f>
        <v>0.27777777777777779</v>
      </c>
      <c r="N19" s="35">
        <f>_xlfn.RANK.EQ(M19,M$3:M$10000,1)</f>
        <v>35</v>
      </c>
      <c r="O19" s="35">
        <f>IFERROR(IF(_xlfn.XLOOKUP(B19,'w2'!$B:$B,'w2'!$G:$G)="--",0,_xlfn.XLOOKUP(B19,'w2'!$B:$B,'w2'!$G:$G)),0)</f>
        <v>204</v>
      </c>
      <c r="P19" s="35">
        <f>_xlfn.RANK.EQ(O19,O$3:O$10000,0)</f>
        <v>37</v>
      </c>
      <c r="Q19" s="39">
        <f>IFERROR(_xlfn.XLOOKUP(B19,'w3'!$B:$B,'w3'!$C:$C),0)</f>
        <v>38</v>
      </c>
      <c r="R19" s="40">
        <f>_xlfn.RANK.EQ(Q19,Q$3:Q$10000,0)</f>
        <v>21</v>
      </c>
      <c r="S19" s="41">
        <f>IFERROR(_xlfn.XLOOKUP(B19,'w3'!$B:$B,'w3'!$F:$F),1)</f>
        <v>0.25833333333333336</v>
      </c>
      <c r="T19" s="40">
        <f>_xlfn.RANK.EQ(S19,S$3:S$10000,1)</f>
        <v>28</v>
      </c>
      <c r="U19" s="40">
        <f>IFERROR(IF(_xlfn.XLOOKUP(B19,'w3'!$B:$B,'w3'!$G:$G)="--",0,_xlfn.XLOOKUP(B19,'w3'!$B:$B,'w3'!$G:$G)),0)</f>
        <v>162</v>
      </c>
      <c r="V19" s="40">
        <f>_xlfn.RANK.EQ(U19,U$3:U$10000,0)</f>
        <v>41</v>
      </c>
      <c r="W19" s="44">
        <f>IFERROR(_xlfn.XLOOKUP(B19,'w4'!$B:$B,'w4'!$C:$C),0)</f>
        <v>10.6</v>
      </c>
      <c r="X19" s="45">
        <f>_xlfn.RANK.EQ(W19,W$3:W$10000,0)</f>
        <v>56</v>
      </c>
      <c r="Y19" s="46">
        <f>IFERROR(_xlfn.XLOOKUP(B19,'w4'!$B:$B,'w4'!$F:$F),1)</f>
        <v>0.2902777777777778</v>
      </c>
      <c r="Z19" s="45">
        <f>_xlfn.RANK.EQ(Y19,Y$3:Y$10000,1)</f>
        <v>44</v>
      </c>
      <c r="AA19" s="45">
        <f>IFERROR(IF(_xlfn.XLOOKUP(B19,'w4'!$B:$B,'w4'!$G:$G)="--",0,_xlfn.XLOOKUP(B19,'w4'!$B:$B,'w4'!$G:$G)),0)</f>
        <v>126</v>
      </c>
      <c r="AB19" s="45">
        <f>_xlfn.RANK.EQ(AA19,AA$3:AA$10000,0)</f>
        <v>44</v>
      </c>
      <c r="AC19" s="13">
        <f>IFERROR(_xlfn.XLOOKUP(B19,'w5'!$B:$B,'w5'!$C:$C),0)</f>
        <v>61</v>
      </c>
      <c r="AD19" s="12">
        <f>_xlfn.RANK.EQ(AC19,AC$3:AC$10000,0)</f>
        <v>4</v>
      </c>
      <c r="AE19" s="14">
        <f>IFERROR(_xlfn.XLOOKUP(B19,'w5'!$B:$B,'w5'!$F:$F),1)</f>
        <v>0.28402777777777777</v>
      </c>
      <c r="AF19" s="12">
        <f>_xlfn.RANK.EQ(AE19,AE$3:AE$10000,1)</f>
        <v>37</v>
      </c>
      <c r="AG19" s="12">
        <f>IFERROR(IF(_xlfn.XLOOKUP(B19,'w5'!$B:$B,'w5'!$G:$G)="--",0,_xlfn.XLOOKUP(B19,'w5'!$B:$B,'w5'!$G:$G)),0)</f>
        <v>433</v>
      </c>
      <c r="AH19" s="12">
        <f>_xlfn.RANK.EQ(AG19,AG$3:AG$10000,0)</f>
        <v>29</v>
      </c>
      <c r="AI19" s="51">
        <f>IFERROR(_xlfn.XLOOKUP(B19,'w6'!$B:$B,'w6'!$C:$C),0)</f>
        <v>33.4</v>
      </c>
      <c r="AJ19" s="50">
        <f>_xlfn.RANK.EQ(AI19,AI$3:AI$10000,0)</f>
        <v>14</v>
      </c>
      <c r="AK19" s="52">
        <f>IFERROR(_xlfn.XLOOKUP(B19,'w6'!$B:$B,'w6'!$F:$F),1)</f>
        <v>0.27430555555555558</v>
      </c>
      <c r="AL19" s="50">
        <f>_xlfn.RANK.EQ(AK19,AK$3:AK$10000,1)</f>
        <v>27</v>
      </c>
      <c r="AM19" s="50">
        <f>IFERROR(IF(_xlfn.XLOOKUP(B19,'w6'!$B:$B,'w6'!$G:$G)="--",0,_xlfn.XLOOKUP(B19,'w6'!$B:$B,'w6'!$G:$G)),0)</f>
        <v>154</v>
      </c>
      <c r="AN19" s="50">
        <f>_xlfn.RANK.EQ(AM19,AM$3:AM$10000,0)</f>
        <v>42</v>
      </c>
      <c r="AO19" s="56">
        <f>IFERROR(_xlfn.XLOOKUP(B19,'w7'!$B:$B,'w7'!$C:$C),0)</f>
        <v>32.4</v>
      </c>
      <c r="AP19" s="57">
        <f>_xlfn.RANK.EQ(AO19,AO$3:AO$10000,0)</f>
        <v>23</v>
      </c>
      <c r="AQ19" s="58">
        <f>IFERROR(_xlfn.XLOOKUP(B19,'w7'!$B:$B,'w7'!$F:$F),1)</f>
        <v>0.2722222222222222</v>
      </c>
      <c r="AR19" s="57">
        <f>_xlfn.RANK.EQ(AQ19,AQ$3:AQ$10000,1)</f>
        <v>32</v>
      </c>
      <c r="AS19" s="57">
        <f>IFERROR(IF(_xlfn.XLOOKUP(B19,'w7'!$B:$B,'w7'!$G:$G)="--",0,_xlfn.XLOOKUP(B19,'w7'!$B:$B,'w7'!$G:$G)),0)</f>
        <v>88</v>
      </c>
      <c r="AT19" s="57">
        <f>_xlfn.RANK.EQ(AS19,AS$3:AS$10000,0)</f>
        <v>55</v>
      </c>
      <c r="AU19" s="62">
        <f>IFERROR(_xlfn.XLOOKUP(B19,'w8'!$B:$B,'w8'!$C:$C),0)</f>
        <v>23</v>
      </c>
      <c r="AV19" s="61">
        <f>_xlfn.RANK.EQ(AU19,AU$3:AU$10000,0)</f>
        <v>42</v>
      </c>
      <c r="AW19" s="63">
        <f>IFERROR(_xlfn.XLOOKUP(B19,'w8'!$B:$B,'w8'!$F:$F),1)</f>
        <v>0.2590277777777778</v>
      </c>
      <c r="AX19" s="61">
        <f>_xlfn.RANK.EQ(AW19,AW$3:AW$10000,1)</f>
        <v>22</v>
      </c>
      <c r="AY19" s="61">
        <f>IFERROR(IF(_xlfn.XLOOKUP(B19,'w8'!$B:$B,'w8'!$G:$G)="--",0,_xlfn.XLOOKUP(B19,'w8'!$B:$B,'w8'!$G:$G)),0)</f>
        <v>0</v>
      </c>
      <c r="AZ19" s="61">
        <f>_xlfn.RANK.EQ(AY19,AY$3:AY$10000,0)</f>
        <v>70</v>
      </c>
      <c r="BA19" s="66">
        <f>IFERROR(_xlfn.XLOOKUP(C19,'w9'!$B:$B,'w9'!$C:$C),0)</f>
        <v>51.4</v>
      </c>
      <c r="BB19" s="67">
        <f>_xlfn.RANK.EQ(BA19,BA$3:BA$10000,0)</f>
        <v>13</v>
      </c>
      <c r="BC19" s="68">
        <f>IFERROR(_xlfn.XLOOKUP(C19,'w9'!$B:$B,'w9'!$F:$F),1)</f>
        <v>0.28055555555555556</v>
      </c>
      <c r="BD19" s="67">
        <f>_xlfn.RANK.EQ(BC19,BC$3:BC$10000,1)</f>
        <v>31</v>
      </c>
      <c r="BE19" s="67">
        <f>IFERROR(IF(_xlfn.XLOOKUP(C19,'w9'!$B:$B,'w9'!$G:$G)="--",0,_xlfn.XLOOKUP(C19,'w9'!$B:$B,'w9'!$G:$G)),0)</f>
        <v>475</v>
      </c>
      <c r="BF19" s="67">
        <f>_xlfn.RANK.EQ(BE19,BE$3:BE$10000,0)</f>
        <v>29</v>
      </c>
      <c r="BG19" s="72">
        <f>IFERROR(_xlfn.XLOOKUP(B19,'w10'!$B:$B,'w10'!$C:$C),0)</f>
        <v>11.6</v>
      </c>
      <c r="BH19" s="74">
        <f>_xlfn.RANK.EQ(BG19,BG$3:BG$10000,0)</f>
        <v>59</v>
      </c>
      <c r="BI19" s="75">
        <f>IFERROR(_xlfn.XLOOKUP(B19,'w10'!$B:$B,'w10'!$F:$F),1)</f>
        <v>0.2590277777777778</v>
      </c>
      <c r="BJ19" s="74">
        <f>_xlfn.RANK.EQ(BI19,BI$3:BI$10000,1)</f>
        <v>26</v>
      </c>
      <c r="BK19" s="74">
        <f>IFERROR(IF(_xlfn.XLOOKUP(B19,'w10'!$B:$B,'w10'!$G:$G)="--",0,_xlfn.XLOOKUP(B19,'w10'!$B:$B,'w10'!$G:$G)),0)</f>
        <v>27</v>
      </c>
      <c r="BL19" s="74">
        <f>_xlfn.RANK.EQ(BK19,BK$3:BK$10000,0)</f>
        <v>71</v>
      </c>
      <c r="BM19" s="78">
        <f>IFERROR(_xlfn.XLOOKUP(B19,'w11'!$B:$B,'w11'!$C:$C),0)</f>
        <v>41.9</v>
      </c>
      <c r="BN19" s="80">
        <f>_xlfn.RANK.EQ(BM19,BM$3:BM$10000,0)</f>
        <v>16</v>
      </c>
      <c r="BO19" s="81">
        <f>IFERROR(_xlfn.XLOOKUP(B19,'w11'!$B:$B,'w11'!$F:$F),1)</f>
        <v>0.28194444444444444</v>
      </c>
      <c r="BP19" s="80">
        <f>_xlfn.RANK.EQ(BO19,BO$3:BO$10000,1)</f>
        <v>43</v>
      </c>
      <c r="BQ19" s="80">
        <f>IFERROR(IF(_xlfn.XLOOKUP(B19,'w11'!$B:$B,'w11'!$G:$G)="--",0,_xlfn.XLOOKUP(B19,'w11'!$B:$B,'w11'!$G:$G)),0)</f>
        <v>325</v>
      </c>
      <c r="BR19" s="80">
        <f>_xlfn.RANK.EQ(BQ19,BQ$3:BQ$10000,0)</f>
        <v>27</v>
      </c>
      <c r="BS19" s="83">
        <f>IFERROR(_xlfn.XLOOKUP(B19,'w12'!$B:$B,'w12'!$C:$C),0)</f>
        <v>50.6</v>
      </c>
      <c r="BT19" s="86">
        <f>_xlfn.RANK.EQ(BS19,BS$3:BS$10000,0)</f>
        <v>7</v>
      </c>
      <c r="BU19" s="87">
        <f>IFERROR(_xlfn.XLOOKUP(B19,'w12'!$B:$B,'w12'!$F:$F),1)</f>
        <v>0.26944444444444443</v>
      </c>
      <c r="BV19" s="86">
        <f>_xlfn.RANK.EQ(BU19,BU$3:BU$10000,1)</f>
        <v>35</v>
      </c>
      <c r="BW19" s="86">
        <f>IFERROR(IF(_xlfn.XLOOKUP(B19,'w12'!$B:$B,'w12'!$G:$G)="--",0,_xlfn.XLOOKUP(B19,'w12'!$B:$B,'w12'!$G:$G)),0)</f>
        <v>170</v>
      </c>
      <c r="BX19" s="86">
        <f>_xlfn.RANK.EQ(BW19,BW$3:BW$10000,0)</f>
        <v>44</v>
      </c>
      <c r="BY19" s="89">
        <f>IFERROR(_xlfn.XLOOKUP(B19,'w13'!$B:$B,'w13'!$C:$C),0)</f>
        <v>28.4</v>
      </c>
      <c r="BZ19" s="92">
        <f>_xlfn.RANK.EQ(BY19,BY$3:BY$10000,0)</f>
        <v>24</v>
      </c>
      <c r="CA19" s="93">
        <f>IFERROR(_xlfn.XLOOKUP(B19,'w13'!$B:$B,'w13'!$F:$F),1)</f>
        <v>0.27430555555555558</v>
      </c>
      <c r="CB19" s="92">
        <f>_xlfn.RANK.EQ(CA19,CA$3:CA$10000,1)</f>
        <v>37</v>
      </c>
      <c r="CC19" s="92">
        <f>IFERROR(IF(_xlfn.XLOOKUP(B19,'w13'!$B:$B,'w13'!$G:$G)="--",0,_xlfn.XLOOKUP(B19,'w13'!$B:$B,'w13'!$G:$G)),0)</f>
        <v>206</v>
      </c>
      <c r="CD19" s="92">
        <f>_xlfn.RANK.EQ(CC19,CC$3:CC$10000,0)</f>
        <v>36</v>
      </c>
      <c r="CE19" s="95">
        <f>IFERROR(_xlfn.XLOOKUP(B19,'w14'!$B:$B,'w14'!$C:$C),0)</f>
        <v>38.200000000000003</v>
      </c>
      <c r="CF19" s="98">
        <f>_xlfn.RANK.EQ(CE19,CE$3:CE$10000,0)</f>
        <v>22</v>
      </c>
      <c r="CG19" s="99">
        <f>IFERROR(_xlfn.XLOOKUP(B19,'w14'!$B:$B,'w14'!$F:$F),1)</f>
        <v>0.2722222222222222</v>
      </c>
      <c r="CH19" s="98">
        <f>_xlfn.RANK.EQ(CG19,CG$3:CG$10000,1)</f>
        <v>31</v>
      </c>
      <c r="CI19" s="98">
        <f>IFERROR(IF(_xlfn.XLOOKUP(B19,'w14'!$B:$B,'w14'!$G:$G)="--",0,_xlfn.XLOOKUP(B19,'w14'!$B:$B,'w14'!$G:$G)),0)</f>
        <v>233</v>
      </c>
      <c r="CJ19" s="98">
        <f>_xlfn.RANK.EQ(CI19,CI$3:CI$10000,0)</f>
        <v>36</v>
      </c>
      <c r="CK19" s="9">
        <f>_xlfn.RANK.EQ(D19,D$3:D$10000,1)</f>
        <v>17</v>
      </c>
      <c r="CL19" s="26" t="s">
        <v>93</v>
      </c>
      <c r="CM19" s="8">
        <f>SUM(E19,K19,Q19,W19,AC19,AI19,AO19,AU19,BA19,BG19,BM19,BS19,BY19,CE19)</f>
        <v>509.2</v>
      </c>
      <c r="CN19" s="9">
        <f>_xlfn.RANK.EQ(CM19,CM$3:CM$10000)</f>
        <v>17</v>
      </c>
      <c r="CO19" s="15">
        <f>IFERROR(SUM(PRODUCT(E19,G19),PRODUCT(K19,M19),PRODUCT(Q19,S19),PRODUCT(W19,Y19),PRODUCT(AC19,AE19),PRODUCT(AI19,AK19),PRODUCT(AO19,AQ19),PRODUCT(AU19,AW19),PRODUCT(BA19,BC19),PRODUCT(BG19,BI19),PRODUCT(BM19,BO19),PRODUCT(BS19,BU19),PRODUCT(BY19,CA19),PRODUCT(CE19,CG19))/CM19,1)</f>
        <v>0.27354605808675919</v>
      </c>
      <c r="CP19" s="9">
        <f>_xlfn.RANK.EQ(CO19,CO$3:CO$10000,1)</f>
        <v>39</v>
      </c>
      <c r="CQ19" s="9">
        <f>SUM(I19,O19,U19,AA19,AG19,AM19,AS19,AY19,BE19,BK19,BQ19,BW19,CC19,CI19)</f>
        <v>3066</v>
      </c>
      <c r="CR19" s="9">
        <f>_xlfn.RANK.EQ(CQ19,CQ$3:CQ$10000)</f>
        <v>42</v>
      </c>
      <c r="CS19" s="23">
        <f t="shared" si="2"/>
        <v>26</v>
      </c>
      <c r="CT19" s="25">
        <f t="shared" si="3"/>
        <v>72.8</v>
      </c>
      <c r="CU19" s="24">
        <f>_xlfn.STDEV.S(F19,L19,R19,X19,AD19,AJ19,AP19,AV19,BB19,BH19,BN19,BT19,BZ19,CF19)</f>
        <v>17.081736278426565</v>
      </c>
      <c r="CV19" s="21">
        <f>_xlfn.RANK.EQ(CU19,CU$3:CU$10000,1)</f>
        <v>75</v>
      </c>
      <c r="CW19" s="24">
        <f>_xlfn.STDEV.S(H19,N19,T19,Z19,AF19,AL19,AR19,AX19,BD19,BJ19,BP19,BV19,CB19,CH19)</f>
        <v>6.2074928137668408</v>
      </c>
      <c r="CX19" s="21">
        <f>_xlfn.RANK.EQ(CW19,CW$3:CW$10000,1)</f>
        <v>8</v>
      </c>
      <c r="CY19" s="24">
        <f>_xlfn.STDEV.S(J19,P19,V19,AB19,AH19,AN19,AT19,AZ19,BF19,BL19,BR19,BX19,CD19,CJ19)</f>
        <v>14.835545375664712</v>
      </c>
      <c r="CZ19" s="21">
        <f>_xlfn.RANK.EQ(CY19,CY$3:CY$10000,1)</f>
        <v>54</v>
      </c>
      <c r="DA19">
        <f>SUM(COUNTIF(E19,"&gt;0"),COUNTIF(K19,"&gt;0"),COUNTIF(Q19,"&gt;0"),COUNTIF(W19,"&gt;0"),COUNTIF(AC19,"&gt;0"),COUNTIF(AI19,"&gt;0"),COUNTIF(AO19,"&gt;0"),COUNTIF(AU19,"&gt;0"),COUNTIF(BA19,"&gt;0"),COUNTIF(BG19,"&gt;0"),COUNTIF(BM19,"&gt;0"),COUNTIF(BS19,"&gt;0"),COUNTIF(BY19,"&gt;0"),COUNTIF(CE19,"&gt;0"))</f>
        <v>14</v>
      </c>
    </row>
    <row r="20" spans="1:105" x14ac:dyDescent="0.3">
      <c r="B20" t="s">
        <v>52</v>
      </c>
      <c r="C20" s="18" t="s">
        <v>454</v>
      </c>
      <c r="D20" s="4">
        <f>CN20*$CN$1+CP20*$CP$1+CR20*$CR$1</f>
        <v>18.7</v>
      </c>
      <c r="E20" s="29">
        <f>IFERROR(_xlfn.XLOOKUP(B20,'w1'!$B:$B,'w1'!$C:$C),0)</f>
        <v>17</v>
      </c>
      <c r="F20" s="30">
        <f>_xlfn.RANK.EQ(E20,E$3:E$10000,0)</f>
        <v>49</v>
      </c>
      <c r="G20" s="31">
        <f>IFERROR(_xlfn.XLOOKUP(B20,'w1'!$B:$B,'w1'!$F:$F),1)</f>
        <v>0.25972222222222224</v>
      </c>
      <c r="H20" s="30">
        <f>_xlfn.RANK.EQ(G20,G$3:G$10000,1)</f>
        <v>26</v>
      </c>
      <c r="I20" s="30">
        <f>IFERROR(IF(_xlfn.XLOOKUP(B20,'w1'!$B:$B,'w1'!$G:$G)="--",0,_xlfn.XLOOKUP(B20,'w1'!$B:$B,'w1'!$G:$G)),0)</f>
        <v>31</v>
      </c>
      <c r="J20" s="30">
        <f>_xlfn.RANK.EQ(I20,I$3:I$10000,0)</f>
        <v>72</v>
      </c>
      <c r="K20" s="34">
        <f>IFERROR(_xlfn.XLOOKUP(B20,'w2'!$B:$B,'w2'!$C:$C),0)</f>
        <v>0</v>
      </c>
      <c r="L20" s="35">
        <f>_xlfn.RANK.EQ(K20,K$3:K$10000,0)</f>
        <v>73</v>
      </c>
      <c r="M20" s="36">
        <f>IFERROR(_xlfn.XLOOKUP(B20,'w2'!$B:$B,'w2'!$F:$F),1)</f>
        <v>1</v>
      </c>
      <c r="N20" s="35">
        <f>_xlfn.RANK.EQ(M20,M$3:M$10000,1)</f>
        <v>72</v>
      </c>
      <c r="O20" s="35">
        <f>IFERROR(IF(_xlfn.XLOOKUP(B20,'w2'!$B:$B,'w2'!$G:$G)="--",0,_xlfn.XLOOKUP(B20,'w2'!$B:$B,'w2'!$G:$G)),0)</f>
        <v>0</v>
      </c>
      <c r="P20" s="35">
        <f>_xlfn.RANK.EQ(O20,O$3:O$10000,0)</f>
        <v>71</v>
      </c>
      <c r="Q20" s="39">
        <f>IFERROR(_xlfn.XLOOKUP(B20,'w3'!$B:$B,'w3'!$C:$C),0)</f>
        <v>45.2</v>
      </c>
      <c r="R20" s="40">
        <f>_xlfn.RANK.EQ(Q20,Q$3:Q$10000,0)</f>
        <v>15</v>
      </c>
      <c r="S20" s="41">
        <f>IFERROR(_xlfn.XLOOKUP(B20,'w3'!$B:$B,'w3'!$F:$F),1)</f>
        <v>0.25277777777777777</v>
      </c>
      <c r="T20" s="40">
        <f>_xlfn.RANK.EQ(S20,S$3:S$10000,1)</f>
        <v>23</v>
      </c>
      <c r="U20" s="40">
        <f>IFERROR(IF(_xlfn.XLOOKUP(B20,'w3'!$B:$B,'w3'!$G:$G)="--",0,_xlfn.XLOOKUP(B20,'w3'!$B:$B,'w3'!$G:$G)),0)</f>
        <v>224</v>
      </c>
      <c r="V20" s="40">
        <f>_xlfn.RANK.EQ(U20,U$3:U$10000,0)</f>
        <v>35</v>
      </c>
      <c r="W20" s="44">
        <f>IFERROR(_xlfn.XLOOKUP(B20,'w4'!$B:$B,'w4'!$C:$C),0)</f>
        <v>50.7</v>
      </c>
      <c r="X20" s="45">
        <f>_xlfn.RANK.EQ(W20,W$3:W$10000,0)</f>
        <v>11</v>
      </c>
      <c r="Y20" s="46">
        <f>IFERROR(_xlfn.XLOOKUP(B20,'w4'!$B:$B,'w4'!$F:$F),1)</f>
        <v>0.25347222222222221</v>
      </c>
      <c r="Z20" s="45">
        <f>_xlfn.RANK.EQ(Y20,Y$3:Y$10000,1)</f>
        <v>25</v>
      </c>
      <c r="AA20" s="45">
        <f>IFERROR(IF(_xlfn.XLOOKUP(B20,'w4'!$B:$B,'w4'!$G:$G)="--",0,_xlfn.XLOOKUP(B20,'w4'!$B:$B,'w4'!$G:$G)),0)</f>
        <v>294</v>
      </c>
      <c r="AB20" s="45">
        <f>_xlfn.RANK.EQ(AA20,AA$3:AA$10000,0)</f>
        <v>28</v>
      </c>
      <c r="AC20" s="13">
        <f>IFERROR(_xlfn.XLOOKUP(B20,'w5'!$B:$B,'w5'!$C:$C),0)</f>
        <v>32.5</v>
      </c>
      <c r="AD20" s="12">
        <f>_xlfn.RANK.EQ(AC20,AC$3:AC$10000,0)</f>
        <v>31</v>
      </c>
      <c r="AE20" s="14">
        <f>IFERROR(_xlfn.XLOOKUP(B20,'w5'!$B:$B,'w5'!$F:$F),1)</f>
        <v>0.22777777777777777</v>
      </c>
      <c r="AF20" s="12">
        <f>_xlfn.RANK.EQ(AE20,AE$3:AE$10000,1)</f>
        <v>9</v>
      </c>
      <c r="AG20" s="12">
        <f>IFERROR(IF(_xlfn.XLOOKUP(B20,'w5'!$B:$B,'w5'!$G:$G)="--",0,_xlfn.XLOOKUP(B20,'w5'!$B:$B,'w5'!$G:$G)),0)</f>
        <v>155</v>
      </c>
      <c r="AH20" s="12">
        <f>_xlfn.RANK.EQ(AG20,AG$3:AG$10000,0)</f>
        <v>51</v>
      </c>
      <c r="AI20" s="51">
        <f>IFERROR(_xlfn.XLOOKUP(B20,'w6'!$B:$B,'w6'!$C:$C),0)</f>
        <v>9.6999999999999993</v>
      </c>
      <c r="AJ20" s="50">
        <f>_xlfn.RANK.EQ(AI20,AI$3:AI$10000,0)</f>
        <v>57</v>
      </c>
      <c r="AK20" s="52">
        <f>IFERROR(_xlfn.XLOOKUP(B20,'w6'!$B:$B,'w6'!$F:$F),1)</f>
        <v>0.27708333333333335</v>
      </c>
      <c r="AL20" s="50">
        <f>_xlfn.RANK.EQ(AK20,AK$3:AK$10000,1)</f>
        <v>30</v>
      </c>
      <c r="AM20" s="50">
        <f>IFERROR(IF(_xlfn.XLOOKUP(B20,'w6'!$B:$B,'w6'!$G:$G)="--",0,_xlfn.XLOOKUP(B20,'w6'!$B:$B,'w6'!$G:$G)),0)</f>
        <v>135</v>
      </c>
      <c r="AN20" s="50">
        <f>_xlfn.RANK.EQ(AM20,AM$3:AM$10000,0)</f>
        <v>45</v>
      </c>
      <c r="AO20" s="56">
        <f>IFERROR(_xlfn.XLOOKUP(B20,'w7'!$B:$B,'w7'!$C:$C),0)</f>
        <v>19.600000000000001</v>
      </c>
      <c r="AP20" s="57">
        <f>_xlfn.RANK.EQ(AO20,AO$3:AO$10000,0)</f>
        <v>40</v>
      </c>
      <c r="AQ20" s="58">
        <f>IFERROR(_xlfn.XLOOKUP(B20,'w7'!$B:$B,'w7'!$F:$F),1)</f>
        <v>0.28125</v>
      </c>
      <c r="AR20" s="57">
        <f>_xlfn.RANK.EQ(AQ20,AQ$3:AQ$10000,1)</f>
        <v>35</v>
      </c>
      <c r="AS20" s="57">
        <f>IFERROR(IF(_xlfn.XLOOKUP(B20,'w7'!$B:$B,'w7'!$G:$G)="--",0,_xlfn.XLOOKUP(B20,'w7'!$B:$B,'w7'!$G:$G)),0)</f>
        <v>130</v>
      </c>
      <c r="AT20" s="57">
        <f>_xlfn.RANK.EQ(AS20,AS$3:AS$10000,0)</f>
        <v>44</v>
      </c>
      <c r="AU20" s="62">
        <f>IFERROR(_xlfn.XLOOKUP(B20,'w8'!$B:$B,'w8'!$C:$C),0)</f>
        <v>49.4</v>
      </c>
      <c r="AV20" s="61">
        <f>_xlfn.RANK.EQ(AU20,AU$3:AU$10000,0)</f>
        <v>16</v>
      </c>
      <c r="AW20" s="63">
        <f>IFERROR(_xlfn.XLOOKUP(B20,'w8'!$B:$B,'w8'!$F:$F),1)</f>
        <v>0.26180555555555557</v>
      </c>
      <c r="AX20" s="61">
        <f>_xlfn.RANK.EQ(AW20,AW$3:AW$10000,1)</f>
        <v>25</v>
      </c>
      <c r="AY20" s="61">
        <f>IFERROR(IF(_xlfn.XLOOKUP(B20,'w8'!$B:$B,'w8'!$G:$G)="--",0,_xlfn.XLOOKUP(B20,'w8'!$B:$B,'w8'!$G:$G)),0)</f>
        <v>173</v>
      </c>
      <c r="AZ20" s="61">
        <f>_xlfn.RANK.EQ(AY20,AY$3:AY$10000,0)</f>
        <v>41</v>
      </c>
      <c r="BA20" s="66">
        <f>IFERROR(_xlfn.XLOOKUP(C20,'w9'!$B:$B,'w9'!$C:$C),0)</f>
        <v>50.9</v>
      </c>
      <c r="BB20" s="67">
        <f>_xlfn.RANK.EQ(BA20,BA$3:BA$10000,0)</f>
        <v>14</v>
      </c>
      <c r="BC20" s="68">
        <f>IFERROR(_xlfn.XLOOKUP(C20,'w9'!$B:$B,'w9'!$F:$F),1)</f>
        <v>0.25416666666666665</v>
      </c>
      <c r="BD20" s="67">
        <f>_xlfn.RANK.EQ(BC20,BC$3:BC$10000,1)</f>
        <v>17</v>
      </c>
      <c r="BE20" s="67">
        <f>IFERROR(IF(_xlfn.XLOOKUP(C20,'w9'!$B:$B,'w9'!$G:$G)="--",0,_xlfn.XLOOKUP(C20,'w9'!$B:$B,'w9'!$G:$G)),0)</f>
        <v>468</v>
      </c>
      <c r="BF20" s="67">
        <f>_xlfn.RANK.EQ(BE20,BE$3:BE$10000,0)</f>
        <v>30</v>
      </c>
      <c r="BG20" s="72">
        <f>IFERROR(_xlfn.XLOOKUP(B20,'w10'!$B:$B,'w10'!$C:$C),0)</f>
        <v>43.2</v>
      </c>
      <c r="BH20" s="74">
        <f>_xlfn.RANK.EQ(BG20,BG$3:BG$10000,0)</f>
        <v>19</v>
      </c>
      <c r="BI20" s="75">
        <f>IFERROR(_xlfn.XLOOKUP(B20,'w10'!$B:$B,'w10'!$F:$F),1)</f>
        <v>0.2361111111111111</v>
      </c>
      <c r="BJ20" s="74">
        <f>_xlfn.RANK.EQ(BI20,BI$3:BI$10000,1)</f>
        <v>13</v>
      </c>
      <c r="BK20" s="74">
        <f>IFERROR(IF(_xlfn.XLOOKUP(B20,'w10'!$B:$B,'w10'!$G:$G)="--",0,_xlfn.XLOOKUP(B20,'w10'!$B:$B,'w10'!$G:$G)),0)</f>
        <v>172</v>
      </c>
      <c r="BL20" s="74">
        <f>_xlfn.RANK.EQ(BK20,BK$3:BK$10000,0)</f>
        <v>36</v>
      </c>
      <c r="BM20" s="78">
        <f>IFERROR(_xlfn.XLOOKUP(B20,'w11'!$B:$B,'w11'!$C:$C),0)</f>
        <v>66.7</v>
      </c>
      <c r="BN20" s="80">
        <f>_xlfn.RANK.EQ(BM20,BM$3:BM$10000,0)</f>
        <v>4</v>
      </c>
      <c r="BO20" s="81">
        <f>IFERROR(_xlfn.XLOOKUP(B20,'w11'!$B:$B,'w11'!$F:$F),1)</f>
        <v>0.24583333333333332</v>
      </c>
      <c r="BP20" s="80">
        <f>_xlfn.RANK.EQ(BO20,BO$3:BO$10000,1)</f>
        <v>18</v>
      </c>
      <c r="BQ20" s="80">
        <f>IFERROR(IF(_xlfn.XLOOKUP(B20,'w11'!$B:$B,'w11'!$G:$G)="--",0,_xlfn.XLOOKUP(B20,'w11'!$B:$B,'w11'!$G:$G)),0)</f>
        <v>341</v>
      </c>
      <c r="BR20" s="80">
        <f>_xlfn.RANK.EQ(BQ20,BQ$3:BQ$10000,0)</f>
        <v>26</v>
      </c>
      <c r="BS20" s="83">
        <f>IFERROR(_xlfn.XLOOKUP(B20,'w12'!$B:$B,'w12'!$C:$C),0)</f>
        <v>43.2</v>
      </c>
      <c r="BT20" s="86">
        <f>_xlfn.RANK.EQ(BS20,BS$3:BS$10000,0)</f>
        <v>10</v>
      </c>
      <c r="BU20" s="87">
        <f>IFERROR(_xlfn.XLOOKUP(B20,'w12'!$B:$B,'w12'!$F:$F),1)</f>
        <v>0.2388888888888889</v>
      </c>
      <c r="BV20" s="86">
        <f>_xlfn.RANK.EQ(BU20,BU$3:BU$10000,1)</f>
        <v>12</v>
      </c>
      <c r="BW20" s="86">
        <f>IFERROR(IF(_xlfn.XLOOKUP(B20,'w12'!$B:$B,'w12'!$G:$G)="--",0,_xlfn.XLOOKUP(B20,'w12'!$B:$B,'w12'!$G:$G)),0)</f>
        <v>72</v>
      </c>
      <c r="BX20" s="86">
        <f>_xlfn.RANK.EQ(BW20,BW$3:BW$10000,0)</f>
        <v>61</v>
      </c>
      <c r="BY20" s="89">
        <f>IFERROR(_xlfn.XLOOKUP(B20,'w13'!$B:$B,'w13'!$C:$C),0)</f>
        <v>22.9</v>
      </c>
      <c r="BZ20" s="92">
        <f>_xlfn.RANK.EQ(BY20,BY$3:BY$10000,0)</f>
        <v>34</v>
      </c>
      <c r="CA20" s="93">
        <f>IFERROR(_xlfn.XLOOKUP(B20,'w13'!$B:$B,'w13'!$F:$F),1)</f>
        <v>0.26944444444444443</v>
      </c>
      <c r="CB20" s="92">
        <f>_xlfn.RANK.EQ(CA20,CA$3:CA$10000,1)</f>
        <v>34</v>
      </c>
      <c r="CC20" s="92">
        <f>IFERROR(IF(_xlfn.XLOOKUP(B20,'w13'!$B:$B,'w13'!$G:$G)="--",0,_xlfn.XLOOKUP(B20,'w13'!$B:$B,'w13'!$G:$G)),0)</f>
        <v>183</v>
      </c>
      <c r="CD20" s="92">
        <f>_xlfn.RANK.EQ(CC20,CC$3:CC$10000,0)</f>
        <v>39</v>
      </c>
      <c r="CE20" s="95">
        <f>IFERROR(_xlfn.XLOOKUP(B20,'w14'!$B:$B,'w14'!$C:$C),0)</f>
        <v>36.700000000000003</v>
      </c>
      <c r="CF20" s="98">
        <f>_xlfn.RANK.EQ(CE20,CE$3:CE$10000,0)</f>
        <v>24</v>
      </c>
      <c r="CG20" s="99">
        <f>IFERROR(_xlfn.XLOOKUP(B20,'w14'!$B:$B,'w14'!$F:$F),1)</f>
        <v>0.26250000000000001</v>
      </c>
      <c r="CH20" s="98">
        <f>_xlfn.RANK.EQ(CG20,CG$3:CG$10000,1)</f>
        <v>24</v>
      </c>
      <c r="CI20" s="98">
        <f>IFERROR(IF(_xlfn.XLOOKUP(B20,'w14'!$B:$B,'w14'!$G:$G)="--",0,_xlfn.XLOOKUP(B20,'w14'!$B:$B,'w14'!$G:$G)),0)</f>
        <v>345</v>
      </c>
      <c r="CJ20" s="98">
        <f>_xlfn.RANK.EQ(CI20,CI$3:CI$10000,0)</f>
        <v>26</v>
      </c>
      <c r="CK20" s="9">
        <f>_xlfn.RANK.EQ(D20,D$3:D$10000,1)</f>
        <v>18</v>
      </c>
      <c r="CL20" s="26" t="s">
        <v>125</v>
      </c>
      <c r="CM20" s="8">
        <f>SUM(E20,K20,Q20,W20,AC20,AI20,AO20,AU20,BA20,BG20,BM20,BS20,BY20,CE20)</f>
        <v>487.69999999999993</v>
      </c>
      <c r="CN20" s="9">
        <f>_xlfn.RANK.EQ(CM20,CM$3:CM$10000)</f>
        <v>18</v>
      </c>
      <c r="CO20" s="15">
        <f>IFERROR(SUM(PRODUCT(E20,G20),PRODUCT(K20,M20),PRODUCT(Q20,S20),PRODUCT(W20,Y20),PRODUCT(AC20,AE20),PRODUCT(AI20,AK20),PRODUCT(AO20,AQ20),PRODUCT(AU20,AW20),PRODUCT(BA20,BC20),PRODUCT(BG20,BI20),PRODUCT(BM20,BO20),PRODUCT(BS20,BU20),PRODUCT(BY20,CA20),PRODUCT(CE20,CG20))/CM20,1)</f>
        <v>0.25197098626204639</v>
      </c>
      <c r="CP20" s="9">
        <f>_xlfn.RANK.EQ(CO20,CO$3:CO$10000,1)</f>
        <v>20</v>
      </c>
      <c r="CQ20" s="9">
        <f>SUM(I20,O20,U20,AA20,AG20,AM20,AS20,AY20,BE20,BK20,BQ20,BW20,CC20,CI20)</f>
        <v>2723</v>
      </c>
      <c r="CR20" s="9">
        <f>_xlfn.RANK.EQ(CQ20,CQ$3:CQ$10000)</f>
        <v>44</v>
      </c>
      <c r="CS20" s="23">
        <f t="shared" si="2"/>
        <v>31</v>
      </c>
      <c r="CT20" s="25">
        <f t="shared" si="3"/>
        <v>87.375</v>
      </c>
      <c r="CU20" s="24">
        <f>_xlfn.STDEV.S(F20,L20,R20,X20,AD20,AJ20,AP20,AV20,BB20,BH20,BN20,BT20,BZ20,CF20)</f>
        <v>20.170836307962976</v>
      </c>
      <c r="CV20" s="21">
        <f>_xlfn.RANK.EQ(CU20,CU$3:CU$10000,1)</f>
        <v>89</v>
      </c>
      <c r="CW20" s="24">
        <f>_xlfn.STDEV.S(H20,N20,T20,Z20,AF20,AL20,AR20,AX20,BD20,BJ20,BP20,BV20,CB20,CH20)</f>
        <v>15.419589367545953</v>
      </c>
      <c r="CX20" s="21">
        <f>_xlfn.RANK.EQ(CW20,CW$3:CW$10000,1)</f>
        <v>56</v>
      </c>
      <c r="CY20" s="24">
        <f>_xlfn.STDEV.S(J20,P20,V20,AB20,AH20,AN20,AT20,AZ20,BF20,BL20,BR20,BX20,CD20,CJ20)</f>
        <v>15.497784315227728</v>
      </c>
      <c r="CZ20" s="21">
        <f>_xlfn.RANK.EQ(CY20,CY$3:CY$10000,1)</f>
        <v>57</v>
      </c>
      <c r="DA20">
        <f>SUM(COUNTIF(E20,"&gt;0"),COUNTIF(K20,"&gt;0"),COUNTIF(Q20,"&gt;0"),COUNTIF(W20,"&gt;0"),COUNTIF(AC20,"&gt;0"),COUNTIF(AI20,"&gt;0"),COUNTIF(AO20,"&gt;0"),COUNTIF(AU20,"&gt;0"),COUNTIF(BA20,"&gt;0"),COUNTIF(BG20,"&gt;0"),COUNTIF(BM20,"&gt;0"),COUNTIF(BS20,"&gt;0"),COUNTIF(BY20,"&gt;0"),COUNTIF(CE20,"&gt;0"))</f>
        <v>13</v>
      </c>
    </row>
    <row r="21" spans="1:105" x14ac:dyDescent="0.3">
      <c r="B21" t="s">
        <v>19</v>
      </c>
      <c r="C21" s="18" t="s">
        <v>99</v>
      </c>
      <c r="D21" s="4">
        <f>CN21*$CN$1+CP21*$CP$1+CR21*$CR$1</f>
        <v>18.8</v>
      </c>
      <c r="E21" s="29">
        <f>IFERROR(_xlfn.XLOOKUP(B21,'w1'!$B:$B,'w1'!$C:$C),0)</f>
        <v>44.1</v>
      </c>
      <c r="F21" s="30">
        <f>_xlfn.RANK.EQ(E21,E$3:E$10000,0)</f>
        <v>16</v>
      </c>
      <c r="G21" s="31">
        <f>IFERROR(_xlfn.XLOOKUP(B21,'w1'!$B:$B,'w1'!$F:$F),1)</f>
        <v>0.20972222222222223</v>
      </c>
      <c r="H21" s="30">
        <f>_xlfn.RANK.EQ(G21,G$3:G$10000,1)</f>
        <v>3</v>
      </c>
      <c r="I21" s="30">
        <f>IFERROR(IF(_xlfn.XLOOKUP(B21,'w1'!$B:$B,'w1'!$G:$G)="--",0,_xlfn.XLOOKUP(B21,'w1'!$B:$B,'w1'!$G:$G)),0)</f>
        <v>569</v>
      </c>
      <c r="J21" s="30">
        <f>_xlfn.RANK.EQ(I21,I$3:I$10000,0)</f>
        <v>16</v>
      </c>
      <c r="K21" s="34">
        <f>IFERROR(_xlfn.XLOOKUP(B21,'w2'!$B:$B,'w2'!$C:$C),0)</f>
        <v>31.2</v>
      </c>
      <c r="L21" s="35">
        <f>_xlfn.RANK.EQ(K21,K$3:K$10000,0)</f>
        <v>26</v>
      </c>
      <c r="M21" s="36">
        <f>IFERROR(_xlfn.XLOOKUP(B21,'w2'!$B:$B,'w2'!$F:$F),1)</f>
        <v>0.25069444444444444</v>
      </c>
      <c r="N21" s="35">
        <f>_xlfn.RANK.EQ(M21,M$3:M$10000,1)</f>
        <v>15</v>
      </c>
      <c r="O21" s="35">
        <f>IFERROR(IF(_xlfn.XLOOKUP(B21,'w2'!$B:$B,'w2'!$G:$G)="--",0,_xlfn.XLOOKUP(B21,'w2'!$B:$B,'w2'!$G:$G)),0)</f>
        <v>582</v>
      </c>
      <c r="P21" s="35">
        <f>_xlfn.RANK.EQ(O21,O$3:O$10000,0)</f>
        <v>13</v>
      </c>
      <c r="Q21" s="39">
        <f>IFERROR(_xlfn.XLOOKUP(B21,'w3'!$B:$B,'w3'!$C:$C),0)</f>
        <v>27.7</v>
      </c>
      <c r="R21" s="40">
        <f>_xlfn.RANK.EQ(Q21,Q$3:Q$10000,0)</f>
        <v>34</v>
      </c>
      <c r="S21" s="41">
        <f>IFERROR(_xlfn.XLOOKUP(B21,'w3'!$B:$B,'w3'!$F:$F),1)</f>
        <v>0.22777777777777777</v>
      </c>
      <c r="T21" s="40">
        <f>_xlfn.RANK.EQ(S21,S$3:S$10000,1)</f>
        <v>5</v>
      </c>
      <c r="U21" s="40">
        <f>IFERROR(IF(_xlfn.XLOOKUP(B21,'w3'!$B:$B,'w3'!$G:$G)="--",0,_xlfn.XLOOKUP(B21,'w3'!$B:$B,'w3'!$G:$G)),0)</f>
        <v>392</v>
      </c>
      <c r="V21" s="40">
        <f>_xlfn.RANK.EQ(U21,U$3:U$10000,0)</f>
        <v>24</v>
      </c>
      <c r="W21" s="44">
        <f>IFERROR(_xlfn.XLOOKUP(B21,'w4'!$B:$B,'w4'!$C:$C),0)</f>
        <v>26</v>
      </c>
      <c r="X21" s="45">
        <f>_xlfn.RANK.EQ(W21,W$3:W$10000,0)</f>
        <v>31</v>
      </c>
      <c r="Y21" s="46">
        <f>IFERROR(_xlfn.XLOOKUP(B21,'w4'!$B:$B,'w4'!$F:$F),1)</f>
        <v>0.21666666666666667</v>
      </c>
      <c r="Z21" s="45">
        <f>_xlfn.RANK.EQ(Y21,Y$3:Y$10000,1)</f>
        <v>5</v>
      </c>
      <c r="AA21" s="45">
        <f>IFERROR(IF(_xlfn.XLOOKUP(B21,'w4'!$B:$B,'w4'!$G:$G)="--",0,_xlfn.XLOOKUP(B21,'w4'!$B:$B,'w4'!$G:$G)),0)</f>
        <v>142</v>
      </c>
      <c r="AB21" s="45">
        <f>_xlfn.RANK.EQ(AA21,AA$3:AA$10000,0)</f>
        <v>42</v>
      </c>
      <c r="AC21" s="13">
        <f>IFERROR(_xlfn.XLOOKUP(B21,'w5'!$B:$B,'w5'!$C:$C),0)</f>
        <v>0</v>
      </c>
      <c r="AD21" s="12">
        <f>_xlfn.RANK.EQ(AC21,AC$3:AC$10000,0)</f>
        <v>77</v>
      </c>
      <c r="AE21" s="14">
        <f>IFERROR(_xlfn.XLOOKUP(B21,'w5'!$B:$B,'w5'!$F:$F),1)</f>
        <v>1</v>
      </c>
      <c r="AF21" s="12">
        <f>_xlfn.RANK.EQ(AE21,AE$3:AE$10000,1)</f>
        <v>76</v>
      </c>
      <c r="AG21" s="12">
        <f>IFERROR(IF(_xlfn.XLOOKUP(B21,'w5'!$B:$B,'w5'!$G:$G)="--",0,_xlfn.XLOOKUP(B21,'w5'!$B:$B,'w5'!$G:$G)),0)</f>
        <v>0</v>
      </c>
      <c r="AH21" s="12">
        <f>_xlfn.RANK.EQ(AG21,AG$3:AG$10000,0)</f>
        <v>73</v>
      </c>
      <c r="AI21" s="51">
        <f>IFERROR(_xlfn.XLOOKUP(B21,'w6'!$B:$B,'w6'!$C:$C),0)</f>
        <v>0</v>
      </c>
      <c r="AJ21" s="50">
        <f>_xlfn.RANK.EQ(AI21,AI$3:AI$10000,0)</f>
        <v>65</v>
      </c>
      <c r="AK21" s="52">
        <f>IFERROR(_xlfn.XLOOKUP(B21,'w6'!$B:$B,'w6'!$F:$F),1)</f>
        <v>1</v>
      </c>
      <c r="AL21" s="50">
        <f>_xlfn.RANK.EQ(AK21,AK$3:AK$10000,1)</f>
        <v>65</v>
      </c>
      <c r="AM21" s="50">
        <f>IFERROR(IF(_xlfn.XLOOKUP(B21,'w6'!$B:$B,'w6'!$G:$G)="--",0,_xlfn.XLOOKUP(B21,'w6'!$B:$B,'w6'!$G:$G)),0)</f>
        <v>0</v>
      </c>
      <c r="AN21" s="50">
        <f>_xlfn.RANK.EQ(AM21,AM$3:AM$10000,0)</f>
        <v>61</v>
      </c>
      <c r="AO21" s="56">
        <f>IFERROR(_xlfn.XLOOKUP(B21,'w7'!$B:$B,'w7'!$C:$C),0)</f>
        <v>63.3</v>
      </c>
      <c r="AP21" s="57">
        <f>_xlfn.RANK.EQ(AO21,AO$3:AO$10000,0)</f>
        <v>3</v>
      </c>
      <c r="AQ21" s="58">
        <f>IFERROR(_xlfn.XLOOKUP(B21,'w7'!$B:$B,'w7'!$F:$F),1)</f>
        <v>0.2638888888888889</v>
      </c>
      <c r="AR21" s="57">
        <f>_xlfn.RANK.EQ(AQ21,AQ$3:AQ$10000,1)</f>
        <v>29</v>
      </c>
      <c r="AS21" s="57">
        <f>IFERROR(IF(_xlfn.XLOOKUP(B21,'w7'!$B:$B,'w7'!$G:$G)="--",0,_xlfn.XLOOKUP(B21,'w7'!$B:$B,'w7'!$G:$G)),0)</f>
        <v>1381</v>
      </c>
      <c r="AT21" s="57">
        <f>_xlfn.RANK.EQ(AS21,AS$3:AS$10000,0)</f>
        <v>9</v>
      </c>
      <c r="AU21" s="62">
        <f>IFERROR(_xlfn.XLOOKUP(B21,'w8'!$B:$B,'w8'!$C:$C),0)</f>
        <v>93</v>
      </c>
      <c r="AV21" s="61">
        <f>_xlfn.RANK.EQ(AU21,AU$3:AU$10000,0)</f>
        <v>4</v>
      </c>
      <c r="AW21" s="63">
        <f>IFERROR(_xlfn.XLOOKUP(B21,'w8'!$B:$B,'w8'!$F:$F),1)</f>
        <v>0.21111111111111111</v>
      </c>
      <c r="AX21" s="61">
        <f>_xlfn.RANK.EQ(AW21,AW$3:AW$10000,1)</f>
        <v>2</v>
      </c>
      <c r="AY21" s="61">
        <f>IFERROR(IF(_xlfn.XLOOKUP(B21,'w8'!$B:$B,'w8'!$G:$G)="--",0,_xlfn.XLOOKUP(B21,'w8'!$B:$B,'w8'!$G:$G)),0)</f>
        <v>735</v>
      </c>
      <c r="AZ21" s="61">
        <f>_xlfn.RANK.EQ(AY21,AY$3:AY$10000,0)</f>
        <v>16</v>
      </c>
      <c r="BA21" s="66">
        <f>IFERROR(_xlfn.XLOOKUP(C21,'w9'!$B:$B,'w9'!$C:$C),0)</f>
        <v>72.099999999999994</v>
      </c>
      <c r="BB21" s="67">
        <f>_xlfn.RANK.EQ(BA21,BA$3:BA$10000,0)</f>
        <v>3</v>
      </c>
      <c r="BC21" s="68">
        <f>IFERROR(_xlfn.XLOOKUP(C21,'w9'!$B:$B,'w9'!$F:$F),1)</f>
        <v>0.20624999999999999</v>
      </c>
      <c r="BD21" s="67">
        <f>_xlfn.RANK.EQ(BC21,BC$3:BC$10000,1)</f>
        <v>2</v>
      </c>
      <c r="BE21" s="67">
        <f>IFERROR(IF(_xlfn.XLOOKUP(C21,'w9'!$B:$B,'w9'!$G:$G)="--",0,_xlfn.XLOOKUP(C21,'w9'!$B:$B,'w9'!$G:$G)),0)</f>
        <v>385</v>
      </c>
      <c r="BF21" s="67">
        <f>_xlfn.RANK.EQ(BE21,BE$3:BE$10000,0)</f>
        <v>38</v>
      </c>
      <c r="BG21" s="72">
        <f>IFERROR(_xlfn.XLOOKUP(B21,'w10'!$B:$B,'w10'!$C:$C),0)</f>
        <v>21.4</v>
      </c>
      <c r="BH21" s="74">
        <f>_xlfn.RANK.EQ(BG21,BG$3:BG$10000,0)</f>
        <v>41</v>
      </c>
      <c r="BI21" s="75">
        <f>IFERROR(_xlfn.XLOOKUP(B21,'w10'!$B:$B,'w10'!$F:$F),1)</f>
        <v>0.23125000000000001</v>
      </c>
      <c r="BJ21" s="74">
        <f>_xlfn.RANK.EQ(BI21,BI$3:BI$10000,1)</f>
        <v>9</v>
      </c>
      <c r="BK21" s="74">
        <f>IFERROR(IF(_xlfn.XLOOKUP(B21,'w10'!$B:$B,'w10'!$G:$G)="--",0,_xlfn.XLOOKUP(B21,'w10'!$B:$B,'w10'!$G:$G)),0)</f>
        <v>153</v>
      </c>
      <c r="BL21" s="74">
        <f>_xlfn.RANK.EQ(BK21,BK$3:BK$10000,0)</f>
        <v>39</v>
      </c>
      <c r="BM21" s="78">
        <f>IFERROR(_xlfn.XLOOKUP(B21,'w11'!$B:$B,'w11'!$C:$C),0)</f>
        <v>10.6</v>
      </c>
      <c r="BN21" s="80">
        <f>_xlfn.RANK.EQ(BM21,BM$3:BM$10000,0)</f>
        <v>60</v>
      </c>
      <c r="BO21" s="81">
        <f>IFERROR(_xlfn.XLOOKUP(B21,'w11'!$B:$B,'w11'!$F:$F),1)</f>
        <v>0.18541666666666667</v>
      </c>
      <c r="BP21" s="80">
        <f>_xlfn.RANK.EQ(BO21,BO$3:BO$10000,1)</f>
        <v>2</v>
      </c>
      <c r="BQ21" s="80">
        <f>IFERROR(IF(_xlfn.XLOOKUP(B21,'w11'!$B:$B,'w11'!$G:$G)="--",0,_xlfn.XLOOKUP(B21,'w11'!$B:$B,'w11'!$G:$G)),0)</f>
        <v>91</v>
      </c>
      <c r="BR21" s="80">
        <f>_xlfn.RANK.EQ(BQ21,BQ$3:BQ$10000,0)</f>
        <v>59</v>
      </c>
      <c r="BS21" s="83">
        <f>IFERROR(_xlfn.XLOOKUP(B21,'w12'!$B:$B,'w12'!$C:$C),0)</f>
        <v>16.600000000000001</v>
      </c>
      <c r="BT21" s="86">
        <f>_xlfn.RANK.EQ(BS21,BS$3:BS$10000,0)</f>
        <v>45</v>
      </c>
      <c r="BU21" s="87">
        <f>IFERROR(_xlfn.XLOOKUP(B21,'w12'!$B:$B,'w12'!$F:$F),1)</f>
        <v>0.22291666666666668</v>
      </c>
      <c r="BV21" s="86">
        <f>_xlfn.RANK.EQ(BU21,BU$3:BU$10000,1)</f>
        <v>3</v>
      </c>
      <c r="BW21" s="86">
        <f>IFERROR(IF(_xlfn.XLOOKUP(B21,'w12'!$B:$B,'w12'!$G:$G)="--",0,_xlfn.XLOOKUP(B21,'w12'!$B:$B,'w12'!$G:$G)),0)</f>
        <v>233</v>
      </c>
      <c r="BX21" s="86">
        <f>_xlfn.RANK.EQ(BW21,BW$3:BW$10000,0)</f>
        <v>31</v>
      </c>
      <c r="BY21" s="89">
        <f>IFERROR(_xlfn.XLOOKUP(B21,'w13'!$B:$B,'w13'!$C:$C),0)</f>
        <v>27.1</v>
      </c>
      <c r="BZ21" s="92">
        <f>_xlfn.RANK.EQ(BY21,BY$3:BY$10000,0)</f>
        <v>29</v>
      </c>
      <c r="CA21" s="93">
        <f>IFERROR(_xlfn.XLOOKUP(B21,'w13'!$B:$B,'w13'!$F:$F),1)</f>
        <v>0.20902777777777778</v>
      </c>
      <c r="CB21" s="92">
        <f>_xlfn.RANK.EQ(CA21,CA$3:CA$10000,1)</f>
        <v>4</v>
      </c>
      <c r="CC21" s="92">
        <f>IFERROR(IF(_xlfn.XLOOKUP(B21,'w13'!$B:$B,'w13'!$G:$G)="--",0,_xlfn.XLOOKUP(B21,'w13'!$B:$B,'w13'!$G:$G)),0)</f>
        <v>149</v>
      </c>
      <c r="CD21" s="92">
        <f>_xlfn.RANK.EQ(CC21,CC$3:CC$10000,0)</f>
        <v>41</v>
      </c>
      <c r="CE21" s="95">
        <f>IFERROR(_xlfn.XLOOKUP(B21,'w14'!$B:$B,'w14'!$C:$C),0)</f>
        <v>47.1</v>
      </c>
      <c r="CF21" s="98">
        <f>_xlfn.RANK.EQ(CE21,CE$3:CE$10000,0)</f>
        <v>15</v>
      </c>
      <c r="CG21" s="99">
        <f>IFERROR(_xlfn.XLOOKUP(B21,'w14'!$B:$B,'w14'!$F:$F),1)</f>
        <v>0.21736111111111112</v>
      </c>
      <c r="CH21" s="98">
        <f>_xlfn.RANK.EQ(CG21,CG$3:CG$10000,1)</f>
        <v>3</v>
      </c>
      <c r="CI21" s="98">
        <f>IFERROR(IF(_xlfn.XLOOKUP(B21,'w14'!$B:$B,'w14'!$G:$G)="--",0,_xlfn.XLOOKUP(B21,'w14'!$B:$B,'w14'!$G:$G)),0)</f>
        <v>659</v>
      </c>
      <c r="CJ21" s="98">
        <f>_xlfn.RANK.EQ(CI21,CI$3:CI$10000,0)</f>
        <v>17</v>
      </c>
      <c r="CK21" s="9">
        <f>_xlfn.RANK.EQ(D21,D$3:D$10000,1)</f>
        <v>19</v>
      </c>
      <c r="CL21" s="26" t="s">
        <v>99</v>
      </c>
      <c r="CM21" s="8">
        <f>SUM(E21,K21,Q21,W21,AC21,AI21,AO21,AU21,BA21,BG21,BM21,BS21,BY21,CE21)</f>
        <v>480.20000000000005</v>
      </c>
      <c r="CN21" s="9">
        <f>_xlfn.RANK.EQ(CM21,CM$3:CM$10000)</f>
        <v>19</v>
      </c>
      <c r="CO21" s="15">
        <f>IFERROR(SUM(PRODUCT(E21,G21),PRODUCT(K21,M21),PRODUCT(Q21,S21),PRODUCT(W21,Y21),PRODUCT(AC21,AE21),PRODUCT(AI21,AK21),PRODUCT(AO21,AQ21),PRODUCT(AU21,AW21),PRODUCT(BA21,BC21),PRODUCT(BG21,BI21),PRODUCT(BM21,BO21),PRODUCT(BS21,BU21),PRODUCT(BY21,CA21),PRODUCT(CE21,CG21))/CM21,1)</f>
        <v>0.22227876694895646</v>
      </c>
      <c r="CP21" s="9">
        <f>_xlfn.RANK.EQ(CO21,CO$3:CO$10000,1)</f>
        <v>5</v>
      </c>
      <c r="CQ21" s="9">
        <f>SUM(I21,O21,U21,AA21,AG21,AM21,AS21,AY21,BE21,BK21,BQ21,BW21,CC21,CI21)</f>
        <v>5471</v>
      </c>
      <c r="CR21" s="9">
        <f>_xlfn.RANK.EQ(CQ21,CQ$3:CQ$10000)</f>
        <v>25</v>
      </c>
      <c r="CS21" s="23"/>
      <c r="CT21" s="25"/>
      <c r="CU21" s="24">
        <f>_xlfn.STDEV.S(F21,L21,R21,X21,AD21,AJ21,AP21,AV21,BB21,BH21,BN21,BT21,BZ21,CF21)</f>
        <v>23.548523669923917</v>
      </c>
      <c r="CV21" s="21">
        <f>_xlfn.RANK.EQ(CU21,CU$3:CU$10000,1)</f>
        <v>99</v>
      </c>
      <c r="CW21" s="24">
        <f>_xlfn.STDEV.S(H21,N21,T21,Z21,AF21,AL21,AR21,AX21,BD21,BJ21,BP21,BV21,CB21,CH21)</f>
        <v>24.338839760332064</v>
      </c>
      <c r="CX21" s="21">
        <f>_xlfn.RANK.EQ(CW21,CW$3:CW$10000,1)</f>
        <v>94</v>
      </c>
      <c r="CY21" s="24">
        <f>_xlfn.STDEV.S(J21,P21,V21,AB21,AH21,AN21,AT21,AZ21,BF21,BL21,BR21,BX21,CD21,CJ21)</f>
        <v>19.884971408379943</v>
      </c>
      <c r="CZ21" s="21">
        <f>_xlfn.RANK.EQ(CY21,CY$3:CY$10000,1)</f>
        <v>85</v>
      </c>
      <c r="DA21">
        <f>SUM(COUNTIF(E21,"&gt;0"),COUNTIF(K21,"&gt;0"),COUNTIF(Q21,"&gt;0"),COUNTIF(W21,"&gt;0"),COUNTIF(AC21,"&gt;0"),COUNTIF(AI21,"&gt;0"),COUNTIF(AO21,"&gt;0"),COUNTIF(AU21,"&gt;0"),COUNTIF(BA21,"&gt;0"),COUNTIF(BG21,"&gt;0"),COUNTIF(BM21,"&gt;0"),COUNTIF(BS21,"&gt;0"),COUNTIF(BY21,"&gt;0"),COUNTIF(CE21,"&gt;0"))</f>
        <v>12</v>
      </c>
    </row>
    <row r="22" spans="1:105" x14ac:dyDescent="0.3">
      <c r="B22" t="s">
        <v>60</v>
      </c>
      <c r="C22" s="18" t="s">
        <v>464</v>
      </c>
      <c r="D22" s="4">
        <f>CN22*$CN$1+CP22*$CP$1+CR22*$CR$1</f>
        <v>20.799999999999997</v>
      </c>
      <c r="E22" s="29">
        <f>IFERROR(_xlfn.XLOOKUP(B22,'w1'!$B:$B,'w1'!$C:$C),0)</f>
        <v>12.2</v>
      </c>
      <c r="F22" s="30">
        <f>_xlfn.RANK.EQ(E22,E$3:E$10000,0)</f>
        <v>57</v>
      </c>
      <c r="G22" s="31">
        <f>IFERROR(_xlfn.XLOOKUP(B22,'w1'!$B:$B,'w1'!$F:$F),1)</f>
        <v>0.22708333333333333</v>
      </c>
      <c r="H22" s="30">
        <f>_xlfn.RANK.EQ(G22,G$3:G$10000,1)</f>
        <v>9</v>
      </c>
      <c r="I22" s="30">
        <f>IFERROR(IF(_xlfn.XLOOKUP(B22,'w1'!$B:$B,'w1'!$G:$G)="--",0,_xlfn.XLOOKUP(B22,'w1'!$B:$B,'w1'!$G:$G)),0)</f>
        <v>44</v>
      </c>
      <c r="J22" s="30">
        <f>_xlfn.RANK.EQ(I22,I$3:I$10000,0)</f>
        <v>68</v>
      </c>
      <c r="K22" s="34">
        <f>IFERROR(_xlfn.XLOOKUP(B22,'w2'!$B:$B,'w2'!$C:$C),0)</f>
        <v>60.8</v>
      </c>
      <c r="L22" s="35">
        <f>_xlfn.RANK.EQ(K22,K$3:K$10000,0)</f>
        <v>7</v>
      </c>
      <c r="M22" s="36">
        <f>IFERROR(_xlfn.XLOOKUP(B22,'w2'!$B:$B,'w2'!$F:$F),1)</f>
        <v>0.25069444444444444</v>
      </c>
      <c r="N22" s="35">
        <f>_xlfn.RANK.EQ(M22,M$3:M$10000,1)</f>
        <v>15</v>
      </c>
      <c r="O22" s="35">
        <f>IFERROR(IF(_xlfn.XLOOKUP(B22,'w2'!$B:$B,'w2'!$G:$G)="--",0,_xlfn.XLOOKUP(B22,'w2'!$B:$B,'w2'!$G:$G)),0)</f>
        <v>154</v>
      </c>
      <c r="P22" s="35">
        <f>_xlfn.RANK.EQ(O22,O$3:O$10000,0)</f>
        <v>46</v>
      </c>
      <c r="Q22" s="39">
        <f>IFERROR(_xlfn.XLOOKUP(B22,'w3'!$B:$B,'w3'!$C:$C),0)</f>
        <v>52</v>
      </c>
      <c r="R22" s="40">
        <f>_xlfn.RANK.EQ(Q22,Q$3:Q$10000,0)</f>
        <v>12</v>
      </c>
      <c r="S22" s="41">
        <f>IFERROR(_xlfn.XLOOKUP(B22,'w3'!$B:$B,'w3'!$F:$F),1)</f>
        <v>0.23541666666666666</v>
      </c>
      <c r="T22" s="40">
        <f>_xlfn.RANK.EQ(S22,S$3:S$10000,1)</f>
        <v>8</v>
      </c>
      <c r="U22" s="40">
        <f>IFERROR(IF(_xlfn.XLOOKUP(B22,'w3'!$B:$B,'w3'!$G:$G)="--",0,_xlfn.XLOOKUP(B22,'w3'!$B:$B,'w3'!$G:$G)),0)</f>
        <v>79</v>
      </c>
      <c r="V22" s="40">
        <f>_xlfn.RANK.EQ(U22,U$3:U$10000,0)</f>
        <v>64</v>
      </c>
      <c r="W22" s="44">
        <f>IFERROR(_xlfn.XLOOKUP(B22,'w4'!$B:$B,'w4'!$C:$C),0)</f>
        <v>26.3</v>
      </c>
      <c r="X22" s="45">
        <f>_xlfn.RANK.EQ(W22,W$3:W$10000,0)</f>
        <v>30</v>
      </c>
      <c r="Y22" s="46">
        <f>IFERROR(_xlfn.XLOOKUP(B22,'w4'!$B:$B,'w4'!$F:$F),1)</f>
        <v>0.24305555555555555</v>
      </c>
      <c r="Z22" s="45">
        <f>_xlfn.RANK.EQ(Y22,Y$3:Y$10000,1)</f>
        <v>15</v>
      </c>
      <c r="AA22" s="45">
        <f>IFERROR(IF(_xlfn.XLOOKUP(B22,'w4'!$B:$B,'w4'!$G:$G)="--",0,_xlfn.XLOOKUP(B22,'w4'!$B:$B,'w4'!$G:$G)),0)</f>
        <v>121</v>
      </c>
      <c r="AB22" s="45">
        <f>_xlfn.RANK.EQ(AA22,AA$3:AA$10000,0)</f>
        <v>45</v>
      </c>
      <c r="AC22" s="13">
        <f>IFERROR(_xlfn.XLOOKUP(B22,'w5'!$B:$B,'w5'!$C:$C),0)</f>
        <v>48.6</v>
      </c>
      <c r="AD22" s="12">
        <f>_xlfn.RANK.EQ(AC22,AC$3:AC$10000,0)</f>
        <v>10</v>
      </c>
      <c r="AE22" s="14">
        <f>IFERROR(_xlfn.XLOOKUP(B22,'w5'!$B:$B,'w5'!$F:$F),1)</f>
        <v>0.22291666666666668</v>
      </c>
      <c r="AF22" s="12">
        <f>_xlfn.RANK.EQ(AE22,AE$3:AE$10000,1)</f>
        <v>6</v>
      </c>
      <c r="AG22" s="12">
        <f>IFERROR(IF(_xlfn.XLOOKUP(B22,'w5'!$B:$B,'w5'!$G:$G)="--",0,_xlfn.XLOOKUP(B22,'w5'!$B:$B,'w5'!$G:$G)),0)</f>
        <v>243</v>
      </c>
      <c r="AH22" s="12">
        <f>_xlfn.RANK.EQ(AG22,AG$3:AG$10000,0)</f>
        <v>42</v>
      </c>
      <c r="AI22" s="51">
        <f>IFERROR(_xlfn.XLOOKUP(B22,'w6'!$B:$B,'w6'!$C:$C),0)</f>
        <v>52.3</v>
      </c>
      <c r="AJ22" s="50">
        <f>_xlfn.RANK.EQ(AI22,AI$3:AI$10000,0)</f>
        <v>6</v>
      </c>
      <c r="AK22" s="52">
        <f>IFERROR(_xlfn.XLOOKUP(B22,'w6'!$B:$B,'w6'!$F:$F),1)</f>
        <v>0.24027777777777778</v>
      </c>
      <c r="AL22" s="50">
        <f>_xlfn.RANK.EQ(AK22,AK$3:AK$10000,1)</f>
        <v>10</v>
      </c>
      <c r="AM22" s="50">
        <f>IFERROR(IF(_xlfn.XLOOKUP(B22,'w6'!$B:$B,'w6'!$G:$G)="--",0,_xlfn.XLOOKUP(B22,'w6'!$B:$B,'w6'!$G:$G)),0)</f>
        <v>371</v>
      </c>
      <c r="AN22" s="50">
        <f>_xlfn.RANK.EQ(AM22,AM$3:AM$10000,0)</f>
        <v>18</v>
      </c>
      <c r="AO22" s="56">
        <f>IFERROR(_xlfn.XLOOKUP(B22,'w7'!$B:$B,'w7'!$C:$C),0)</f>
        <v>0</v>
      </c>
      <c r="AP22" s="57">
        <f>_xlfn.RANK.EQ(AO22,AO$3:AO$10000,0)</f>
        <v>72</v>
      </c>
      <c r="AQ22" s="58">
        <f>IFERROR(_xlfn.XLOOKUP(B22,'w7'!$B:$B,'w7'!$F:$F),1)</f>
        <v>1</v>
      </c>
      <c r="AR22" s="57">
        <f>_xlfn.RANK.EQ(AQ22,AQ$3:AQ$10000,1)</f>
        <v>72</v>
      </c>
      <c r="AS22" s="57">
        <f>IFERROR(IF(_xlfn.XLOOKUP(B22,'w7'!$B:$B,'w7'!$G:$G)="--",0,_xlfn.XLOOKUP(B22,'w7'!$B:$B,'w7'!$G:$G)),0)</f>
        <v>0</v>
      </c>
      <c r="AT22" s="57">
        <f>_xlfn.RANK.EQ(AS22,AS$3:AS$10000,0)</f>
        <v>69</v>
      </c>
      <c r="AU22" s="62">
        <f>IFERROR(_xlfn.XLOOKUP(B22,'w8'!$B:$B,'w8'!$C:$C),0)</f>
        <v>0</v>
      </c>
      <c r="AV22" s="61">
        <f>_xlfn.RANK.EQ(AU22,AU$3:AU$10000,0)</f>
        <v>73</v>
      </c>
      <c r="AW22" s="63">
        <f>IFERROR(_xlfn.XLOOKUP(B22,'w8'!$B:$B,'w8'!$F:$F),1)</f>
        <v>1</v>
      </c>
      <c r="AX22" s="61">
        <f>_xlfn.RANK.EQ(AW22,AW$3:AW$10000,1)</f>
        <v>73</v>
      </c>
      <c r="AY22" s="61">
        <f>IFERROR(IF(_xlfn.XLOOKUP(B22,'w8'!$B:$B,'w8'!$G:$G)="--",0,_xlfn.XLOOKUP(B22,'w8'!$B:$B,'w8'!$G:$G)),0)</f>
        <v>0</v>
      </c>
      <c r="AZ22" s="61">
        <f>_xlfn.RANK.EQ(AY22,AY$3:AY$10000,0)</f>
        <v>70</v>
      </c>
      <c r="BA22" s="66">
        <f>IFERROR(_xlfn.XLOOKUP(C22,'w9'!$B:$B,'w9'!$C:$C),0)</f>
        <v>14.6</v>
      </c>
      <c r="BB22" s="67">
        <f>_xlfn.RANK.EQ(BA22,BA$3:BA$10000,0)</f>
        <v>63</v>
      </c>
      <c r="BC22" s="68">
        <f>IFERROR(_xlfn.XLOOKUP(C22,'w9'!$B:$B,'w9'!$F:$F),1)</f>
        <v>0.29930555555555555</v>
      </c>
      <c r="BD22" s="67">
        <f>_xlfn.RANK.EQ(BC22,BC$3:BC$10000,1)</f>
        <v>40</v>
      </c>
      <c r="BE22" s="67">
        <f>IFERROR(IF(_xlfn.XLOOKUP(C22,'w9'!$B:$B,'w9'!$G:$G)="--",0,_xlfn.XLOOKUP(C22,'w9'!$B:$B,'w9'!$G:$G)),0)</f>
        <v>207</v>
      </c>
      <c r="BF22" s="67">
        <f>_xlfn.RANK.EQ(BE22,BE$3:BE$10000,0)</f>
        <v>52</v>
      </c>
      <c r="BG22" s="72">
        <f>IFERROR(_xlfn.XLOOKUP(B22,'w10'!$B:$B,'w10'!$C:$C),0)</f>
        <v>51.4</v>
      </c>
      <c r="BH22" s="74">
        <f>_xlfn.RANK.EQ(BG22,BG$3:BG$10000,0)</f>
        <v>10</v>
      </c>
      <c r="BI22" s="75">
        <f>IFERROR(_xlfn.XLOOKUP(B22,'w10'!$B:$B,'w10'!$F:$F),1)</f>
        <v>0.26041666666666669</v>
      </c>
      <c r="BJ22" s="74">
        <f>_xlfn.RANK.EQ(BI22,BI$3:BI$10000,1)</f>
        <v>30</v>
      </c>
      <c r="BK22" s="74">
        <f>IFERROR(IF(_xlfn.XLOOKUP(B22,'w10'!$B:$B,'w10'!$G:$G)="--",0,_xlfn.XLOOKUP(B22,'w10'!$B:$B,'w10'!$G:$G)),0)</f>
        <v>128</v>
      </c>
      <c r="BL22" s="74">
        <f>_xlfn.RANK.EQ(BK22,BK$3:BK$10000,0)</f>
        <v>50</v>
      </c>
      <c r="BM22" s="78">
        <f>IFERROR(_xlfn.XLOOKUP(B22,'w11'!$B:$B,'w11'!$C:$C),0)</f>
        <v>57.5</v>
      </c>
      <c r="BN22" s="80">
        <f>_xlfn.RANK.EQ(BM22,BM$3:BM$10000,0)</f>
        <v>7</v>
      </c>
      <c r="BO22" s="81">
        <f>IFERROR(_xlfn.XLOOKUP(B22,'w11'!$B:$B,'w11'!$F:$F),1)</f>
        <v>0.25208333333333333</v>
      </c>
      <c r="BP22" s="80">
        <f>_xlfn.RANK.EQ(BO22,BO$3:BO$10000,1)</f>
        <v>21</v>
      </c>
      <c r="BQ22" s="80">
        <f>IFERROR(IF(_xlfn.XLOOKUP(B22,'w11'!$B:$B,'w11'!$G:$G)="--",0,_xlfn.XLOOKUP(B22,'w11'!$B:$B,'w11'!$G:$G)),0)</f>
        <v>278</v>
      </c>
      <c r="BR22" s="80">
        <f>_xlfn.RANK.EQ(BQ22,BQ$3:BQ$10000,0)</f>
        <v>31</v>
      </c>
      <c r="BS22" s="83">
        <f>IFERROR(_xlfn.XLOOKUP(B22,'w12'!$B:$B,'w12'!$C:$C),0)</f>
        <v>0</v>
      </c>
      <c r="BT22" s="86">
        <f>_xlfn.RANK.EQ(BS22,BS$3:BS$10000,0)</f>
        <v>76</v>
      </c>
      <c r="BU22" s="87">
        <f>IFERROR(_xlfn.XLOOKUP(B22,'w12'!$B:$B,'w12'!$F:$F),1)</f>
        <v>1</v>
      </c>
      <c r="BV22" s="86">
        <f>_xlfn.RANK.EQ(BU22,BU$3:BU$10000,1)</f>
        <v>76</v>
      </c>
      <c r="BW22" s="86">
        <f>IFERROR(IF(_xlfn.XLOOKUP(B22,'w12'!$B:$B,'w12'!$G:$G)="--",0,_xlfn.XLOOKUP(B22,'w12'!$B:$B,'w12'!$G:$G)),0)</f>
        <v>0</v>
      </c>
      <c r="BX22" s="86">
        <f>_xlfn.RANK.EQ(BW22,BW$3:BW$10000,0)</f>
        <v>73</v>
      </c>
      <c r="BY22" s="89">
        <f>IFERROR(_xlfn.XLOOKUP(B22,'w13'!$B:$B,'w13'!$C:$C),0)</f>
        <v>45.5</v>
      </c>
      <c r="BZ22" s="92">
        <f>_xlfn.RANK.EQ(BY22,BY$3:BY$10000,0)</f>
        <v>11</v>
      </c>
      <c r="CA22" s="93">
        <f>IFERROR(_xlfn.XLOOKUP(B22,'w13'!$B:$B,'w13'!$F:$F),1)</f>
        <v>0.24236111111111111</v>
      </c>
      <c r="CB22" s="92">
        <f>_xlfn.RANK.EQ(CA22,CA$3:CA$10000,1)</f>
        <v>18</v>
      </c>
      <c r="CC22" s="92">
        <f>IFERROR(IF(_xlfn.XLOOKUP(B22,'w13'!$B:$B,'w13'!$G:$G)="--",0,_xlfn.XLOOKUP(B22,'w13'!$B:$B,'w13'!$G:$G)),0)</f>
        <v>132</v>
      </c>
      <c r="CD22" s="92">
        <f>_xlfn.RANK.EQ(CC22,CC$3:CC$10000,0)</f>
        <v>44</v>
      </c>
      <c r="CE22" s="95">
        <f>IFERROR(_xlfn.XLOOKUP(B22,'w14'!$B:$B,'w14'!$C:$C),0)</f>
        <v>52.1</v>
      </c>
      <c r="CF22" s="98">
        <f>_xlfn.RANK.EQ(CE22,CE$3:CE$10000,0)</f>
        <v>12</v>
      </c>
      <c r="CG22" s="99">
        <f>IFERROR(_xlfn.XLOOKUP(B22,'w14'!$B:$B,'w14'!$F:$F),1)</f>
        <v>0.25347222222222221</v>
      </c>
      <c r="CH22" s="98">
        <f>_xlfn.RANK.EQ(CG22,CG$3:CG$10000,1)</f>
        <v>15</v>
      </c>
      <c r="CI22" s="98">
        <f>IFERROR(IF(_xlfn.XLOOKUP(B22,'w14'!$B:$B,'w14'!$G:$G)="--",0,_xlfn.XLOOKUP(B22,'w14'!$B:$B,'w14'!$G:$G)),0)</f>
        <v>146</v>
      </c>
      <c r="CJ22" s="98">
        <f>_xlfn.RANK.EQ(CI22,CI$3:CI$10000,0)</f>
        <v>43</v>
      </c>
      <c r="CK22" s="9">
        <f>_xlfn.RANK.EQ(D22,D$3:D$10000,1)</f>
        <v>20</v>
      </c>
      <c r="CL22" s="26" t="s">
        <v>158</v>
      </c>
      <c r="CM22" s="8">
        <f>SUM(E22,K22,Q22,W22,AC22,AI22,AO22,AU22,BA22,BG22,BM22,BS22,BY22,CE22)</f>
        <v>473.3</v>
      </c>
      <c r="CN22" s="9">
        <f>_xlfn.RANK.EQ(CM22,CM$3:CM$10000)</f>
        <v>20</v>
      </c>
      <c r="CO22" s="15">
        <f>IFERROR(SUM(PRODUCT(E22,G22),PRODUCT(K22,M22),PRODUCT(Q22,S22),PRODUCT(W22,Y22),PRODUCT(AC22,AE22),PRODUCT(AI22,AK22),PRODUCT(AO22,AQ22),PRODUCT(AU22,AW22),PRODUCT(BA22,BC22),PRODUCT(BG22,BI22),PRODUCT(BM22,BO22),PRODUCT(BS22,BU22),PRODUCT(BY22,CA22),PRODUCT(CE22,CG22))/CM22,1)</f>
        <v>0.24620821301969623</v>
      </c>
      <c r="CP22" s="9">
        <f>_xlfn.RANK.EQ(CO22,CO$3:CO$10000,1)</f>
        <v>16</v>
      </c>
      <c r="CQ22" s="9">
        <f>SUM(I22,O22,U22,AA22,AG22,AM22,AS22,AY22,BE22,BK22,BQ22,BW22,CC22,CI22)</f>
        <v>1903</v>
      </c>
      <c r="CR22" s="9">
        <f>_xlfn.RANK.EQ(CQ22,CQ$3:CQ$10000)</f>
        <v>56</v>
      </c>
      <c r="CS22" s="23"/>
      <c r="CT22" s="25"/>
      <c r="CU22" s="24">
        <f>_xlfn.STDEV.S(F22,L22,R22,X22,AD22,AJ22,AP22,AV22,BB22,BH22,BN22,BT22,BZ22,CF22)</f>
        <v>29.01155510603197</v>
      </c>
      <c r="CV22" s="21">
        <f>_xlfn.RANK.EQ(CU22,CU$3:CU$10000,1)</f>
        <v>105</v>
      </c>
      <c r="CW22" s="24">
        <f>_xlfn.STDEV.S(H22,N22,T22,Z22,AF22,AL22,AR22,AX22,BD22,BJ22,BP22,BV22,CB22,CH22)</f>
        <v>25.749853301619897</v>
      </c>
      <c r="CX22" s="21">
        <f>_xlfn.RANK.EQ(CW22,CW$3:CW$10000,1)</f>
        <v>98</v>
      </c>
      <c r="CY22" s="24">
        <f>_xlfn.STDEV.S(J22,P22,V22,AB22,AH22,AN22,AT22,AZ22,BF22,BL22,BR22,BX22,CD22,CJ22)</f>
        <v>16.107639304256971</v>
      </c>
      <c r="CZ22" s="21">
        <f>_xlfn.RANK.EQ(CY22,CY$3:CY$10000,1)</f>
        <v>60</v>
      </c>
      <c r="DA22">
        <f>SUM(COUNTIF(E22,"&gt;0"),COUNTIF(K22,"&gt;0"),COUNTIF(Q22,"&gt;0"),COUNTIF(W22,"&gt;0"),COUNTIF(AC22,"&gt;0"),COUNTIF(AI22,"&gt;0"),COUNTIF(AO22,"&gt;0"),COUNTIF(AU22,"&gt;0"),COUNTIF(BA22,"&gt;0"),COUNTIF(BG22,"&gt;0"),COUNTIF(BM22,"&gt;0"),COUNTIF(BS22,"&gt;0"),COUNTIF(BY22,"&gt;0"),COUNTIF(CE22,"&gt;0"))</f>
        <v>11</v>
      </c>
    </row>
    <row r="23" spans="1:105" x14ac:dyDescent="0.3">
      <c r="B23" t="s">
        <v>44</v>
      </c>
      <c r="C23" s="18" t="s">
        <v>121</v>
      </c>
      <c r="D23" s="4">
        <f>CN23*$CN$1+CP23*$CP$1+CR23*$CR$1</f>
        <v>23.174999999999997</v>
      </c>
      <c r="E23" s="29">
        <f>IFERROR(_xlfn.XLOOKUP(B23,'w1'!$B:$B,'w1'!$C:$C),0)</f>
        <v>22.2</v>
      </c>
      <c r="F23" s="30">
        <f>_xlfn.RANK.EQ(E23,E$3:E$10000,0)</f>
        <v>41</v>
      </c>
      <c r="G23" s="31">
        <f>IFERROR(_xlfn.XLOOKUP(B23,'w1'!$B:$B,'w1'!$F:$F),1)</f>
        <v>0.24374999999999999</v>
      </c>
      <c r="H23" s="30">
        <f>_xlfn.RANK.EQ(G23,G$3:G$10000,1)</f>
        <v>14</v>
      </c>
      <c r="I23" s="30">
        <f>IFERROR(IF(_xlfn.XLOOKUP(B23,'w1'!$B:$B,'w1'!$G:$G)="--",0,_xlfn.XLOOKUP(B23,'w1'!$B:$B,'w1'!$G:$G)),0)</f>
        <v>249</v>
      </c>
      <c r="J23" s="30">
        <f>_xlfn.RANK.EQ(I23,I$3:I$10000,0)</f>
        <v>40</v>
      </c>
      <c r="K23" s="34">
        <f>IFERROR(_xlfn.XLOOKUP(B23,'w2'!$B:$B,'w2'!$C:$C),0)</f>
        <v>27.5</v>
      </c>
      <c r="L23" s="35">
        <f>_xlfn.RANK.EQ(K23,K$3:K$10000,0)</f>
        <v>32</v>
      </c>
      <c r="M23" s="36">
        <f>IFERROR(_xlfn.XLOOKUP(B23,'w2'!$B:$B,'w2'!$F:$F),1)</f>
        <v>0.28611111111111109</v>
      </c>
      <c r="N23" s="35">
        <f>_xlfn.RANK.EQ(M23,M$3:M$10000,1)</f>
        <v>40</v>
      </c>
      <c r="O23" s="35">
        <f>IFERROR(IF(_xlfn.XLOOKUP(B23,'w2'!$B:$B,'w2'!$G:$G)="--",0,_xlfn.XLOOKUP(B23,'w2'!$B:$B,'w2'!$G:$G)),0)</f>
        <v>562</v>
      </c>
      <c r="P23" s="35">
        <f>_xlfn.RANK.EQ(O23,O$3:O$10000,0)</f>
        <v>15</v>
      </c>
      <c r="Q23" s="39">
        <f>IFERROR(_xlfn.XLOOKUP(B23,'w3'!$B:$B,'w3'!$C:$C),0)</f>
        <v>36.299999999999997</v>
      </c>
      <c r="R23" s="40">
        <f>_xlfn.RANK.EQ(Q23,Q$3:Q$10000,0)</f>
        <v>24</v>
      </c>
      <c r="S23" s="41">
        <f>IFERROR(_xlfn.XLOOKUP(B23,'w3'!$B:$B,'w3'!$F:$F),1)</f>
        <v>0.31597222222222221</v>
      </c>
      <c r="T23" s="40">
        <f>_xlfn.RANK.EQ(S23,S$3:S$10000,1)</f>
        <v>62</v>
      </c>
      <c r="U23" s="40">
        <f>IFERROR(IF(_xlfn.XLOOKUP(B23,'w3'!$B:$B,'w3'!$G:$G)="--",0,_xlfn.XLOOKUP(B23,'w3'!$B:$B,'w3'!$G:$G)),0)</f>
        <v>687</v>
      </c>
      <c r="V23" s="40">
        <f>_xlfn.RANK.EQ(U23,U$3:U$10000,0)</f>
        <v>14</v>
      </c>
      <c r="W23" s="44">
        <f>IFERROR(_xlfn.XLOOKUP(B23,'w4'!$B:$B,'w4'!$C:$C),0)</f>
        <v>32.299999999999997</v>
      </c>
      <c r="X23" s="45">
        <f>_xlfn.RANK.EQ(W23,W$3:W$10000,0)</f>
        <v>22</v>
      </c>
      <c r="Y23" s="46">
        <f>IFERROR(_xlfn.XLOOKUP(B23,'w4'!$B:$B,'w4'!$F:$F),1)</f>
        <v>0.30208333333333331</v>
      </c>
      <c r="Z23" s="45">
        <f>_xlfn.RANK.EQ(Y23,Y$3:Y$10000,1)</f>
        <v>50</v>
      </c>
      <c r="AA23" s="45">
        <f>IFERROR(IF(_xlfn.XLOOKUP(B23,'w4'!$B:$B,'w4'!$G:$G)="--",0,_xlfn.XLOOKUP(B23,'w4'!$B:$B,'w4'!$G:$G)),0)</f>
        <v>446</v>
      </c>
      <c r="AB23" s="45">
        <f>_xlfn.RANK.EQ(AA23,AA$3:AA$10000,0)</f>
        <v>18</v>
      </c>
      <c r="AC23" s="13">
        <f>IFERROR(_xlfn.XLOOKUP(B23,'w5'!$B:$B,'w5'!$C:$C),0)</f>
        <v>29.3</v>
      </c>
      <c r="AD23" s="12">
        <f>_xlfn.RANK.EQ(AC23,AC$3:AC$10000,0)</f>
        <v>40</v>
      </c>
      <c r="AE23" s="14">
        <f>IFERROR(_xlfn.XLOOKUP(B23,'w5'!$B:$B,'w5'!$F:$F),1)</f>
        <v>0.3972222222222222</v>
      </c>
      <c r="AF23" s="12">
        <f>_xlfn.RANK.EQ(AE23,AE$3:AE$10000,1)</f>
        <v>65</v>
      </c>
      <c r="AG23" s="12">
        <f>IFERROR(IF(_xlfn.XLOOKUP(B23,'w5'!$B:$B,'w5'!$G:$G)="--",0,_xlfn.XLOOKUP(B23,'w5'!$B:$B,'w5'!$G:$G)),0)</f>
        <v>1091</v>
      </c>
      <c r="AH23" s="12">
        <f>_xlfn.RANK.EQ(AG23,AG$3:AG$10000,0)</f>
        <v>12</v>
      </c>
      <c r="AI23" s="51">
        <f>IFERROR(_xlfn.XLOOKUP(B23,'w6'!$B:$B,'w6'!$C:$C),0)</f>
        <v>44.4</v>
      </c>
      <c r="AJ23" s="50">
        <f>_xlfn.RANK.EQ(AI23,AI$3:AI$10000,0)</f>
        <v>8</v>
      </c>
      <c r="AK23" s="52">
        <f>IFERROR(_xlfn.XLOOKUP(B23,'w6'!$B:$B,'w6'!$F:$F),1)</f>
        <v>0.24652777777777779</v>
      </c>
      <c r="AL23" s="50">
        <f>_xlfn.RANK.EQ(AK23,AK$3:AK$10000,1)</f>
        <v>12</v>
      </c>
      <c r="AM23" s="50">
        <f>IFERROR(IF(_xlfn.XLOOKUP(B23,'w6'!$B:$B,'w6'!$G:$G)="--",0,_xlfn.XLOOKUP(B23,'w6'!$B:$B,'w6'!$G:$G)),0)</f>
        <v>538</v>
      </c>
      <c r="AN23" s="50">
        <f>_xlfn.RANK.EQ(AM23,AM$3:AM$10000,0)</f>
        <v>14</v>
      </c>
      <c r="AO23" s="56">
        <f>IFERROR(_xlfn.XLOOKUP(B23,'w7'!$B:$B,'w7'!$C:$C),0)</f>
        <v>41.4</v>
      </c>
      <c r="AP23" s="57">
        <f>_xlfn.RANK.EQ(AO23,AO$3:AO$10000,0)</f>
        <v>17</v>
      </c>
      <c r="AQ23" s="58">
        <f>IFERROR(_xlfn.XLOOKUP(B23,'w7'!$B:$B,'w7'!$F:$F),1)</f>
        <v>0.37708333333333333</v>
      </c>
      <c r="AR23" s="57">
        <f>_xlfn.RANK.EQ(AQ23,AQ$3:AQ$10000,1)</f>
        <v>58</v>
      </c>
      <c r="AS23" s="57">
        <f>IFERROR(IF(_xlfn.XLOOKUP(B23,'w7'!$B:$B,'w7'!$G:$G)="--",0,_xlfn.XLOOKUP(B23,'w7'!$B:$B,'w7'!$G:$G)),0)</f>
        <v>1513</v>
      </c>
      <c r="AT23" s="57">
        <f>_xlfn.RANK.EQ(AS23,AS$3:AS$10000,0)</f>
        <v>8</v>
      </c>
      <c r="AU23" s="62">
        <f>IFERROR(_xlfn.XLOOKUP(B23,'w8'!$B:$B,'w8'!$C:$C),0)</f>
        <v>32.700000000000003</v>
      </c>
      <c r="AV23" s="61">
        <f>_xlfn.RANK.EQ(AU23,AU$3:AU$10000,0)</f>
        <v>30</v>
      </c>
      <c r="AW23" s="63">
        <f>IFERROR(_xlfn.XLOOKUP(B23,'w8'!$B:$B,'w8'!$F:$F),1)</f>
        <v>0.26666666666666666</v>
      </c>
      <c r="AX23" s="61">
        <f>_xlfn.RANK.EQ(AW23,AW$3:AW$10000,1)</f>
        <v>29</v>
      </c>
      <c r="AY23" s="61">
        <f>IFERROR(IF(_xlfn.XLOOKUP(B23,'w8'!$B:$B,'w8'!$G:$G)="--",0,_xlfn.XLOOKUP(B23,'w8'!$B:$B,'w8'!$G:$G)),0)</f>
        <v>436</v>
      </c>
      <c r="AZ23" s="61">
        <f>_xlfn.RANK.EQ(AY23,AY$3:AY$10000,0)</f>
        <v>26</v>
      </c>
      <c r="BA23" s="66">
        <f>IFERROR(_xlfn.XLOOKUP(C23,'w9'!$B:$B,'w9'!$C:$C),0)</f>
        <v>55.1</v>
      </c>
      <c r="BB23" s="67">
        <f>_xlfn.RANK.EQ(BA23,BA$3:BA$10000,0)</f>
        <v>10</v>
      </c>
      <c r="BC23" s="68">
        <f>IFERROR(_xlfn.XLOOKUP(C23,'w9'!$B:$B,'w9'!$F:$F),1)</f>
        <v>0.34583333333333333</v>
      </c>
      <c r="BD23" s="67">
        <f>_xlfn.RANK.EQ(BC23,BC$3:BC$10000,1)</f>
        <v>62</v>
      </c>
      <c r="BE23" s="67">
        <f>IFERROR(IF(_xlfn.XLOOKUP(C23,'w9'!$B:$B,'w9'!$G:$G)="--",0,_xlfn.XLOOKUP(C23,'w9'!$B:$B,'w9'!$G:$G)),0)</f>
        <v>826</v>
      </c>
      <c r="BF23" s="67">
        <f>_xlfn.RANK.EQ(BE23,BE$3:BE$10000,0)</f>
        <v>11</v>
      </c>
      <c r="BG23" s="72">
        <f>IFERROR(_xlfn.XLOOKUP(B23,'w10'!$B:$B,'w10'!$C:$C),0)</f>
        <v>0</v>
      </c>
      <c r="BH23" s="74">
        <f>_xlfn.RANK.EQ(BG23,BG$3:BG$10000,0)</f>
        <v>77</v>
      </c>
      <c r="BI23" s="75">
        <f>IFERROR(_xlfn.XLOOKUP(B23,'w10'!$B:$B,'w10'!$F:$F),1)</f>
        <v>1</v>
      </c>
      <c r="BJ23" s="74">
        <f>_xlfn.RANK.EQ(BI23,BI$3:BI$10000,1)</f>
        <v>76</v>
      </c>
      <c r="BK23" s="74">
        <f>IFERROR(IF(_xlfn.XLOOKUP(B23,'w10'!$B:$B,'w10'!$G:$G)="--",0,_xlfn.XLOOKUP(B23,'w10'!$B:$B,'w10'!$G:$G)),0)</f>
        <v>0</v>
      </c>
      <c r="BL23" s="74">
        <f>_xlfn.RANK.EQ(BK23,BK$3:BK$10000,0)</f>
        <v>76</v>
      </c>
      <c r="BM23" s="78">
        <f>IFERROR(_xlfn.XLOOKUP(B23,'w11'!$B:$B,'w11'!$C:$C),0)</f>
        <v>37.700000000000003</v>
      </c>
      <c r="BN23" s="80">
        <f>_xlfn.RANK.EQ(BM23,BM$3:BM$10000,0)</f>
        <v>19</v>
      </c>
      <c r="BO23" s="81">
        <f>IFERROR(_xlfn.XLOOKUP(B23,'w11'!$B:$B,'w11'!$F:$F),1)</f>
        <v>0.55000000000000004</v>
      </c>
      <c r="BP23" s="80">
        <f>_xlfn.RANK.EQ(BO23,BO$3:BO$10000,1)</f>
        <v>73</v>
      </c>
      <c r="BQ23" s="80">
        <f>IFERROR(IF(_xlfn.XLOOKUP(B23,'w11'!$B:$B,'w11'!$G:$G)="--",0,_xlfn.XLOOKUP(B23,'w11'!$B:$B,'w11'!$G:$G)),0)</f>
        <v>1044</v>
      </c>
      <c r="BR23" s="80">
        <f>_xlfn.RANK.EQ(BQ23,BQ$3:BQ$10000,0)</f>
        <v>7</v>
      </c>
      <c r="BS23" s="83">
        <f>IFERROR(_xlfn.XLOOKUP(B23,'w12'!$B:$B,'w12'!$C:$C),0)</f>
        <v>22.3</v>
      </c>
      <c r="BT23" s="86">
        <f>_xlfn.RANK.EQ(BS23,BS$3:BS$10000,0)</f>
        <v>29</v>
      </c>
      <c r="BU23" s="87">
        <f>IFERROR(_xlfn.XLOOKUP(B23,'w12'!$B:$B,'w12'!$F:$F),1)</f>
        <v>0.2673611111111111</v>
      </c>
      <c r="BV23" s="86">
        <f>_xlfn.RANK.EQ(BU23,BU$3:BU$10000,1)</f>
        <v>30</v>
      </c>
      <c r="BW23" s="86">
        <f>IFERROR(IF(_xlfn.XLOOKUP(B23,'w12'!$B:$B,'w12'!$G:$G)="--",0,_xlfn.XLOOKUP(B23,'w12'!$B:$B,'w12'!$G:$G)),0)</f>
        <v>385</v>
      </c>
      <c r="BX23" s="86">
        <f>_xlfn.RANK.EQ(BW23,BW$3:BW$10000,0)</f>
        <v>14</v>
      </c>
      <c r="BY23" s="89">
        <f>IFERROR(_xlfn.XLOOKUP(B23,'w13'!$B:$B,'w13'!$C:$C),0)</f>
        <v>26.2</v>
      </c>
      <c r="BZ23" s="92">
        <f>_xlfn.RANK.EQ(BY23,BY$3:BY$10000,0)</f>
        <v>32</v>
      </c>
      <c r="CA23" s="93">
        <f>IFERROR(_xlfn.XLOOKUP(B23,'w13'!$B:$B,'w13'!$F:$F),1)</f>
        <v>0.29444444444444445</v>
      </c>
      <c r="CB23" s="92">
        <f>_xlfn.RANK.EQ(CA23,CA$3:CA$10000,1)</f>
        <v>47</v>
      </c>
      <c r="CC23" s="92">
        <f>IFERROR(IF(_xlfn.XLOOKUP(B23,'w13'!$B:$B,'w13'!$G:$G)="--",0,_xlfn.XLOOKUP(B23,'w13'!$B:$B,'w13'!$G:$G)),0)</f>
        <v>436</v>
      </c>
      <c r="CD23" s="92">
        <f>_xlfn.RANK.EQ(CC23,CC$3:CC$10000,0)</f>
        <v>20</v>
      </c>
      <c r="CE23" s="95">
        <f>IFERROR(_xlfn.XLOOKUP(B23,'w14'!$B:$B,'w14'!$C:$C),0)</f>
        <v>41.5</v>
      </c>
      <c r="CF23" s="98">
        <f>_xlfn.RANK.EQ(CE23,CE$3:CE$10000,0)</f>
        <v>18</v>
      </c>
      <c r="CG23" s="99">
        <f>IFERROR(_xlfn.XLOOKUP(B23,'w14'!$B:$B,'w14'!$F:$F),1)</f>
        <v>0.31597222222222221</v>
      </c>
      <c r="CH23" s="98">
        <f>_xlfn.RANK.EQ(CG23,CG$3:CG$10000,1)</f>
        <v>46</v>
      </c>
      <c r="CI23" s="98">
        <f>IFERROR(IF(_xlfn.XLOOKUP(B23,'w14'!$B:$B,'w14'!$G:$G)="--",0,_xlfn.XLOOKUP(B23,'w14'!$B:$B,'w14'!$G:$G)),0)</f>
        <v>984</v>
      </c>
      <c r="CJ23" s="98">
        <f>_xlfn.RANK.EQ(CI23,CI$3:CI$10000,0)</f>
        <v>11</v>
      </c>
      <c r="CK23" s="9">
        <f>_xlfn.RANK.EQ(D23,D$3:D$10000,1)</f>
        <v>21</v>
      </c>
      <c r="CL23" s="26" t="s">
        <v>121</v>
      </c>
      <c r="CM23" s="8">
        <f>SUM(E23,K23,Q23,W23,AC23,AI23,AO23,AU23,BA23,BG23,BM23,BS23,BY23,CE23)</f>
        <v>448.90000000000003</v>
      </c>
      <c r="CN23" s="9">
        <f>_xlfn.RANK.EQ(CM23,CM$3:CM$10000)</f>
        <v>22</v>
      </c>
      <c r="CO23" s="15">
        <f>IFERROR(SUM(PRODUCT(E23,G23),PRODUCT(K23,M23),PRODUCT(Q23,S23),PRODUCT(W23,Y23),PRODUCT(AC23,AE23),PRODUCT(AI23,AK23),PRODUCT(AO23,AQ23),PRODUCT(AU23,AW23),PRODUCT(BA23,BC23),PRODUCT(BG23,BI23),PRODUCT(BM23,BO23),PRODUCT(BS23,BU23),PRODUCT(BY23,CA23),PRODUCT(CE23,CG23))/CM23,1)</f>
        <v>0.32969914111036852</v>
      </c>
      <c r="CP23" s="9">
        <f>_xlfn.RANK.EQ(CO23,CO$3:CO$10000,1)</f>
        <v>76</v>
      </c>
      <c r="CQ23" s="9">
        <f>SUM(I23,O23,U23,AA23,AG23,AM23,AS23,AY23,BE23,BK23,BQ23,BW23,CC23,CI23)</f>
        <v>9197</v>
      </c>
      <c r="CR23" s="9">
        <f>_xlfn.RANK.EQ(CQ23,CQ$3:CQ$10000)</f>
        <v>15</v>
      </c>
      <c r="CS23" s="23">
        <f t="shared" ref="CS23:CS26" si="4">_xlfn.RANK.EQ(CT23,CT$3:CT$10000,1)</f>
        <v>27</v>
      </c>
      <c r="CT23" s="25">
        <f t="shared" ref="CT23:CT26" si="5">CV23*$CN$1+CX23*$CP$1+CZ23*$CR$1</f>
        <v>76.949999999999989</v>
      </c>
      <c r="CU23" s="24">
        <f>_xlfn.STDEV.S(F23,L23,R23,X23,AD23,AJ23,AP23,AV23,BB23,BH23,BN23,BT23,BZ23,CF23)</f>
        <v>17.15427733159374</v>
      </c>
      <c r="CV23" s="21">
        <f>_xlfn.RANK.EQ(CU23,CU$3:CU$10000,1)</f>
        <v>77</v>
      </c>
      <c r="CW23" s="24">
        <f>_xlfn.STDEV.S(H23,N23,T23,Z23,AF23,AL23,AR23,AX23,BD23,BJ23,BP23,BV23,CB23,CH23)</f>
        <v>20.372357915395241</v>
      </c>
      <c r="CX23" s="21">
        <f>_xlfn.RANK.EQ(CW23,CW$3:CW$10000,1)</f>
        <v>78</v>
      </c>
      <c r="CY23" s="24">
        <f>_xlfn.STDEV.S(J23,P23,V23,AB23,AH23,AN23,AT23,AZ23,BF23,BL23,BR23,BX23,CD23,CJ23)</f>
        <v>18.071287407692584</v>
      </c>
      <c r="CZ23" s="21">
        <f>_xlfn.RANK.EQ(CY23,CY$3:CY$10000,1)</f>
        <v>74</v>
      </c>
      <c r="DA23">
        <f>SUM(COUNTIF(E23,"&gt;0"),COUNTIF(K23,"&gt;0"),COUNTIF(Q23,"&gt;0"),COUNTIF(W23,"&gt;0"),COUNTIF(AC23,"&gt;0"),COUNTIF(AI23,"&gt;0"),COUNTIF(AO23,"&gt;0"),COUNTIF(AU23,"&gt;0"),COUNTIF(BA23,"&gt;0"),COUNTIF(BG23,"&gt;0"),COUNTIF(BM23,"&gt;0"),COUNTIF(BS23,"&gt;0"),COUNTIF(BY23,"&gt;0"),COUNTIF(CE23,"&gt;0"))</f>
        <v>13</v>
      </c>
    </row>
    <row r="24" spans="1:105" x14ac:dyDescent="0.3">
      <c r="B24" t="s">
        <v>20</v>
      </c>
      <c r="C24" s="18" t="s">
        <v>100</v>
      </c>
      <c r="D24" s="4">
        <f>CN24*$CN$1+CP24*$CP$1+CR24*$CR$1</f>
        <v>24.049999999999997</v>
      </c>
      <c r="E24" s="29">
        <f>IFERROR(_xlfn.XLOOKUP(B24,'w1'!$B:$B,'w1'!$C:$C),0)</f>
        <v>42.7</v>
      </c>
      <c r="F24" s="30">
        <f>_xlfn.RANK.EQ(E24,E$3:E$10000,0)</f>
        <v>17</v>
      </c>
      <c r="G24" s="31">
        <f>IFERROR(_xlfn.XLOOKUP(B24,'w1'!$B:$B,'w1'!$F:$F),1)</f>
        <v>0.2902777777777778</v>
      </c>
      <c r="H24" s="30">
        <f>_xlfn.RANK.EQ(G24,G$3:G$10000,1)</f>
        <v>50</v>
      </c>
      <c r="I24" s="30">
        <f>IFERROR(IF(_xlfn.XLOOKUP(B24,'w1'!$B:$B,'w1'!$G:$G)="--",0,_xlfn.XLOOKUP(B24,'w1'!$B:$B,'w1'!$G:$G)),0)</f>
        <v>1228</v>
      </c>
      <c r="J24" s="30">
        <f>_xlfn.RANK.EQ(I24,I$3:I$10000,0)</f>
        <v>7</v>
      </c>
      <c r="K24" s="34">
        <f>IFERROR(_xlfn.XLOOKUP(B24,'w2'!$B:$B,'w2'!$C:$C),0)</f>
        <v>16.600000000000001</v>
      </c>
      <c r="L24" s="35">
        <f>_xlfn.RANK.EQ(K24,K$3:K$10000,0)</f>
        <v>49</v>
      </c>
      <c r="M24" s="36">
        <f>IFERROR(_xlfn.XLOOKUP(B24,'w2'!$B:$B,'w2'!$F:$F),1)</f>
        <v>0.22916666666666666</v>
      </c>
      <c r="N24" s="35">
        <f>_xlfn.RANK.EQ(M24,M$3:M$10000,1)</f>
        <v>5</v>
      </c>
      <c r="O24" s="35">
        <f>IFERROR(IF(_xlfn.XLOOKUP(B24,'w2'!$B:$B,'w2'!$G:$G)="--",0,_xlfn.XLOOKUP(B24,'w2'!$B:$B,'w2'!$G:$G)),0)</f>
        <v>169</v>
      </c>
      <c r="P24" s="35">
        <f>_xlfn.RANK.EQ(O24,O$3:O$10000,0)</f>
        <v>43</v>
      </c>
      <c r="Q24" s="39">
        <f>IFERROR(_xlfn.XLOOKUP(B24,'w3'!$B:$B,'w3'!$C:$C),0)</f>
        <v>29.1</v>
      </c>
      <c r="R24" s="40">
        <f>_xlfn.RANK.EQ(Q24,Q$3:Q$10000,0)</f>
        <v>32</v>
      </c>
      <c r="S24" s="41">
        <f>IFERROR(_xlfn.XLOOKUP(B24,'w3'!$B:$B,'w3'!$F:$F),1)</f>
        <v>0.24236111111111111</v>
      </c>
      <c r="T24" s="40">
        <f>_xlfn.RANK.EQ(S24,S$3:S$10000,1)</f>
        <v>13</v>
      </c>
      <c r="U24" s="40">
        <f>IFERROR(IF(_xlfn.XLOOKUP(B24,'w3'!$B:$B,'w3'!$G:$G)="--",0,_xlfn.XLOOKUP(B24,'w3'!$B:$B,'w3'!$G:$G)),0)</f>
        <v>245</v>
      </c>
      <c r="V24" s="40">
        <f>_xlfn.RANK.EQ(U24,U$3:U$10000,0)</f>
        <v>31</v>
      </c>
      <c r="W24" s="44">
        <f>IFERROR(_xlfn.XLOOKUP(B24,'w4'!$B:$B,'w4'!$C:$C),0)</f>
        <v>26.5</v>
      </c>
      <c r="X24" s="45">
        <f>_xlfn.RANK.EQ(W24,W$3:W$10000,0)</f>
        <v>29</v>
      </c>
      <c r="Y24" s="46">
        <f>IFERROR(_xlfn.XLOOKUP(B24,'w4'!$B:$B,'w4'!$F:$F),1)</f>
        <v>0.24374999999999999</v>
      </c>
      <c r="Z24" s="45">
        <f>_xlfn.RANK.EQ(Y24,Y$3:Y$10000,1)</f>
        <v>17</v>
      </c>
      <c r="AA24" s="45">
        <f>IFERROR(IF(_xlfn.XLOOKUP(B24,'w4'!$B:$B,'w4'!$G:$G)="--",0,_xlfn.XLOOKUP(B24,'w4'!$B:$B,'w4'!$G:$G)),0)</f>
        <v>361</v>
      </c>
      <c r="AB24" s="45">
        <f>_xlfn.RANK.EQ(AA24,AA$3:AA$10000,0)</f>
        <v>21</v>
      </c>
      <c r="AC24" s="13">
        <f>IFERROR(_xlfn.XLOOKUP(B24,'w5'!$B:$B,'w5'!$C:$C),0)</f>
        <v>11.3</v>
      </c>
      <c r="AD24" s="12">
        <f>_xlfn.RANK.EQ(AC24,AC$3:AC$10000,0)</f>
        <v>60</v>
      </c>
      <c r="AE24" s="14">
        <f>IFERROR(_xlfn.XLOOKUP(B24,'w5'!$B:$B,'w5'!$F:$F),1)</f>
        <v>0.25694444444444442</v>
      </c>
      <c r="AF24" s="12">
        <f>_xlfn.RANK.EQ(AE24,AE$3:AE$10000,1)</f>
        <v>24</v>
      </c>
      <c r="AG24" s="12">
        <f>IFERROR(IF(_xlfn.XLOOKUP(B24,'w5'!$B:$B,'w5'!$G:$G)="--",0,_xlfn.XLOOKUP(B24,'w5'!$B:$B,'w5'!$G:$G)),0)</f>
        <v>105</v>
      </c>
      <c r="AH24" s="12">
        <f>_xlfn.RANK.EQ(AG24,AG$3:AG$10000,0)</f>
        <v>60</v>
      </c>
      <c r="AI24" s="51">
        <f>IFERROR(_xlfn.XLOOKUP(B24,'w6'!$B:$B,'w6'!$C:$C),0)</f>
        <v>16.8</v>
      </c>
      <c r="AJ24" s="50">
        <f>_xlfn.RANK.EQ(AI24,AI$3:AI$10000,0)</f>
        <v>33</v>
      </c>
      <c r="AK24" s="52">
        <f>IFERROR(_xlfn.XLOOKUP(B24,'w6'!$B:$B,'w6'!$F:$F),1)</f>
        <v>0.22847222222222222</v>
      </c>
      <c r="AL24" s="50">
        <f>_xlfn.RANK.EQ(AK24,AK$3:AK$10000,1)</f>
        <v>5</v>
      </c>
      <c r="AM24" s="50">
        <f>IFERROR(IF(_xlfn.XLOOKUP(B24,'w6'!$B:$B,'w6'!$G:$G)="--",0,_xlfn.XLOOKUP(B24,'w6'!$B:$B,'w6'!$G:$G)),0)</f>
        <v>235</v>
      </c>
      <c r="AN24" s="50">
        <f>_xlfn.RANK.EQ(AM24,AM$3:AM$10000,0)</f>
        <v>33</v>
      </c>
      <c r="AO24" s="56">
        <f>IFERROR(_xlfn.XLOOKUP(B24,'w7'!$B:$B,'w7'!$C:$C),0)</f>
        <v>30.6</v>
      </c>
      <c r="AP24" s="57">
        <f>_xlfn.RANK.EQ(AO24,AO$3:AO$10000,0)</f>
        <v>24</v>
      </c>
      <c r="AQ24" s="58">
        <f>IFERROR(_xlfn.XLOOKUP(B24,'w7'!$B:$B,'w7'!$F:$F),1)</f>
        <v>0.24166666666666667</v>
      </c>
      <c r="AR24" s="57">
        <f>_xlfn.RANK.EQ(AQ24,AQ$3:AQ$10000,1)</f>
        <v>13</v>
      </c>
      <c r="AS24" s="57">
        <f>IFERROR(IF(_xlfn.XLOOKUP(B24,'w7'!$B:$B,'w7'!$G:$G)="--",0,_xlfn.XLOOKUP(B24,'w7'!$B:$B,'w7'!$G:$G)),0)</f>
        <v>280</v>
      </c>
      <c r="AT24" s="57">
        <f>_xlfn.RANK.EQ(AS24,AS$3:AS$10000,0)</f>
        <v>32</v>
      </c>
      <c r="AU24" s="62">
        <f>IFERROR(_xlfn.XLOOKUP(B24,'w8'!$B:$B,'w8'!$C:$C),0)</f>
        <v>37.200000000000003</v>
      </c>
      <c r="AV24" s="61">
        <f>_xlfn.RANK.EQ(AU24,AU$3:AU$10000,0)</f>
        <v>26</v>
      </c>
      <c r="AW24" s="63">
        <f>IFERROR(_xlfn.XLOOKUP(B24,'w8'!$B:$B,'w8'!$F:$F),1)</f>
        <v>0.2638888888888889</v>
      </c>
      <c r="AX24" s="61">
        <f>_xlfn.RANK.EQ(AW24,AW$3:AW$10000,1)</f>
        <v>27</v>
      </c>
      <c r="AY24" s="61">
        <f>IFERROR(IF(_xlfn.XLOOKUP(B24,'w8'!$B:$B,'w8'!$G:$G)="--",0,_xlfn.XLOOKUP(B24,'w8'!$B:$B,'w8'!$G:$G)),0)</f>
        <v>735</v>
      </c>
      <c r="AZ24" s="61">
        <f>_xlfn.RANK.EQ(AY24,AY$3:AY$10000,0)</f>
        <v>16</v>
      </c>
      <c r="BA24" s="66">
        <f>IFERROR(_xlfn.XLOOKUP(C24,'w9'!$B:$B,'w9'!$C:$C),0)</f>
        <v>40.1</v>
      </c>
      <c r="BB24" s="67">
        <f>_xlfn.RANK.EQ(BA24,BA$3:BA$10000,0)</f>
        <v>23</v>
      </c>
      <c r="BC24" s="68">
        <f>IFERROR(_xlfn.XLOOKUP(C24,'w9'!$B:$B,'w9'!$F:$F),1)</f>
        <v>0.27916666666666667</v>
      </c>
      <c r="BD24" s="67">
        <f>_xlfn.RANK.EQ(BC24,BC$3:BC$10000,1)</f>
        <v>30</v>
      </c>
      <c r="BE24" s="67">
        <f>IFERROR(IF(_xlfn.XLOOKUP(C24,'w9'!$B:$B,'w9'!$G:$G)="--",0,_xlfn.XLOOKUP(C24,'w9'!$B:$B,'w9'!$G:$G)),0)</f>
        <v>864</v>
      </c>
      <c r="BF24" s="67">
        <f>_xlfn.RANK.EQ(BE24,BE$3:BE$10000,0)</f>
        <v>10</v>
      </c>
      <c r="BG24" s="72">
        <f>IFERROR(_xlfn.XLOOKUP(B24,'w10'!$B:$B,'w10'!$C:$C),0)</f>
        <v>55.4</v>
      </c>
      <c r="BH24" s="74">
        <f>_xlfn.RANK.EQ(BG24,BG$3:BG$10000,0)</f>
        <v>6</v>
      </c>
      <c r="BI24" s="75">
        <f>IFERROR(_xlfn.XLOOKUP(B24,'w10'!$B:$B,'w10'!$F:$F),1)</f>
        <v>0.2361111111111111</v>
      </c>
      <c r="BJ24" s="74">
        <f>_xlfn.RANK.EQ(BI24,BI$3:BI$10000,1)</f>
        <v>13</v>
      </c>
      <c r="BK24" s="74">
        <f>IFERROR(IF(_xlfn.XLOOKUP(B24,'w10'!$B:$B,'w10'!$G:$G)="--",0,_xlfn.XLOOKUP(B24,'w10'!$B:$B,'w10'!$G:$G)),0)</f>
        <v>707</v>
      </c>
      <c r="BL24" s="74">
        <f>_xlfn.RANK.EQ(BK24,BK$3:BK$10000,0)</f>
        <v>18</v>
      </c>
      <c r="BM24" s="78">
        <f>IFERROR(_xlfn.XLOOKUP(B24,'w11'!$B:$B,'w11'!$C:$C),0)</f>
        <v>54.2</v>
      </c>
      <c r="BN24" s="80">
        <f>_xlfn.RANK.EQ(BM24,BM$3:BM$10000,0)</f>
        <v>8</v>
      </c>
      <c r="BO24" s="81">
        <f>IFERROR(_xlfn.XLOOKUP(B24,'w11'!$B:$B,'w11'!$F:$F),1)</f>
        <v>0.27986111111111112</v>
      </c>
      <c r="BP24" s="80">
        <f>_xlfn.RANK.EQ(BO24,BO$3:BO$10000,1)</f>
        <v>39</v>
      </c>
      <c r="BQ24" s="80">
        <f>IFERROR(IF(_xlfn.XLOOKUP(B24,'w11'!$B:$B,'w11'!$G:$G)="--",0,_xlfn.XLOOKUP(B24,'w11'!$B:$B,'w11'!$G:$G)),0)</f>
        <v>1776</v>
      </c>
      <c r="BR24" s="80">
        <f>_xlfn.RANK.EQ(BQ24,BQ$3:BQ$10000,0)</f>
        <v>4</v>
      </c>
      <c r="BS24" s="83">
        <f>IFERROR(_xlfn.XLOOKUP(B24,'w12'!$B:$B,'w12'!$C:$C),0)</f>
        <v>17.5</v>
      </c>
      <c r="BT24" s="86">
        <f>_xlfn.RANK.EQ(BS24,BS$3:BS$10000,0)</f>
        <v>43</v>
      </c>
      <c r="BU24" s="87">
        <f>IFERROR(_xlfn.XLOOKUP(B24,'w12'!$B:$B,'w12'!$F:$F),1)</f>
        <v>0.24166666666666667</v>
      </c>
      <c r="BV24" s="86">
        <f>_xlfn.RANK.EQ(BU24,BU$3:BU$10000,1)</f>
        <v>14</v>
      </c>
      <c r="BW24" s="86">
        <f>IFERROR(IF(_xlfn.XLOOKUP(B24,'w12'!$B:$B,'w12'!$G:$G)="--",0,_xlfn.XLOOKUP(B24,'w12'!$B:$B,'w12'!$G:$G)),0)</f>
        <v>136</v>
      </c>
      <c r="BX24" s="86">
        <f>_xlfn.RANK.EQ(BW24,BW$3:BW$10000,0)</f>
        <v>50</v>
      </c>
      <c r="BY24" s="89">
        <f>IFERROR(_xlfn.XLOOKUP(B24,'w13'!$B:$B,'w13'!$C:$C),0)</f>
        <v>15.3</v>
      </c>
      <c r="BZ24" s="92">
        <f>_xlfn.RANK.EQ(BY24,BY$3:BY$10000,0)</f>
        <v>55</v>
      </c>
      <c r="CA24" s="93">
        <f>IFERROR(_xlfn.XLOOKUP(B24,'w13'!$B:$B,'w13'!$F:$F),1)</f>
        <v>0.25069444444444444</v>
      </c>
      <c r="CB24" s="92">
        <f>_xlfn.RANK.EQ(CA24,CA$3:CA$10000,1)</f>
        <v>24</v>
      </c>
      <c r="CC24" s="92">
        <f>IFERROR(IF(_xlfn.XLOOKUP(B24,'w13'!$B:$B,'w13'!$G:$G)="--",0,_xlfn.XLOOKUP(B24,'w13'!$B:$B,'w13'!$G:$G)),0)</f>
        <v>52</v>
      </c>
      <c r="CD24" s="92">
        <f>_xlfn.RANK.EQ(CC24,CC$3:CC$10000,0)</f>
        <v>67</v>
      </c>
      <c r="CE24" s="95">
        <f>IFERROR(_xlfn.XLOOKUP(B24,'w14'!$B:$B,'w14'!$C:$C),0)</f>
        <v>20.2</v>
      </c>
      <c r="CF24" s="98">
        <f>_xlfn.RANK.EQ(CE24,CE$3:CE$10000,0)</f>
        <v>43</v>
      </c>
      <c r="CG24" s="99">
        <f>IFERROR(_xlfn.XLOOKUP(B24,'w14'!$B:$B,'w14'!$F:$F),1)</f>
        <v>0.3263888888888889</v>
      </c>
      <c r="CH24" s="98">
        <f>_xlfn.RANK.EQ(CG24,CG$3:CG$10000,1)</f>
        <v>48</v>
      </c>
      <c r="CI24" s="98">
        <f>IFERROR(IF(_xlfn.XLOOKUP(B24,'w14'!$B:$B,'w14'!$G:$G)="--",0,_xlfn.XLOOKUP(B24,'w14'!$B:$B,'w14'!$G:$G)),0)</f>
        <v>81</v>
      </c>
      <c r="CJ24" s="98">
        <f>_xlfn.RANK.EQ(CI24,CI$3:CI$10000,0)</f>
        <v>52</v>
      </c>
      <c r="CK24" s="9">
        <f>_xlfn.RANK.EQ(D24,D$3:D$10000,1)</f>
        <v>22</v>
      </c>
      <c r="CL24" s="26" t="s">
        <v>100</v>
      </c>
      <c r="CM24" s="8">
        <f>SUM(E24,K24,Q24,W24,AC24,AI24,AO24,AU24,BA24,BG24,BM24,BS24,BY24,CE24)</f>
        <v>413.5</v>
      </c>
      <c r="CN24" s="9">
        <f>_xlfn.RANK.EQ(CM24,CM$3:CM$10000)</f>
        <v>24</v>
      </c>
      <c r="CO24" s="15">
        <f>IFERROR(SUM(PRODUCT(E24,G24),PRODUCT(K24,M24),PRODUCT(Q24,S24),PRODUCT(W24,Y24),PRODUCT(AC24,AE24),PRODUCT(AI24,AK24),PRODUCT(AO24,AQ24),PRODUCT(AU24,AW24),PRODUCT(BA24,BC24),PRODUCT(BG24,BI24),PRODUCT(BM24,BO24),PRODUCT(BS24,BU24),PRODUCT(BY24,CA24),PRODUCT(CE24,CG24))/CM24,1)</f>
        <v>0.26061920596533661</v>
      </c>
      <c r="CP24" s="9">
        <f>_xlfn.RANK.EQ(CO24,CO$3:CO$10000,1)</f>
        <v>29</v>
      </c>
      <c r="CQ24" s="9">
        <f>SUM(I24,O24,U24,AA24,AG24,AM24,AS24,AY24,BE24,BK24,BQ24,BW24,CC24,CI24)</f>
        <v>6974</v>
      </c>
      <c r="CR24" s="9">
        <f>_xlfn.RANK.EQ(CQ24,CQ$3:CQ$10000)</f>
        <v>21</v>
      </c>
      <c r="CS24" s="23">
        <f t="shared" si="4"/>
        <v>22</v>
      </c>
      <c r="CT24" s="25">
        <f t="shared" si="5"/>
        <v>63.324999999999989</v>
      </c>
      <c r="CU24" s="24">
        <f>_xlfn.STDEV.S(F24,L24,R24,X24,AD24,AJ24,AP24,AV24,BB24,BH24,BN24,BT24,BZ24,CF24)</f>
        <v>16.436357447860708</v>
      </c>
      <c r="CV24" s="21">
        <f>_xlfn.RANK.EQ(CU24,CU$3:CU$10000,1)</f>
        <v>63</v>
      </c>
      <c r="CW24" s="24">
        <f>_xlfn.STDEV.S(H24,N24,T24,Z24,AF24,AL24,AR24,AX24,BD24,BJ24,BP24,BV24,CB24,CH24)</f>
        <v>14.523191003463285</v>
      </c>
      <c r="CX24" s="21">
        <f>_xlfn.RANK.EQ(CW24,CW$3:CW$10000,1)</f>
        <v>52</v>
      </c>
      <c r="CY24" s="24">
        <f>_xlfn.STDEV.S(J24,P24,V24,AB24,AH24,AN24,AT24,AZ24,BF24,BL24,BR24,BX24,CD24,CJ24)</f>
        <v>20.231082603180269</v>
      </c>
      <c r="CZ24" s="21">
        <f>_xlfn.RANK.EQ(CY24,CY$3:CY$10000,1)</f>
        <v>87</v>
      </c>
      <c r="DA24">
        <f>SUM(COUNTIF(E24,"&gt;0"),COUNTIF(K24,"&gt;0"),COUNTIF(Q24,"&gt;0"),COUNTIF(W24,"&gt;0"),COUNTIF(AC24,"&gt;0"),COUNTIF(AI24,"&gt;0"),COUNTIF(AO24,"&gt;0"),COUNTIF(AU24,"&gt;0"),COUNTIF(BA24,"&gt;0"),COUNTIF(BG24,"&gt;0"),COUNTIF(BM24,"&gt;0"),COUNTIF(BS24,"&gt;0"),COUNTIF(BY24,"&gt;0"),COUNTIF(CE24,"&gt;0"))</f>
        <v>14</v>
      </c>
    </row>
    <row r="25" spans="1:105" x14ac:dyDescent="0.3">
      <c r="B25" t="s">
        <v>47</v>
      </c>
      <c r="C25" s="18" t="s">
        <v>459</v>
      </c>
      <c r="D25" s="4">
        <f>CN25*$CN$1+CP25*$CP$1+CR25*$CR$1</f>
        <v>24.474999999999998</v>
      </c>
      <c r="E25" s="29">
        <f>IFERROR(_xlfn.XLOOKUP(B25,'w1'!$B:$B,'w1'!$C:$C),0)</f>
        <v>18.600000000000001</v>
      </c>
      <c r="F25" s="30">
        <f>_xlfn.RANK.EQ(E25,E$3:E$10000,0)</f>
        <v>44</v>
      </c>
      <c r="G25" s="31">
        <f>IFERROR(_xlfn.XLOOKUP(B25,'w1'!$B:$B,'w1'!$F:$F),1)</f>
        <v>0.89027777777777772</v>
      </c>
      <c r="H25" s="30">
        <f>_xlfn.RANK.EQ(G25,G$3:G$10000,1)</f>
        <v>78</v>
      </c>
      <c r="I25" s="30">
        <f>IFERROR(IF(_xlfn.XLOOKUP(B25,'w1'!$B:$B,'w1'!$G:$G)="--",0,_xlfn.XLOOKUP(B25,'w1'!$B:$B,'w1'!$G:$G)),0)</f>
        <v>98</v>
      </c>
      <c r="J25" s="30">
        <f>_xlfn.RANK.EQ(I25,I$3:I$10000,0)</f>
        <v>54</v>
      </c>
      <c r="K25" s="34">
        <f>IFERROR(_xlfn.XLOOKUP(B25,'w2'!$B:$B,'w2'!$C:$C),0)</f>
        <v>32.799999999999997</v>
      </c>
      <c r="L25" s="35">
        <f>_xlfn.RANK.EQ(K25,K$3:K$10000,0)</f>
        <v>23</v>
      </c>
      <c r="M25" s="36">
        <f>IFERROR(_xlfn.XLOOKUP(B25,'w2'!$B:$B,'w2'!$F:$F),1)</f>
        <v>0.82430555555555551</v>
      </c>
      <c r="N25" s="35">
        <f>_xlfn.RANK.EQ(M25,M$3:M$10000,1)</f>
        <v>71</v>
      </c>
      <c r="O25" s="35">
        <f>IFERROR(IF(_xlfn.XLOOKUP(B25,'w2'!$B:$B,'w2'!$G:$G)="--",0,_xlfn.XLOOKUP(B25,'w2'!$B:$B,'w2'!$G:$G)),0)</f>
        <v>69</v>
      </c>
      <c r="P25" s="35">
        <f>_xlfn.RANK.EQ(O25,O$3:O$10000,0)</f>
        <v>59</v>
      </c>
      <c r="Q25" s="39">
        <f>IFERROR(_xlfn.XLOOKUP(B25,'w3'!$B:$B,'w3'!$C:$C),0)</f>
        <v>37.700000000000003</v>
      </c>
      <c r="R25" s="40">
        <f>_xlfn.RANK.EQ(Q25,Q$3:Q$10000,0)</f>
        <v>22</v>
      </c>
      <c r="S25" s="41">
        <f>IFERROR(_xlfn.XLOOKUP(B25,'w3'!$B:$B,'w3'!$F:$F),1)</f>
        <v>0.65208333333333335</v>
      </c>
      <c r="T25" s="40">
        <f>_xlfn.RANK.EQ(S25,S$3:S$10000,1)</f>
        <v>82</v>
      </c>
      <c r="U25" s="40">
        <f>IFERROR(IF(_xlfn.XLOOKUP(B25,'w3'!$B:$B,'w3'!$G:$G)="--",0,_xlfn.XLOOKUP(B25,'w3'!$B:$B,'w3'!$G:$G)),0)</f>
        <v>125</v>
      </c>
      <c r="V25" s="40">
        <f>_xlfn.RANK.EQ(U25,U$3:U$10000,0)</f>
        <v>50</v>
      </c>
      <c r="W25" s="44">
        <f>IFERROR(_xlfn.XLOOKUP(B25,'w4'!$B:$B,'w4'!$C:$C),0)</f>
        <v>26.9</v>
      </c>
      <c r="X25" s="45">
        <f>_xlfn.RANK.EQ(W25,W$3:W$10000,0)</f>
        <v>28</v>
      </c>
      <c r="Y25" s="46">
        <f>IFERROR(_xlfn.XLOOKUP(B25,'w4'!$B:$B,'w4'!$F:$F),1)</f>
        <v>0.71597222222222223</v>
      </c>
      <c r="Z25" s="45">
        <f>_xlfn.RANK.EQ(Y25,Y$3:Y$10000,1)</f>
        <v>74</v>
      </c>
      <c r="AA25" s="45">
        <f>IFERROR(IF(_xlfn.XLOOKUP(B25,'w4'!$B:$B,'w4'!$G:$G)="--",0,_xlfn.XLOOKUP(B25,'w4'!$B:$B,'w4'!$G:$G)),0)</f>
        <v>0</v>
      </c>
      <c r="AB25" s="45">
        <f>_xlfn.RANK.EQ(AA25,AA$3:AA$10000,0)</f>
        <v>68</v>
      </c>
      <c r="AC25" s="13">
        <f>IFERROR(_xlfn.XLOOKUP(B25,'w5'!$B:$B,'w5'!$C:$C),0)</f>
        <v>44.1</v>
      </c>
      <c r="AD25" s="12">
        <f>_xlfn.RANK.EQ(AC25,AC$3:AC$10000,0)</f>
        <v>16</v>
      </c>
      <c r="AE25" s="14">
        <f>IFERROR(_xlfn.XLOOKUP(B25,'w5'!$B:$B,'w5'!$F:$F),1)</f>
        <v>0.66041666666666665</v>
      </c>
      <c r="AF25" s="12">
        <f>_xlfn.RANK.EQ(AE25,AE$3:AE$10000,1)</f>
        <v>75</v>
      </c>
      <c r="AG25" s="12">
        <f>IFERROR(IF(_xlfn.XLOOKUP(B25,'w5'!$B:$B,'w5'!$G:$G)="--",0,_xlfn.XLOOKUP(B25,'w5'!$B:$B,'w5'!$G:$G)),0)</f>
        <v>46</v>
      </c>
      <c r="AH25" s="12">
        <f>_xlfn.RANK.EQ(AG25,AG$3:AG$10000,0)</f>
        <v>69</v>
      </c>
      <c r="AI25" s="51">
        <f>IFERROR(_xlfn.XLOOKUP(B25,'w6'!$B:$B,'w6'!$C:$C),0)</f>
        <v>35.799999999999997</v>
      </c>
      <c r="AJ25" s="50">
        <f>_xlfn.RANK.EQ(AI25,AI$3:AI$10000,0)</f>
        <v>13</v>
      </c>
      <c r="AK25" s="52">
        <f>IFERROR(_xlfn.XLOOKUP(B25,'w6'!$B:$B,'w6'!$F:$F),1)</f>
        <v>0.59236111111111112</v>
      </c>
      <c r="AL25" s="50">
        <f>_xlfn.RANK.EQ(AK25,AK$3:AK$10000,1)</f>
        <v>64</v>
      </c>
      <c r="AM25" s="50">
        <f>IFERROR(IF(_xlfn.XLOOKUP(B25,'w6'!$B:$B,'w6'!$G:$G)="--",0,_xlfn.XLOOKUP(B25,'w6'!$B:$B,'w6'!$G:$G)),0)</f>
        <v>0</v>
      </c>
      <c r="AN25" s="50">
        <f>_xlfn.RANK.EQ(AM25,AM$3:AM$10000,0)</f>
        <v>61</v>
      </c>
      <c r="AO25" s="56">
        <f>IFERROR(_xlfn.XLOOKUP(B25,'w7'!$B:$B,'w7'!$C:$C),0)</f>
        <v>43</v>
      </c>
      <c r="AP25" s="57">
        <f>_xlfn.RANK.EQ(AO25,AO$3:AO$10000,0)</f>
        <v>15</v>
      </c>
      <c r="AQ25" s="58">
        <f>IFERROR(_xlfn.XLOOKUP(B25,'w7'!$B:$B,'w7'!$F:$F),1)</f>
        <v>0.56874999999999998</v>
      </c>
      <c r="AR25" s="57">
        <f>_xlfn.RANK.EQ(AQ25,AQ$3:AQ$10000,1)</f>
        <v>70</v>
      </c>
      <c r="AS25" s="57">
        <f>IFERROR(IF(_xlfn.XLOOKUP(B25,'w7'!$B:$B,'w7'!$G:$G)="--",0,_xlfn.XLOOKUP(B25,'w7'!$B:$B,'w7'!$G:$G)),0)</f>
        <v>46</v>
      </c>
      <c r="AT25" s="57">
        <f>_xlfn.RANK.EQ(AS25,AS$3:AS$10000,0)</f>
        <v>61</v>
      </c>
      <c r="AU25" s="62">
        <f>IFERROR(_xlfn.XLOOKUP(B25,'w8'!$B:$B,'w8'!$C:$C),0)</f>
        <v>37.5</v>
      </c>
      <c r="AV25" s="61">
        <f>_xlfn.RANK.EQ(AU25,AU$3:AU$10000,0)</f>
        <v>24</v>
      </c>
      <c r="AW25" s="63">
        <f>IFERROR(_xlfn.XLOOKUP(B25,'w8'!$B:$B,'w8'!$F:$F),1)</f>
        <v>0.53125</v>
      </c>
      <c r="AX25" s="61">
        <f>_xlfn.RANK.EQ(AW25,AW$3:AW$10000,1)</f>
        <v>72</v>
      </c>
      <c r="AY25" s="61">
        <f>IFERROR(IF(_xlfn.XLOOKUP(B25,'w8'!$B:$B,'w8'!$G:$G)="--",0,_xlfn.XLOOKUP(B25,'w8'!$B:$B,'w8'!$G:$G)),0)</f>
        <v>65</v>
      </c>
      <c r="AZ25" s="61">
        <f>_xlfn.RANK.EQ(AY25,AY$3:AY$10000,0)</f>
        <v>56</v>
      </c>
      <c r="BA25" s="66">
        <f>IFERROR(_xlfn.XLOOKUP(C25,'w9'!$B:$B,'w9'!$C:$C),0)</f>
        <v>26.6</v>
      </c>
      <c r="BB25" s="67">
        <f>_xlfn.RANK.EQ(BA25,BA$3:BA$10000,0)</f>
        <v>42</v>
      </c>
      <c r="BC25" s="68">
        <f>IFERROR(_xlfn.XLOOKUP(C25,'w9'!$B:$B,'w9'!$F:$F),1)</f>
        <v>0.48125000000000001</v>
      </c>
      <c r="BD25" s="67">
        <f>_xlfn.RANK.EQ(BC25,BC$3:BC$10000,1)</f>
        <v>72</v>
      </c>
      <c r="BE25" s="67">
        <f>IFERROR(IF(_xlfn.XLOOKUP(C25,'w9'!$B:$B,'w9'!$G:$G)="--",0,_xlfn.XLOOKUP(C25,'w9'!$B:$B,'w9'!$G:$G)),0)</f>
        <v>40</v>
      </c>
      <c r="BF25" s="67">
        <f>_xlfn.RANK.EQ(BE25,BE$3:BE$10000,0)</f>
        <v>67</v>
      </c>
      <c r="BG25" s="72">
        <f>IFERROR(_xlfn.XLOOKUP(B25,'w10'!$B:$B,'w10'!$C:$C),0)</f>
        <v>43.4</v>
      </c>
      <c r="BH25" s="74">
        <f>_xlfn.RANK.EQ(BG25,BG$3:BG$10000,0)</f>
        <v>18</v>
      </c>
      <c r="BI25" s="75">
        <f>IFERROR(_xlfn.XLOOKUP(B25,'w10'!$B:$B,'w10'!$F:$F),1)</f>
        <v>0.62361111111111112</v>
      </c>
      <c r="BJ25" s="74">
        <f>_xlfn.RANK.EQ(BI25,BI$3:BI$10000,1)</f>
        <v>74</v>
      </c>
      <c r="BK25" s="74">
        <f>IFERROR(IF(_xlfn.XLOOKUP(B25,'w10'!$B:$B,'w10'!$G:$G)="--",0,_xlfn.XLOOKUP(B25,'w10'!$B:$B,'w10'!$G:$G)),0)</f>
        <v>104</v>
      </c>
      <c r="BL25" s="74">
        <f>_xlfn.RANK.EQ(BK25,BK$3:BK$10000,0)</f>
        <v>58</v>
      </c>
      <c r="BM25" s="78">
        <f>IFERROR(_xlfn.XLOOKUP(B25,'w11'!$B:$B,'w11'!$C:$C),0)</f>
        <v>27.2</v>
      </c>
      <c r="BN25" s="80">
        <f>_xlfn.RANK.EQ(BM25,BM$3:BM$10000,0)</f>
        <v>31</v>
      </c>
      <c r="BO25" s="81">
        <f>IFERROR(_xlfn.XLOOKUP(B25,'w11'!$B:$B,'w11'!$F:$F),1)</f>
        <v>0.58263888888888893</v>
      </c>
      <c r="BP25" s="80">
        <f>_xlfn.RANK.EQ(BO25,BO$3:BO$10000,1)</f>
        <v>74</v>
      </c>
      <c r="BQ25" s="80">
        <f>IFERROR(IF(_xlfn.XLOOKUP(B25,'w11'!$B:$B,'w11'!$G:$G)="--",0,_xlfn.XLOOKUP(B25,'w11'!$B:$B,'w11'!$G:$G)),0)</f>
        <v>0</v>
      </c>
      <c r="BR25" s="80">
        <f>_xlfn.RANK.EQ(BQ25,BQ$3:BQ$10000,0)</f>
        <v>75</v>
      </c>
      <c r="BS25" s="83">
        <f>IFERROR(_xlfn.XLOOKUP(B25,'w12'!$B:$B,'w12'!$C:$C),0)</f>
        <v>37.1</v>
      </c>
      <c r="BT25" s="86">
        <f>_xlfn.RANK.EQ(BS25,BS$3:BS$10000,0)</f>
        <v>17</v>
      </c>
      <c r="BU25" s="87">
        <f>IFERROR(_xlfn.XLOOKUP(B25,'w12'!$B:$B,'w12'!$F:$F),1)</f>
        <v>0.64236111111111116</v>
      </c>
      <c r="BV25" s="86">
        <f>_xlfn.RANK.EQ(BU25,BU$3:BU$10000,1)</f>
        <v>74</v>
      </c>
      <c r="BW25" s="86">
        <f>IFERROR(IF(_xlfn.XLOOKUP(B25,'w12'!$B:$B,'w12'!$G:$G)="--",0,_xlfn.XLOOKUP(B25,'w12'!$B:$B,'w12'!$G:$G)),0)</f>
        <v>176</v>
      </c>
      <c r="BX25" s="86">
        <f>_xlfn.RANK.EQ(BW25,BW$3:BW$10000,0)</f>
        <v>43</v>
      </c>
      <c r="BY25" s="89">
        <f>IFERROR(_xlfn.XLOOKUP(B25,'w13'!$B:$B,'w13'!$C:$C),0)</f>
        <v>35.799999999999997</v>
      </c>
      <c r="BZ25" s="92">
        <f>_xlfn.RANK.EQ(BY25,BY$3:BY$10000,0)</f>
        <v>19</v>
      </c>
      <c r="CA25" s="93">
        <f>IFERROR(_xlfn.XLOOKUP(B25,'w13'!$B:$B,'w13'!$F:$F),1)</f>
        <v>0.52430555555555558</v>
      </c>
      <c r="CB25" s="92">
        <f>_xlfn.RANK.EQ(CA25,CA$3:CA$10000,1)</f>
        <v>73</v>
      </c>
      <c r="CC25" s="92">
        <f>IFERROR(IF(_xlfn.XLOOKUP(B25,'w13'!$B:$B,'w13'!$G:$G)="--",0,_xlfn.XLOOKUP(B25,'w13'!$B:$B,'w13'!$G:$G)),0)</f>
        <v>83</v>
      </c>
      <c r="CD25" s="92">
        <f>_xlfn.RANK.EQ(CC25,CC$3:CC$10000,0)</f>
        <v>56</v>
      </c>
      <c r="CE25" s="95">
        <f>IFERROR(_xlfn.XLOOKUP(B25,'w14'!$B:$B,'w14'!$C:$C),0)</f>
        <v>24.2</v>
      </c>
      <c r="CF25" s="98">
        <f>_xlfn.RANK.EQ(CE25,CE$3:CE$10000,0)</f>
        <v>38</v>
      </c>
      <c r="CG25" s="99">
        <f>IFERROR(_xlfn.XLOOKUP(B25,'w14'!$B:$B,'w14'!$F:$F),1)</f>
        <v>0.5180555555555556</v>
      </c>
      <c r="CH25" s="98">
        <f>_xlfn.RANK.EQ(CG25,CG$3:CG$10000,1)</f>
        <v>66</v>
      </c>
      <c r="CI25" s="98">
        <f>IFERROR(IF(_xlfn.XLOOKUP(B25,'w14'!$B:$B,'w14'!$G:$G)="--",0,_xlfn.XLOOKUP(B25,'w14'!$B:$B,'w14'!$G:$G)),0)</f>
        <v>68</v>
      </c>
      <c r="CJ25" s="98">
        <f>_xlfn.RANK.EQ(CI25,CI$3:CI$10000,0)</f>
        <v>54</v>
      </c>
      <c r="CK25" s="9">
        <f>_xlfn.RANK.EQ(D25,D$3:D$10000,1)</f>
        <v>23</v>
      </c>
      <c r="CL25" s="26" t="s">
        <v>163</v>
      </c>
      <c r="CM25" s="8">
        <f>SUM(E25,K25,Q25,W25,AC25,AI25,AO25,AU25,BA25,BG25,BM25,BS25,BY25,CE25)</f>
        <v>470.7</v>
      </c>
      <c r="CN25" s="9">
        <f>_xlfn.RANK.EQ(CM25,CM$3:CM$10000)</f>
        <v>21</v>
      </c>
      <c r="CO25" s="15">
        <f>IFERROR(SUM(PRODUCT(E25,G25),PRODUCT(K25,M25),PRODUCT(Q25,S25),PRODUCT(W25,Y25),PRODUCT(AC25,AE25),PRODUCT(AI25,AK25),PRODUCT(AO25,AQ25),PRODUCT(AU25,AW25),PRODUCT(BA25,BC25),PRODUCT(BG25,BI25),PRODUCT(BM25,BO25),PRODUCT(BS25,BU25),PRODUCT(BY25,CA25),PRODUCT(CE25,CG25))/CM25,1)</f>
        <v>0.62247937469017778</v>
      </c>
      <c r="CP25" s="9">
        <f>_xlfn.RANK.EQ(CO25,CO$3:CO$10000,1)</f>
        <v>103</v>
      </c>
      <c r="CQ25" s="9">
        <f>SUM(I25,O25,U25,AA25,AG25,AM25,AS25,AY25,BE25,BK25,BQ25,BW25,CC25,CI25)</f>
        <v>920</v>
      </c>
      <c r="CR25" s="9">
        <f>_xlfn.RANK.EQ(CQ25,CQ$3:CQ$10000)</f>
        <v>78</v>
      </c>
      <c r="CS25" s="23">
        <f t="shared" si="4"/>
        <v>7</v>
      </c>
      <c r="CT25" s="25">
        <f t="shared" si="5"/>
        <v>31</v>
      </c>
      <c r="CU25" s="24">
        <f>_xlfn.STDEV.S(F25,L25,R25,X25,AD25,AJ25,AP25,AV25,BB25,BH25,BN25,BT25,BZ25,CF25)</f>
        <v>10.198039027185569</v>
      </c>
      <c r="CV25" s="21">
        <f>_xlfn.RANK.EQ(CU25,CU$3:CU$10000,1)</f>
        <v>32</v>
      </c>
      <c r="CW25" s="24">
        <f>_xlfn.STDEV.S(H25,N25,T25,Z25,AF25,AL25,AR25,AX25,BD25,BJ25,BP25,BV25,CB25,CH25)</f>
        <v>4.4579845640857005</v>
      </c>
      <c r="CX25" s="21">
        <f>_xlfn.RANK.EQ(CW25,CW$3:CW$10000,1)</f>
        <v>4</v>
      </c>
      <c r="CY25" s="24">
        <f>_xlfn.STDEV.S(J25,P25,V25,AB25,AH25,AN25,AT25,AZ25,BF25,BL25,BR25,BX25,CD25,CJ25)</f>
        <v>8.3813634181589158</v>
      </c>
      <c r="CZ25" s="21">
        <f>_xlfn.RANK.EQ(CY25,CY$3:CY$10000,1)</f>
        <v>20</v>
      </c>
      <c r="DA25">
        <f>SUM(COUNTIF(E25,"&gt;0"),COUNTIF(K25,"&gt;0"),COUNTIF(Q25,"&gt;0"),COUNTIF(W25,"&gt;0"),COUNTIF(AC25,"&gt;0"),COUNTIF(AI25,"&gt;0"),COUNTIF(AO25,"&gt;0"),COUNTIF(AU25,"&gt;0"),COUNTIF(BA25,"&gt;0"),COUNTIF(BG25,"&gt;0"),COUNTIF(BM25,"&gt;0"),COUNTIF(BS25,"&gt;0"),COUNTIF(BY25,"&gt;0"),COUNTIF(CE25,"&gt;0"))</f>
        <v>14</v>
      </c>
    </row>
    <row r="26" spans="1:105" x14ac:dyDescent="0.3">
      <c r="B26" t="s">
        <v>27</v>
      </c>
      <c r="C26" s="18" t="s">
        <v>107</v>
      </c>
      <c r="D26" s="4">
        <f>CN26*$CN$1+CP26*$CP$1+CR26*$CR$1</f>
        <v>24.474999999999998</v>
      </c>
      <c r="E26" s="29">
        <f>IFERROR(_xlfn.XLOOKUP(B26,'w1'!$B:$B,'w1'!$C:$C),0)</f>
        <v>35.1</v>
      </c>
      <c r="F26" s="30">
        <f>_xlfn.RANK.EQ(E26,E$3:E$10000,0)</f>
        <v>24</v>
      </c>
      <c r="G26" s="31">
        <f>IFERROR(_xlfn.XLOOKUP(B26,'w1'!$B:$B,'w1'!$F:$F),1)</f>
        <v>0.34652777777777777</v>
      </c>
      <c r="H26" s="30">
        <f>_xlfn.RANK.EQ(G26,G$3:G$10000,1)</f>
        <v>68</v>
      </c>
      <c r="I26" s="30">
        <f>IFERROR(IF(_xlfn.XLOOKUP(B26,'w1'!$B:$B,'w1'!$G:$G)="--",0,_xlfn.XLOOKUP(B26,'w1'!$B:$B,'w1'!$G:$G)),0)</f>
        <v>667</v>
      </c>
      <c r="J26" s="30">
        <f>_xlfn.RANK.EQ(I26,I$3:I$10000,0)</f>
        <v>14</v>
      </c>
      <c r="K26" s="34">
        <f>IFERROR(_xlfn.XLOOKUP(B26,'w2'!$B:$B,'w2'!$C:$C),0)</f>
        <v>22.4</v>
      </c>
      <c r="L26" s="35">
        <f>_xlfn.RANK.EQ(K26,K$3:K$10000,0)</f>
        <v>40</v>
      </c>
      <c r="M26" s="36">
        <f>IFERROR(_xlfn.XLOOKUP(B26,'w2'!$B:$B,'w2'!$F:$F),1)</f>
        <v>0.31041666666666667</v>
      </c>
      <c r="N26" s="35">
        <f>_xlfn.RANK.EQ(M26,M$3:M$10000,1)</f>
        <v>48</v>
      </c>
      <c r="O26" s="35">
        <f>IFERROR(IF(_xlfn.XLOOKUP(B26,'w2'!$B:$B,'w2'!$G:$G)="--",0,_xlfn.XLOOKUP(B26,'w2'!$B:$B,'w2'!$G:$G)),0)</f>
        <v>441</v>
      </c>
      <c r="P26" s="35">
        <f>_xlfn.RANK.EQ(O26,O$3:O$10000,0)</f>
        <v>22</v>
      </c>
      <c r="Q26" s="39">
        <f>IFERROR(_xlfn.XLOOKUP(B26,'w3'!$B:$B,'w3'!$C:$C),0)</f>
        <v>40.5</v>
      </c>
      <c r="R26" s="40">
        <f>_xlfn.RANK.EQ(Q26,Q$3:Q$10000,0)</f>
        <v>18</v>
      </c>
      <c r="S26" s="41">
        <f>IFERROR(_xlfn.XLOOKUP(B26,'w3'!$B:$B,'w3'!$F:$F),1)</f>
        <v>0.34861111111111109</v>
      </c>
      <c r="T26" s="40">
        <f>_xlfn.RANK.EQ(S26,S$3:S$10000,1)</f>
        <v>72</v>
      </c>
      <c r="U26" s="40">
        <f>IFERROR(IF(_xlfn.XLOOKUP(B26,'w3'!$B:$B,'w3'!$G:$G)="--",0,_xlfn.XLOOKUP(B26,'w3'!$B:$B,'w3'!$G:$G)),0)</f>
        <v>1108</v>
      </c>
      <c r="V26" s="40">
        <f>_xlfn.RANK.EQ(U26,U$3:U$10000,0)</f>
        <v>11</v>
      </c>
      <c r="W26" s="44">
        <f>IFERROR(_xlfn.XLOOKUP(B26,'w4'!$B:$B,'w4'!$C:$C),0)</f>
        <v>10.199999999999999</v>
      </c>
      <c r="X26" s="45">
        <f>_xlfn.RANK.EQ(W26,W$3:W$10000,0)</f>
        <v>58</v>
      </c>
      <c r="Y26" s="46">
        <f>IFERROR(_xlfn.XLOOKUP(B26,'w4'!$B:$B,'w4'!$F:$F),1)</f>
        <v>0.34166666666666667</v>
      </c>
      <c r="Z26" s="45">
        <f>_xlfn.RANK.EQ(Y26,Y$3:Y$10000,1)</f>
        <v>61</v>
      </c>
      <c r="AA26" s="45">
        <f>IFERROR(IF(_xlfn.XLOOKUP(B26,'w4'!$B:$B,'w4'!$G:$G)="--",0,_xlfn.XLOOKUP(B26,'w4'!$B:$B,'w4'!$G:$G)),0)</f>
        <v>296</v>
      </c>
      <c r="AB26" s="45">
        <f>_xlfn.RANK.EQ(AA26,AA$3:AA$10000,0)</f>
        <v>27</v>
      </c>
      <c r="AC26" s="13">
        <f>IFERROR(_xlfn.XLOOKUP(B26,'w5'!$B:$B,'w5'!$C:$C),0)</f>
        <v>42</v>
      </c>
      <c r="AD26" s="12">
        <f>_xlfn.RANK.EQ(AC26,AC$3:AC$10000,0)</f>
        <v>20</v>
      </c>
      <c r="AE26" s="14">
        <f>IFERROR(_xlfn.XLOOKUP(B26,'w5'!$B:$B,'w5'!$F:$F),1)</f>
        <v>0.50208333333333333</v>
      </c>
      <c r="AF26" s="12">
        <f>_xlfn.RANK.EQ(AE26,AE$3:AE$10000,1)</f>
        <v>72</v>
      </c>
      <c r="AG26" s="12">
        <f>IFERROR(IF(_xlfn.XLOOKUP(B26,'w5'!$B:$B,'w5'!$G:$G)="--",0,_xlfn.XLOOKUP(B26,'w5'!$B:$B,'w5'!$G:$G)),0)</f>
        <v>1660</v>
      </c>
      <c r="AH26" s="12">
        <f>_xlfn.RANK.EQ(AG26,AG$3:AG$10000,0)</f>
        <v>7</v>
      </c>
      <c r="AI26" s="51">
        <f>IFERROR(_xlfn.XLOOKUP(B26,'w6'!$B:$B,'w6'!$C:$C),0)</f>
        <v>20.399999999999999</v>
      </c>
      <c r="AJ26" s="50">
        <f>_xlfn.RANK.EQ(AI26,AI$3:AI$10000,0)</f>
        <v>31</v>
      </c>
      <c r="AK26" s="52">
        <f>IFERROR(_xlfn.XLOOKUP(B26,'w6'!$B:$B,'w6'!$F:$F),1)</f>
        <v>0.3576388888888889</v>
      </c>
      <c r="AL26" s="50">
        <f>_xlfn.RANK.EQ(AK26,AK$3:AK$10000,1)</f>
        <v>54</v>
      </c>
      <c r="AM26" s="50">
        <f>IFERROR(IF(_xlfn.XLOOKUP(B26,'w6'!$B:$B,'w6'!$G:$G)="--",0,_xlfn.XLOOKUP(B26,'w6'!$B:$B,'w6'!$G:$G)),0)</f>
        <v>410</v>
      </c>
      <c r="AN26" s="50">
        <f>_xlfn.RANK.EQ(AM26,AM$3:AM$10000,0)</f>
        <v>17</v>
      </c>
      <c r="AO26" s="56">
        <f>IFERROR(_xlfn.XLOOKUP(B26,'w7'!$B:$B,'w7'!$C:$C),0)</f>
        <v>47.9</v>
      </c>
      <c r="AP26" s="57">
        <f>_xlfn.RANK.EQ(AO26,AO$3:AO$10000,0)</f>
        <v>13</v>
      </c>
      <c r="AQ26" s="58">
        <f>IFERROR(_xlfn.XLOOKUP(B26,'w7'!$B:$B,'w7'!$F:$F),1)</f>
        <v>0.43402777777777779</v>
      </c>
      <c r="AR26" s="57">
        <f>_xlfn.RANK.EQ(AQ26,AQ$3:AQ$10000,1)</f>
        <v>66</v>
      </c>
      <c r="AS26" s="57">
        <f>IFERROR(IF(_xlfn.XLOOKUP(B26,'w7'!$B:$B,'w7'!$G:$G)="--",0,_xlfn.XLOOKUP(B26,'w7'!$B:$B,'w7'!$G:$G)),0)</f>
        <v>1731</v>
      </c>
      <c r="AT26" s="57">
        <f>_xlfn.RANK.EQ(AS26,AS$3:AS$10000,0)</f>
        <v>5</v>
      </c>
      <c r="AU26" s="62">
        <f>IFERROR(_xlfn.XLOOKUP(B26,'w8'!$B:$B,'w8'!$C:$C),0)</f>
        <v>52.2</v>
      </c>
      <c r="AV26" s="61">
        <f>_xlfn.RANK.EQ(AU26,AU$3:AU$10000,0)</f>
        <v>11</v>
      </c>
      <c r="AW26" s="63">
        <f>IFERROR(_xlfn.XLOOKUP(B26,'w8'!$B:$B,'w8'!$F:$F),1)</f>
        <v>0.36527777777777776</v>
      </c>
      <c r="AX26" s="61">
        <f>_xlfn.RANK.EQ(AW26,AW$3:AW$10000,1)</f>
        <v>65</v>
      </c>
      <c r="AY26" s="61">
        <f>IFERROR(IF(_xlfn.XLOOKUP(B26,'w8'!$B:$B,'w8'!$G:$G)="--",0,_xlfn.XLOOKUP(B26,'w8'!$B:$B,'w8'!$G:$G)),0)</f>
        <v>1359</v>
      </c>
      <c r="AZ26" s="61">
        <f>_xlfn.RANK.EQ(AY26,AY$3:AY$10000,0)</f>
        <v>9</v>
      </c>
      <c r="BA26" s="66">
        <f>IFERROR(_xlfn.XLOOKUP(C26,'w9'!$B:$B,'w9'!$C:$C),0)</f>
        <v>22.4</v>
      </c>
      <c r="BB26" s="67">
        <f>_xlfn.RANK.EQ(BA26,BA$3:BA$10000,0)</f>
        <v>52</v>
      </c>
      <c r="BC26" s="68">
        <f>IFERROR(_xlfn.XLOOKUP(C26,'w9'!$B:$B,'w9'!$F:$F),1)</f>
        <v>0.31666666666666665</v>
      </c>
      <c r="BD26" s="67">
        <f>_xlfn.RANK.EQ(BC26,BC$3:BC$10000,1)</f>
        <v>50</v>
      </c>
      <c r="BE26" s="67">
        <f>IFERROR(IF(_xlfn.XLOOKUP(C26,'w9'!$B:$B,'w9'!$G:$G)="--",0,_xlfn.XLOOKUP(C26,'w9'!$B:$B,'w9'!$G:$G)),0)</f>
        <v>236</v>
      </c>
      <c r="BF26" s="67">
        <f>_xlfn.RANK.EQ(BE26,BE$3:BE$10000,0)</f>
        <v>49</v>
      </c>
      <c r="BG26" s="72">
        <f>IFERROR(_xlfn.XLOOKUP(B26,'w10'!$B:$B,'w10'!$C:$C),0)</f>
        <v>34.5</v>
      </c>
      <c r="BH26" s="74">
        <f>_xlfn.RANK.EQ(BG26,BG$3:BG$10000,0)</f>
        <v>25</v>
      </c>
      <c r="BI26" s="75">
        <f>IFERROR(_xlfn.XLOOKUP(B26,'w10'!$B:$B,'w10'!$F:$F),1)</f>
        <v>0.33819444444444446</v>
      </c>
      <c r="BJ26" s="74">
        <f>_xlfn.RANK.EQ(BI26,BI$3:BI$10000,1)</f>
        <v>65</v>
      </c>
      <c r="BK26" s="74">
        <f>IFERROR(IF(_xlfn.XLOOKUP(B26,'w10'!$B:$B,'w10'!$G:$G)="--",0,_xlfn.XLOOKUP(B26,'w10'!$B:$B,'w10'!$G:$G)),0)</f>
        <v>860</v>
      </c>
      <c r="BL26" s="74">
        <f>_xlfn.RANK.EQ(BK26,BK$3:BK$10000,0)</f>
        <v>12</v>
      </c>
      <c r="BM26" s="78">
        <f>IFERROR(_xlfn.XLOOKUP(B26,'w11'!$B:$B,'w11'!$C:$C),0)</f>
        <v>0</v>
      </c>
      <c r="BN26" s="80">
        <f>_xlfn.RANK.EQ(BM26,BM$3:BM$10000,0)</f>
        <v>76</v>
      </c>
      <c r="BO26" s="81">
        <f>IFERROR(_xlfn.XLOOKUP(B26,'w11'!$B:$B,'w11'!$F:$F),1)</f>
        <v>1</v>
      </c>
      <c r="BP26" s="80">
        <f>_xlfn.RANK.EQ(BO26,BO$3:BO$10000,1)</f>
        <v>76</v>
      </c>
      <c r="BQ26" s="80">
        <f>IFERROR(IF(_xlfn.XLOOKUP(B26,'w11'!$B:$B,'w11'!$G:$G)="--",0,_xlfn.XLOOKUP(B26,'w11'!$B:$B,'w11'!$G:$G)),0)</f>
        <v>0</v>
      </c>
      <c r="BR26" s="80">
        <f>_xlfn.RANK.EQ(BQ26,BQ$3:BQ$10000,0)</f>
        <v>75</v>
      </c>
      <c r="BS26" s="83">
        <f>IFERROR(_xlfn.XLOOKUP(B26,'w12'!$B:$B,'w12'!$C:$C),0)</f>
        <v>18.899999999999999</v>
      </c>
      <c r="BT26" s="86">
        <f>_xlfn.RANK.EQ(BS26,BS$3:BS$10000,0)</f>
        <v>37</v>
      </c>
      <c r="BU26" s="87">
        <f>IFERROR(_xlfn.XLOOKUP(B26,'w12'!$B:$B,'w12'!$F:$F),1)</f>
        <v>0.32777777777777778</v>
      </c>
      <c r="BV26" s="86">
        <f>_xlfn.RANK.EQ(BU26,BU$3:BU$10000,1)</f>
        <v>58</v>
      </c>
      <c r="BW26" s="86">
        <f>IFERROR(IF(_xlfn.XLOOKUP(B26,'w12'!$B:$B,'w12'!$G:$G)="--",0,_xlfn.XLOOKUP(B26,'w12'!$B:$B,'w12'!$G:$G)),0)</f>
        <v>297</v>
      </c>
      <c r="BX26" s="86">
        <f>_xlfn.RANK.EQ(BW26,BW$3:BW$10000,0)</f>
        <v>22</v>
      </c>
      <c r="BY26" s="89">
        <f>IFERROR(_xlfn.XLOOKUP(B26,'w13'!$B:$B,'w13'!$C:$C),0)</f>
        <v>39.9</v>
      </c>
      <c r="BZ26" s="92">
        <f>_xlfn.RANK.EQ(BY26,BY$3:BY$10000,0)</f>
        <v>15</v>
      </c>
      <c r="CA26" s="93">
        <f>IFERROR(_xlfn.XLOOKUP(B26,'w13'!$B:$B,'w13'!$F:$F),1)</f>
        <v>0.36249999999999999</v>
      </c>
      <c r="CB26" s="92">
        <f>_xlfn.RANK.EQ(CA26,CA$3:CA$10000,1)</f>
        <v>61</v>
      </c>
      <c r="CC26" s="92">
        <f>IFERROR(IF(_xlfn.XLOOKUP(B26,'w13'!$B:$B,'w13'!$G:$G)="--",0,_xlfn.XLOOKUP(B26,'w13'!$B:$B,'w13'!$G:$G)),0)</f>
        <v>1178</v>
      </c>
      <c r="CD26" s="92">
        <f>_xlfn.RANK.EQ(CC26,CC$3:CC$10000,0)</f>
        <v>10</v>
      </c>
      <c r="CE26" s="95">
        <f>IFERROR(_xlfn.XLOOKUP(B26,'w14'!$B:$B,'w14'!$C:$C),0)</f>
        <v>33.200000000000003</v>
      </c>
      <c r="CF26" s="98">
        <f>_xlfn.RANK.EQ(CE26,CE$3:CE$10000,0)</f>
        <v>29</v>
      </c>
      <c r="CG26" s="99">
        <f>IFERROR(_xlfn.XLOOKUP(B26,'w14'!$B:$B,'w14'!$F:$F),1)</f>
        <v>0.33541666666666664</v>
      </c>
      <c r="CH26" s="98">
        <f>_xlfn.RANK.EQ(CG26,CG$3:CG$10000,1)</f>
        <v>53</v>
      </c>
      <c r="CI26" s="98">
        <f>IFERROR(IF(_xlfn.XLOOKUP(B26,'w14'!$B:$B,'w14'!$G:$G)="--",0,_xlfn.XLOOKUP(B26,'w14'!$B:$B,'w14'!$G:$G)),0)</f>
        <v>712</v>
      </c>
      <c r="CJ26" s="98">
        <f>_xlfn.RANK.EQ(CI26,CI$3:CI$10000,0)</f>
        <v>15</v>
      </c>
      <c r="CK26" s="9">
        <f>_xlfn.RANK.EQ(D26,D$3:D$10000,1)</f>
        <v>23</v>
      </c>
      <c r="CL26" s="26" t="s">
        <v>107</v>
      </c>
      <c r="CM26" s="8">
        <f>SUM(E26,K26,Q26,W26,AC26,AI26,AO26,AU26,BA26,BG26,BM26,BS26,BY26,CE26)</f>
        <v>419.59999999999991</v>
      </c>
      <c r="CN26" s="9">
        <f>_xlfn.RANK.EQ(CM26,CM$3:CM$10000)</f>
        <v>23</v>
      </c>
      <c r="CO26" s="15">
        <f>IFERROR(SUM(PRODUCT(E26,G26),PRODUCT(K26,M26),PRODUCT(Q26,S26),PRODUCT(W26,Y26),PRODUCT(AC26,AE26),PRODUCT(AI26,AK26),PRODUCT(AO26,AQ26),PRODUCT(AU26,AW26),PRODUCT(BA26,BC26),PRODUCT(BG26,BI26),PRODUCT(BM26,BO26),PRODUCT(BS26,BU26),PRODUCT(BY26,CA26),PRODUCT(CE26,CG26))/CM26,1)</f>
        <v>0.37063059395191189</v>
      </c>
      <c r="CP26" s="9">
        <f>_xlfn.RANK.EQ(CO26,CO$3:CO$10000,1)</f>
        <v>93</v>
      </c>
      <c r="CQ26" s="9">
        <f>SUM(I26,O26,U26,AA26,AG26,AM26,AS26,AY26,BE26,BK26,BQ26,BW26,CC26,CI26)</f>
        <v>10955</v>
      </c>
      <c r="CR26" s="9">
        <f>_xlfn.RANK.EQ(CQ26,CQ$3:CQ$10000)</f>
        <v>12</v>
      </c>
      <c r="CS26" s="23">
        <f t="shared" si="4"/>
        <v>30</v>
      </c>
      <c r="CT26" s="25">
        <f t="shared" si="5"/>
        <v>86.075000000000003</v>
      </c>
      <c r="CU26" s="24">
        <f>_xlfn.STDEV.S(F26,L26,R26,X26,AD26,AJ26,AP26,AV26,BB26,BH26,BN26,BT26,BZ26,CF26)</f>
        <v>18.922775392934</v>
      </c>
      <c r="CV26" s="21">
        <f>_xlfn.RANK.EQ(CU26,CU$3:CU$10000,1)</f>
        <v>88</v>
      </c>
      <c r="CW26" s="24">
        <f>_xlfn.STDEV.S(H26,N26,T26,Z26,AF26,AL26,AR26,AX26,BD26,BJ26,BP26,BV26,CB26,CH26)</f>
        <v>8.6332477685380429</v>
      </c>
      <c r="CX26" s="21">
        <f>_xlfn.RANK.EQ(CW26,CW$3:CW$10000,1)</f>
        <v>18</v>
      </c>
      <c r="CY26" s="24">
        <f>_xlfn.STDEV.S(J26,P26,V26,AB26,AH26,AN26,AT26,AZ26,BF26,BL26,BR26,BX26,CD26,CJ26)</f>
        <v>19.088717109306241</v>
      </c>
      <c r="CZ26" s="21">
        <f>_xlfn.RANK.EQ(CY26,CY$3:CY$10000,1)</f>
        <v>81</v>
      </c>
      <c r="DA26">
        <f>SUM(COUNTIF(E26,"&gt;0"),COUNTIF(K26,"&gt;0"),COUNTIF(Q26,"&gt;0"),COUNTIF(W26,"&gt;0"),COUNTIF(AC26,"&gt;0"),COUNTIF(AI26,"&gt;0"),COUNTIF(AO26,"&gt;0"),COUNTIF(AU26,"&gt;0"),COUNTIF(BA26,"&gt;0"),COUNTIF(BG26,"&gt;0"),COUNTIF(BM26,"&gt;0"),COUNTIF(BS26,"&gt;0"),COUNTIF(BY26,"&gt;0"),COUNTIF(CE26,"&gt;0"))</f>
        <v>13</v>
      </c>
    </row>
    <row r="27" spans="1:105" x14ac:dyDescent="0.3">
      <c r="B27" t="s">
        <v>22</v>
      </c>
      <c r="C27" s="18" t="s">
        <v>102</v>
      </c>
      <c r="D27" s="4">
        <f>CN27*$CN$1+CP27*$CP$1+CR27*$CR$1</f>
        <v>26.4</v>
      </c>
      <c r="E27" s="29">
        <f>IFERROR(_xlfn.XLOOKUP(B27,'w1'!$B:$B,'w1'!$C:$C),0)</f>
        <v>38.700000000000003</v>
      </c>
      <c r="F27" s="30">
        <f>_xlfn.RANK.EQ(E27,E$3:E$10000,0)</f>
        <v>19</v>
      </c>
      <c r="G27" s="31">
        <f>IFERROR(_xlfn.XLOOKUP(B27,'w1'!$B:$B,'w1'!$F:$F),1)</f>
        <v>0.27152777777777776</v>
      </c>
      <c r="H27" s="30">
        <f>_xlfn.RANK.EQ(G27,G$3:G$10000,1)</f>
        <v>38</v>
      </c>
      <c r="I27" s="30">
        <f>IFERROR(IF(_xlfn.XLOOKUP(B27,'w1'!$B:$B,'w1'!$G:$G)="--",0,_xlfn.XLOOKUP(B27,'w1'!$B:$B,'w1'!$G:$G)),0)</f>
        <v>244</v>
      </c>
      <c r="J27" s="30">
        <f>_xlfn.RANK.EQ(I27,I$3:I$10000,0)</f>
        <v>41</v>
      </c>
      <c r="K27" s="34">
        <f>IFERROR(_xlfn.XLOOKUP(B27,'w2'!$B:$B,'w2'!$C:$C),0)</f>
        <v>62.9</v>
      </c>
      <c r="L27" s="35">
        <f>_xlfn.RANK.EQ(K27,K$3:K$10000,0)</f>
        <v>6</v>
      </c>
      <c r="M27" s="36">
        <f>IFERROR(_xlfn.XLOOKUP(B27,'w2'!$B:$B,'w2'!$F:$F),1)</f>
        <v>0.26805555555555555</v>
      </c>
      <c r="N27" s="35">
        <f>_xlfn.RANK.EQ(M27,M$3:M$10000,1)</f>
        <v>26</v>
      </c>
      <c r="O27" s="35">
        <f>IFERROR(IF(_xlfn.XLOOKUP(B27,'w2'!$B:$B,'w2'!$G:$G)="--",0,_xlfn.XLOOKUP(B27,'w2'!$B:$B,'w2'!$G:$G)),0)</f>
        <v>433</v>
      </c>
      <c r="P27" s="35">
        <f>_xlfn.RANK.EQ(O27,O$3:O$10000,0)</f>
        <v>24</v>
      </c>
      <c r="Q27" s="39">
        <f>IFERROR(_xlfn.XLOOKUP(B27,'w3'!$B:$B,'w3'!$C:$C),0)</f>
        <v>50.6</v>
      </c>
      <c r="R27" s="40">
        <f>_xlfn.RANK.EQ(Q27,Q$3:Q$10000,0)</f>
        <v>13</v>
      </c>
      <c r="S27" s="41">
        <f>IFERROR(_xlfn.XLOOKUP(B27,'w3'!$B:$B,'w3'!$F:$F),1)</f>
        <v>0.2722222222222222</v>
      </c>
      <c r="T27" s="40">
        <f>_xlfn.RANK.EQ(S27,S$3:S$10000,1)</f>
        <v>39</v>
      </c>
      <c r="U27" s="40">
        <f>IFERROR(IF(_xlfn.XLOOKUP(B27,'w3'!$B:$B,'w3'!$G:$G)="--",0,_xlfn.XLOOKUP(B27,'w3'!$B:$B,'w3'!$G:$G)),0)</f>
        <v>32</v>
      </c>
      <c r="V27" s="40">
        <f>_xlfn.RANK.EQ(U27,U$3:U$10000,0)</f>
        <v>73</v>
      </c>
      <c r="W27" s="44">
        <f>IFERROR(_xlfn.XLOOKUP(B27,'w4'!$B:$B,'w4'!$C:$C),0)</f>
        <v>30</v>
      </c>
      <c r="X27" s="45">
        <f>_xlfn.RANK.EQ(W27,W$3:W$10000,0)</f>
        <v>25</v>
      </c>
      <c r="Y27" s="46">
        <f>IFERROR(_xlfn.XLOOKUP(B27,'w4'!$B:$B,'w4'!$F:$F),1)</f>
        <v>0.27291666666666664</v>
      </c>
      <c r="Z27" s="45">
        <f>_xlfn.RANK.EQ(Y27,Y$3:Y$10000,1)</f>
        <v>41</v>
      </c>
      <c r="AA27" s="45">
        <f>IFERROR(IF(_xlfn.XLOOKUP(B27,'w4'!$B:$B,'w4'!$G:$G)="--",0,_xlfn.XLOOKUP(B27,'w4'!$B:$B,'w4'!$G:$G)),0)</f>
        <v>134</v>
      </c>
      <c r="AB27" s="45">
        <f>_xlfn.RANK.EQ(AA27,AA$3:AA$10000,0)</f>
        <v>43</v>
      </c>
      <c r="AC27" s="13">
        <f>IFERROR(_xlfn.XLOOKUP(B27,'w5'!$B:$B,'w5'!$C:$C),0)</f>
        <v>41.6</v>
      </c>
      <c r="AD27" s="12">
        <f>_xlfn.RANK.EQ(AC27,AC$3:AC$10000,0)</f>
        <v>22</v>
      </c>
      <c r="AE27" s="14">
        <f>IFERROR(_xlfn.XLOOKUP(B27,'w5'!$B:$B,'w5'!$F:$F),1)</f>
        <v>0.26458333333333334</v>
      </c>
      <c r="AF27" s="12">
        <f>_xlfn.RANK.EQ(AE27,AE$3:AE$10000,1)</f>
        <v>30</v>
      </c>
      <c r="AG27" s="12">
        <f>IFERROR(IF(_xlfn.XLOOKUP(B27,'w5'!$B:$B,'w5'!$G:$G)="--",0,_xlfn.XLOOKUP(B27,'w5'!$B:$B,'w5'!$G:$G)),0)</f>
        <v>501</v>
      </c>
      <c r="AH27" s="12">
        <f>_xlfn.RANK.EQ(AG27,AG$3:AG$10000,0)</f>
        <v>28</v>
      </c>
      <c r="AI27" s="51">
        <f>IFERROR(_xlfn.XLOOKUP(B27,'w6'!$B:$B,'w6'!$C:$C),0)</f>
        <v>61.6</v>
      </c>
      <c r="AJ27" s="50">
        <f>_xlfn.RANK.EQ(AI27,AI$3:AI$10000,0)</f>
        <v>5</v>
      </c>
      <c r="AK27" s="52">
        <f>IFERROR(_xlfn.XLOOKUP(B27,'w6'!$B:$B,'w6'!$F:$F),1)</f>
        <v>0.2951388888888889</v>
      </c>
      <c r="AL27" s="50">
        <f>_xlfn.RANK.EQ(AK27,AK$3:AK$10000,1)</f>
        <v>35</v>
      </c>
      <c r="AM27" s="50">
        <f>IFERROR(IF(_xlfn.XLOOKUP(B27,'w6'!$B:$B,'w6'!$G:$G)="--",0,_xlfn.XLOOKUP(B27,'w6'!$B:$B,'w6'!$G:$G)),0)</f>
        <v>441</v>
      </c>
      <c r="AN27" s="50">
        <f>_xlfn.RANK.EQ(AM27,AM$3:AM$10000,0)</f>
        <v>16</v>
      </c>
      <c r="AO27" s="56">
        <f>IFERROR(_xlfn.XLOOKUP(B27,'w7'!$B:$B,'w7'!$C:$C),0)</f>
        <v>0</v>
      </c>
      <c r="AP27" s="57">
        <f>_xlfn.RANK.EQ(AO27,AO$3:AO$10000,0)</f>
        <v>72</v>
      </c>
      <c r="AQ27" s="58">
        <f>IFERROR(_xlfn.XLOOKUP(B27,'w7'!$B:$B,'w7'!$F:$F),1)</f>
        <v>1</v>
      </c>
      <c r="AR27" s="57">
        <f>_xlfn.RANK.EQ(AQ27,AQ$3:AQ$10000,1)</f>
        <v>72</v>
      </c>
      <c r="AS27" s="57">
        <f>IFERROR(IF(_xlfn.XLOOKUP(B27,'w7'!$B:$B,'w7'!$G:$G)="--",0,_xlfn.XLOOKUP(B27,'w7'!$B:$B,'w7'!$G:$G)),0)</f>
        <v>0</v>
      </c>
      <c r="AT27" s="57">
        <f>_xlfn.RANK.EQ(AS27,AS$3:AS$10000,0)</f>
        <v>69</v>
      </c>
      <c r="AU27" s="62">
        <f>IFERROR(_xlfn.XLOOKUP(B27,'w8'!$B:$B,'w8'!$C:$C),0)</f>
        <v>8</v>
      </c>
      <c r="AV27" s="61">
        <f>_xlfn.RANK.EQ(AU27,AU$3:AU$10000,0)</f>
        <v>63</v>
      </c>
      <c r="AW27" s="63">
        <f>IFERROR(_xlfn.XLOOKUP(B27,'w8'!$B:$B,'w8'!$F:$F),1)</f>
        <v>0.25347222222222221</v>
      </c>
      <c r="AX27" s="61">
        <f>_xlfn.RANK.EQ(AW27,AW$3:AW$10000,1)</f>
        <v>15</v>
      </c>
      <c r="AY27" s="61">
        <f>IFERROR(IF(_xlfn.XLOOKUP(B27,'w8'!$B:$B,'w8'!$G:$G)="--",0,_xlfn.XLOOKUP(B27,'w8'!$B:$B,'w8'!$G:$G)),0)</f>
        <v>65</v>
      </c>
      <c r="AZ27" s="61">
        <f>_xlfn.RANK.EQ(AY27,AY$3:AY$10000,0)</f>
        <v>56</v>
      </c>
      <c r="BA27" s="66">
        <f>IFERROR(_xlfn.XLOOKUP(C27,'w9'!$B:$B,'w9'!$C:$C),0)</f>
        <v>23.4</v>
      </c>
      <c r="BB27" s="67">
        <f>_xlfn.RANK.EQ(BA27,BA$3:BA$10000,0)</f>
        <v>48</v>
      </c>
      <c r="BC27" s="68">
        <f>IFERROR(_xlfn.XLOOKUP(C27,'w9'!$B:$B,'w9'!$F:$F),1)</f>
        <v>0.26250000000000001</v>
      </c>
      <c r="BD27" s="67">
        <f>_xlfn.RANK.EQ(BC27,BC$3:BC$10000,1)</f>
        <v>20</v>
      </c>
      <c r="BE27" s="67">
        <f>IFERROR(IF(_xlfn.XLOOKUP(C27,'w9'!$B:$B,'w9'!$G:$G)="--",0,_xlfn.XLOOKUP(C27,'w9'!$B:$B,'w9'!$G:$G)),0)</f>
        <v>546</v>
      </c>
      <c r="BF27" s="67">
        <f>_xlfn.RANK.EQ(BE27,BE$3:BE$10000,0)</f>
        <v>22</v>
      </c>
      <c r="BG27" s="72">
        <f>IFERROR(_xlfn.XLOOKUP(B27,'w10'!$B:$B,'w10'!$C:$C),0)</f>
        <v>36.1</v>
      </c>
      <c r="BH27" s="74">
        <f>_xlfn.RANK.EQ(BG27,BG$3:BG$10000,0)</f>
        <v>22</v>
      </c>
      <c r="BI27" s="75">
        <f>IFERROR(_xlfn.XLOOKUP(B27,'w10'!$B:$B,'w10'!$F:$F),1)</f>
        <v>0.24097222222222223</v>
      </c>
      <c r="BJ27" s="74">
        <f>_xlfn.RANK.EQ(BI27,BI$3:BI$10000,1)</f>
        <v>17</v>
      </c>
      <c r="BK27" s="74">
        <f>IFERROR(IF(_xlfn.XLOOKUP(B27,'w10'!$B:$B,'w10'!$G:$G)="--",0,_xlfn.XLOOKUP(B27,'w10'!$B:$B,'w10'!$G:$G)),0)</f>
        <v>253</v>
      </c>
      <c r="BL27" s="74">
        <f>_xlfn.RANK.EQ(BK27,BK$3:BK$10000,0)</f>
        <v>27</v>
      </c>
      <c r="BM27" s="78">
        <f>IFERROR(_xlfn.XLOOKUP(B27,'w11'!$B:$B,'w11'!$C:$C),0)</f>
        <v>16</v>
      </c>
      <c r="BN27" s="80">
        <f>_xlfn.RANK.EQ(BM27,BM$3:BM$10000,0)</f>
        <v>51</v>
      </c>
      <c r="BO27" s="81">
        <f>IFERROR(_xlfn.XLOOKUP(B27,'w11'!$B:$B,'w11'!$F:$F),1)</f>
        <v>0.26458333333333334</v>
      </c>
      <c r="BP27" s="80">
        <f>_xlfn.RANK.EQ(BO27,BO$3:BO$10000,1)</f>
        <v>31</v>
      </c>
      <c r="BQ27" s="80">
        <f>IFERROR(IF(_xlfn.XLOOKUP(B27,'w11'!$B:$B,'w11'!$G:$G)="--",0,_xlfn.XLOOKUP(B27,'w11'!$B:$B,'w11'!$G:$G)),0)</f>
        <v>520</v>
      </c>
      <c r="BR27" s="80">
        <f>_xlfn.RANK.EQ(BQ27,BQ$3:BQ$10000,0)</f>
        <v>18</v>
      </c>
      <c r="BS27" s="83">
        <f>IFERROR(_xlfn.XLOOKUP(B27,'w12'!$B:$B,'w12'!$C:$C),0)</f>
        <v>7.1</v>
      </c>
      <c r="BT27" s="86">
        <f>_xlfn.RANK.EQ(BS27,BS$3:BS$10000,0)</f>
        <v>68</v>
      </c>
      <c r="BU27" s="87">
        <f>IFERROR(_xlfn.XLOOKUP(B27,'w12'!$B:$B,'w12'!$F:$F),1)</f>
        <v>0.27916666666666667</v>
      </c>
      <c r="BV27" s="86">
        <f>_xlfn.RANK.EQ(BU27,BU$3:BU$10000,1)</f>
        <v>39</v>
      </c>
      <c r="BW27" s="86">
        <f>IFERROR(IF(_xlfn.XLOOKUP(B27,'w12'!$B:$B,'w12'!$G:$G)="--",0,_xlfn.XLOOKUP(B27,'w12'!$B:$B,'w12'!$G:$G)),0)</f>
        <v>258</v>
      </c>
      <c r="BX27" s="86">
        <f>_xlfn.RANK.EQ(BW27,BW$3:BW$10000,0)</f>
        <v>26</v>
      </c>
      <c r="BY27" s="89">
        <f>IFERROR(_xlfn.XLOOKUP(B27,'w13'!$B:$B,'w13'!$C:$C),0)</f>
        <v>18.399999999999999</v>
      </c>
      <c r="BZ27" s="92">
        <f>_xlfn.RANK.EQ(BY27,BY$3:BY$10000,0)</f>
        <v>42</v>
      </c>
      <c r="CA27" s="93">
        <f>IFERROR(_xlfn.XLOOKUP(B27,'w13'!$B:$B,'w13'!$F:$F),1)</f>
        <v>0.24583333333333332</v>
      </c>
      <c r="CB27" s="92">
        <f>_xlfn.RANK.EQ(CA27,CA$3:CA$10000,1)</f>
        <v>21</v>
      </c>
      <c r="CC27" s="92">
        <f>IFERROR(IF(_xlfn.XLOOKUP(B27,'w13'!$B:$B,'w13'!$G:$G)="--",0,_xlfn.XLOOKUP(B27,'w13'!$B:$B,'w13'!$G:$G)),0)</f>
        <v>393</v>
      </c>
      <c r="CD27" s="92">
        <f>_xlfn.RANK.EQ(CC27,CC$3:CC$10000,0)</f>
        <v>22</v>
      </c>
      <c r="CE27" s="95">
        <f>IFERROR(_xlfn.XLOOKUP(B27,'w14'!$B:$B,'w14'!$C:$C),0)</f>
        <v>0</v>
      </c>
      <c r="CF27" s="98">
        <f>_xlfn.RANK.EQ(CE27,CE$3:CE$10000,0)</f>
        <v>69</v>
      </c>
      <c r="CG27" s="99">
        <f>IFERROR(_xlfn.XLOOKUP(B27,'w14'!$B:$B,'w14'!$F:$F),1)</f>
        <v>1</v>
      </c>
      <c r="CH27" s="98">
        <f>_xlfn.RANK.EQ(CG27,CG$3:CG$10000,1)</f>
        <v>69</v>
      </c>
      <c r="CI27" s="98">
        <f>IFERROR(IF(_xlfn.XLOOKUP(B27,'w14'!$B:$B,'w14'!$G:$G)="--",0,_xlfn.XLOOKUP(B27,'w14'!$B:$B,'w14'!$G:$G)),0)</f>
        <v>0</v>
      </c>
      <c r="CJ27" s="98">
        <f>_xlfn.RANK.EQ(CI27,CI$3:CI$10000,0)</f>
        <v>69</v>
      </c>
      <c r="CK27" s="9">
        <f>_xlfn.RANK.EQ(D27,D$3:D$10000,1)</f>
        <v>25</v>
      </c>
      <c r="CL27" s="26" t="s">
        <v>102</v>
      </c>
      <c r="CM27" s="8">
        <f>SUM(E27,K27,Q27,W27,AC27,AI27,AO27,AU27,BA27,BG27,BM27,BS27,BY27,CE27)</f>
        <v>394.4</v>
      </c>
      <c r="CN27" s="9">
        <f>_xlfn.RANK.EQ(CM27,CM$3:CM$10000)</f>
        <v>26</v>
      </c>
      <c r="CO27" s="15">
        <f>IFERROR(SUM(PRODUCT(E27,G27),PRODUCT(K27,M27),PRODUCT(Q27,S27),PRODUCT(W27,Y27),PRODUCT(AC27,AE27),PRODUCT(AI27,AK27),PRODUCT(AO27,AQ27),PRODUCT(AU27,AW27),PRODUCT(BA27,BC27),PRODUCT(BG27,BI27),PRODUCT(BM27,BO27),PRODUCT(BS27,BU27),PRODUCT(BY27,CA27),PRODUCT(CE27,CG27))/CM27,1)</f>
        <v>0.26908243182330405</v>
      </c>
      <c r="CP27" s="9">
        <f>_xlfn.RANK.EQ(CO27,CO$3:CO$10000,1)</f>
        <v>35</v>
      </c>
      <c r="CQ27" s="9">
        <f>SUM(I27,O27,U27,AA27,AG27,AM27,AS27,AY27,BE27,BK27,BQ27,BW27,CC27,CI27)</f>
        <v>3820</v>
      </c>
      <c r="CR27" s="9">
        <f>_xlfn.RANK.EQ(CQ27,CQ$3:CQ$10000)</f>
        <v>33</v>
      </c>
      <c r="CS27" s="23"/>
      <c r="CT27" s="25"/>
      <c r="CU27" s="24">
        <f>_xlfn.STDEV.S(F27,L27,R27,X27,AD27,AJ27,AP27,AV27,BB27,BH27,BN27,BT27,BZ27,CF27)</f>
        <v>24.34290293035987</v>
      </c>
      <c r="CV27" s="21">
        <f>_xlfn.RANK.EQ(CU27,CU$3:CU$10000,1)</f>
        <v>102</v>
      </c>
      <c r="CW27" s="24">
        <f>_xlfn.STDEV.S(H27,N27,T27,Z27,AF27,AL27,AR27,AX27,BD27,BJ27,BP27,BV27,CB27,CH27)</f>
        <v>17.250099537855831</v>
      </c>
      <c r="CX27" s="21">
        <f>_xlfn.RANK.EQ(CW27,CW$3:CW$10000,1)</f>
        <v>66</v>
      </c>
      <c r="CY27" s="24">
        <f>_xlfn.STDEV.S(J27,P27,V27,AB27,AH27,AN27,AT27,AZ27,BF27,BL27,BR27,BX27,CD27,CJ27)</f>
        <v>20.497118532414945</v>
      </c>
      <c r="CZ27" s="21">
        <f>_xlfn.RANK.EQ(CY27,CY$3:CY$10000,1)</f>
        <v>90</v>
      </c>
      <c r="DA27">
        <f>SUM(COUNTIF(E27,"&gt;0"),COUNTIF(K27,"&gt;0"),COUNTIF(Q27,"&gt;0"),COUNTIF(W27,"&gt;0"),COUNTIF(AC27,"&gt;0"),COUNTIF(AI27,"&gt;0"),COUNTIF(AO27,"&gt;0"),COUNTIF(AU27,"&gt;0"),COUNTIF(BA27,"&gt;0"),COUNTIF(BG27,"&gt;0"),COUNTIF(BM27,"&gt;0"),COUNTIF(BS27,"&gt;0"),COUNTIF(BY27,"&gt;0"),COUNTIF(CE27,"&gt;0"))</f>
        <v>12</v>
      </c>
    </row>
    <row r="28" spans="1:105" x14ac:dyDescent="0.3">
      <c r="B28" t="s">
        <v>21</v>
      </c>
      <c r="C28" s="18" t="s">
        <v>101</v>
      </c>
      <c r="D28" s="4">
        <f>CN28*$CN$1+CP28*$CP$1+CR28*$CR$1</f>
        <v>26.4</v>
      </c>
      <c r="E28" s="29">
        <f>IFERROR(_xlfn.XLOOKUP(B28,'w1'!$B:$B,'w1'!$C:$C),0)</f>
        <v>42</v>
      </c>
      <c r="F28" s="30">
        <f>_xlfn.RANK.EQ(E28,E$3:E$10000,0)</f>
        <v>18</v>
      </c>
      <c r="G28" s="31">
        <f>IFERROR(_xlfn.XLOOKUP(B28,'w1'!$B:$B,'w1'!$F:$F),1)</f>
        <v>0.26805555555555555</v>
      </c>
      <c r="H28" s="30">
        <f>_xlfn.RANK.EQ(G28,G$3:G$10000,1)</f>
        <v>34</v>
      </c>
      <c r="I28" s="30">
        <f>IFERROR(IF(_xlfn.XLOOKUP(B28,'w1'!$B:$B,'w1'!$G:$G)="--",0,_xlfn.XLOOKUP(B28,'w1'!$B:$B,'w1'!$G:$G)),0)</f>
        <v>88</v>
      </c>
      <c r="J28" s="30">
        <f>_xlfn.RANK.EQ(I28,I$3:I$10000,0)</f>
        <v>55</v>
      </c>
      <c r="K28" s="34">
        <f>IFERROR(_xlfn.XLOOKUP(B28,'w2'!$B:$B,'w2'!$C:$C),0)</f>
        <v>28.6</v>
      </c>
      <c r="L28" s="35">
        <f>_xlfn.RANK.EQ(K28,K$3:K$10000,0)</f>
        <v>31</v>
      </c>
      <c r="M28" s="36">
        <f>IFERROR(_xlfn.XLOOKUP(B28,'w2'!$B:$B,'w2'!$F:$F),1)</f>
        <v>0.26041666666666669</v>
      </c>
      <c r="N28" s="35">
        <f>_xlfn.RANK.EQ(M28,M$3:M$10000,1)</f>
        <v>22</v>
      </c>
      <c r="O28" s="35">
        <f>IFERROR(IF(_xlfn.XLOOKUP(B28,'w2'!$B:$B,'w2'!$G:$G)="--",0,_xlfn.XLOOKUP(B28,'w2'!$B:$B,'w2'!$G:$G)),0)</f>
        <v>52</v>
      </c>
      <c r="P28" s="35">
        <f>_xlfn.RANK.EQ(O28,O$3:O$10000,0)</f>
        <v>65</v>
      </c>
      <c r="Q28" s="39">
        <f>IFERROR(_xlfn.XLOOKUP(B28,'w3'!$B:$B,'w3'!$C:$C),0)</f>
        <v>65</v>
      </c>
      <c r="R28" s="40">
        <f>_xlfn.RANK.EQ(Q28,Q$3:Q$10000,0)</f>
        <v>6</v>
      </c>
      <c r="S28" s="41">
        <f>IFERROR(_xlfn.XLOOKUP(B28,'w3'!$B:$B,'w3'!$F:$F),1)</f>
        <v>0.25486111111111109</v>
      </c>
      <c r="T28" s="40">
        <f>_xlfn.RANK.EQ(S28,S$3:S$10000,1)</f>
        <v>26</v>
      </c>
      <c r="U28" s="40">
        <f>IFERROR(IF(_xlfn.XLOOKUP(B28,'w3'!$B:$B,'w3'!$G:$G)="--",0,_xlfn.XLOOKUP(B28,'w3'!$B:$B,'w3'!$G:$G)),0)</f>
        <v>142</v>
      </c>
      <c r="V28" s="40">
        <f>_xlfn.RANK.EQ(U28,U$3:U$10000,0)</f>
        <v>43</v>
      </c>
      <c r="W28" s="44">
        <f>IFERROR(_xlfn.XLOOKUP(B28,'w4'!$B:$B,'w4'!$C:$C),0)</f>
        <v>29.1</v>
      </c>
      <c r="X28" s="45">
        <f>_xlfn.RANK.EQ(W28,W$3:W$10000,0)</f>
        <v>26</v>
      </c>
      <c r="Y28" s="46">
        <f>IFERROR(_xlfn.XLOOKUP(B28,'w4'!$B:$B,'w4'!$F:$F),1)</f>
        <v>0.2722222222222222</v>
      </c>
      <c r="Z28" s="45">
        <f>_xlfn.RANK.EQ(Y28,Y$3:Y$10000,1)</f>
        <v>39</v>
      </c>
      <c r="AA28" s="45">
        <f>IFERROR(IF(_xlfn.XLOOKUP(B28,'w4'!$B:$B,'w4'!$G:$G)="--",0,_xlfn.XLOOKUP(B28,'w4'!$B:$B,'w4'!$G:$G)),0)</f>
        <v>62</v>
      </c>
      <c r="AB28" s="45">
        <f>_xlfn.RANK.EQ(AA28,AA$3:AA$10000,0)</f>
        <v>53</v>
      </c>
      <c r="AC28" s="13">
        <f>IFERROR(_xlfn.XLOOKUP(B28,'w5'!$B:$B,'w5'!$C:$C),0)</f>
        <v>29.4</v>
      </c>
      <c r="AD28" s="12">
        <f>_xlfn.RANK.EQ(AC28,AC$3:AC$10000,0)</f>
        <v>39</v>
      </c>
      <c r="AE28" s="14">
        <f>IFERROR(_xlfn.XLOOKUP(B28,'w5'!$B:$B,'w5'!$F:$F),1)</f>
        <v>0.25416666666666665</v>
      </c>
      <c r="AF28" s="12">
        <f>_xlfn.RANK.EQ(AE28,AE$3:AE$10000,1)</f>
        <v>22</v>
      </c>
      <c r="AG28" s="12">
        <f>IFERROR(IF(_xlfn.XLOOKUP(B28,'w5'!$B:$B,'w5'!$G:$G)="--",0,_xlfn.XLOOKUP(B28,'w5'!$B:$B,'w5'!$G:$G)),0)</f>
        <v>127</v>
      </c>
      <c r="AH28" s="12">
        <f>_xlfn.RANK.EQ(AG28,AG$3:AG$10000,0)</f>
        <v>55</v>
      </c>
      <c r="AI28" s="51">
        <f>IFERROR(_xlfn.XLOOKUP(B28,'w6'!$B:$B,'w6'!$C:$C),0)</f>
        <v>9.1999999999999993</v>
      </c>
      <c r="AJ28" s="50">
        <f>_xlfn.RANK.EQ(AI28,AI$3:AI$10000,0)</f>
        <v>58</v>
      </c>
      <c r="AK28" s="52">
        <f>IFERROR(_xlfn.XLOOKUP(B28,'w6'!$B:$B,'w6'!$F:$F),1)</f>
        <v>0.25277777777777777</v>
      </c>
      <c r="AL28" s="50">
        <f>_xlfn.RANK.EQ(AK28,AK$3:AK$10000,1)</f>
        <v>16</v>
      </c>
      <c r="AM28" s="50">
        <f>IFERROR(IF(_xlfn.XLOOKUP(B28,'w6'!$B:$B,'w6'!$G:$G)="--",0,_xlfn.XLOOKUP(B28,'w6'!$B:$B,'w6'!$G:$G)),0)</f>
        <v>21</v>
      </c>
      <c r="AN28" s="50">
        <f>_xlfn.RANK.EQ(AM28,AM$3:AM$10000,0)</f>
        <v>60</v>
      </c>
      <c r="AO28" s="56">
        <f>IFERROR(_xlfn.XLOOKUP(B28,'w7'!$B:$B,'w7'!$C:$C),0)</f>
        <v>0</v>
      </c>
      <c r="AP28" s="57">
        <f>_xlfn.RANK.EQ(AO28,AO$3:AO$10000,0)</f>
        <v>72</v>
      </c>
      <c r="AQ28" s="58">
        <f>IFERROR(_xlfn.XLOOKUP(B28,'w7'!$B:$B,'w7'!$F:$F),1)</f>
        <v>1</v>
      </c>
      <c r="AR28" s="57">
        <f>_xlfn.RANK.EQ(AQ28,AQ$3:AQ$10000,1)</f>
        <v>72</v>
      </c>
      <c r="AS28" s="57">
        <f>IFERROR(IF(_xlfn.XLOOKUP(B28,'w7'!$B:$B,'w7'!$G:$G)="--",0,_xlfn.XLOOKUP(B28,'w7'!$B:$B,'w7'!$G:$G)),0)</f>
        <v>0</v>
      </c>
      <c r="AT28" s="57">
        <f>_xlfn.RANK.EQ(AS28,AS$3:AS$10000,0)</f>
        <v>69</v>
      </c>
      <c r="AU28" s="62">
        <f>IFERROR(_xlfn.XLOOKUP(B28,'w8'!$B:$B,'w8'!$C:$C),0)</f>
        <v>0</v>
      </c>
      <c r="AV28" s="61">
        <f>_xlfn.RANK.EQ(AU28,AU$3:AU$10000,0)</f>
        <v>73</v>
      </c>
      <c r="AW28" s="63">
        <f>IFERROR(_xlfn.XLOOKUP(B28,'w8'!$B:$B,'w8'!$F:$F),1)</f>
        <v>1</v>
      </c>
      <c r="AX28" s="61">
        <f>_xlfn.RANK.EQ(AW28,AW$3:AW$10000,1)</f>
        <v>73</v>
      </c>
      <c r="AY28" s="61">
        <f>IFERROR(IF(_xlfn.XLOOKUP(B28,'w8'!$B:$B,'w8'!$G:$G)="--",0,_xlfn.XLOOKUP(B28,'w8'!$B:$B,'w8'!$G:$G)),0)</f>
        <v>0</v>
      </c>
      <c r="AZ28" s="61">
        <f>_xlfn.RANK.EQ(AY28,AY$3:AY$10000,0)</f>
        <v>70</v>
      </c>
      <c r="BA28" s="66">
        <f>IFERROR(_xlfn.XLOOKUP(C28,'w9'!$B:$B,'w9'!$C:$C),0)</f>
        <v>11</v>
      </c>
      <c r="BB28" s="67">
        <f>_xlfn.RANK.EQ(BA28,BA$3:BA$10000,0)</f>
        <v>66</v>
      </c>
      <c r="BC28" s="68">
        <f>IFERROR(_xlfn.XLOOKUP(C28,'w9'!$B:$B,'w9'!$F:$F),1)</f>
        <v>0.31597222222222221</v>
      </c>
      <c r="BD28" s="67">
        <f>_xlfn.RANK.EQ(BC28,BC$3:BC$10000,1)</f>
        <v>49</v>
      </c>
      <c r="BE28" s="67">
        <f>IFERROR(IF(_xlfn.XLOOKUP(C28,'w9'!$B:$B,'w9'!$G:$G)="--",0,_xlfn.XLOOKUP(C28,'w9'!$B:$B,'w9'!$G:$G)),0)</f>
        <v>21</v>
      </c>
      <c r="BF28" s="67">
        <f>_xlfn.RANK.EQ(BE28,BE$3:BE$10000,0)</f>
        <v>70</v>
      </c>
      <c r="BG28" s="72">
        <f>IFERROR(_xlfn.XLOOKUP(B28,'w10'!$B:$B,'w10'!$C:$C),0)</f>
        <v>23.1</v>
      </c>
      <c r="BH28" s="74">
        <f>_xlfn.RANK.EQ(BG28,BG$3:BG$10000,0)</f>
        <v>37</v>
      </c>
      <c r="BI28" s="75">
        <f>IFERROR(_xlfn.XLOOKUP(B28,'w10'!$B:$B,'w10'!$F:$F),1)</f>
        <v>0.26319444444444445</v>
      </c>
      <c r="BJ28" s="74">
        <f>_xlfn.RANK.EQ(BI28,BI$3:BI$10000,1)</f>
        <v>32</v>
      </c>
      <c r="BK28" s="74">
        <f>IFERROR(IF(_xlfn.XLOOKUP(B28,'w10'!$B:$B,'w10'!$G:$G)="--",0,_xlfn.XLOOKUP(B28,'w10'!$B:$B,'w10'!$G:$G)),0)</f>
        <v>54</v>
      </c>
      <c r="BL28" s="74">
        <f>_xlfn.RANK.EQ(BK28,BK$3:BK$10000,0)</f>
        <v>65</v>
      </c>
      <c r="BM28" s="78">
        <f>IFERROR(_xlfn.XLOOKUP(B28,'w11'!$B:$B,'w11'!$C:$C),0)</f>
        <v>43.3</v>
      </c>
      <c r="BN28" s="80">
        <f>_xlfn.RANK.EQ(BM28,BM$3:BM$10000,0)</f>
        <v>14</v>
      </c>
      <c r="BO28" s="81">
        <f>IFERROR(_xlfn.XLOOKUP(B28,'w11'!$B:$B,'w11'!$F:$F),1)</f>
        <v>0.2673611111111111</v>
      </c>
      <c r="BP28" s="80">
        <f>_xlfn.RANK.EQ(BO28,BO$3:BO$10000,1)</f>
        <v>34</v>
      </c>
      <c r="BQ28" s="80">
        <f>IFERROR(IF(_xlfn.XLOOKUP(B28,'w11'!$B:$B,'w11'!$G:$G)="--",0,_xlfn.XLOOKUP(B28,'w11'!$B:$B,'w11'!$G:$G)),0)</f>
        <v>134</v>
      </c>
      <c r="BR28" s="80">
        <f>_xlfn.RANK.EQ(BQ28,BQ$3:BQ$10000,0)</f>
        <v>49</v>
      </c>
      <c r="BS28" s="83">
        <f>IFERROR(_xlfn.XLOOKUP(B28,'w12'!$B:$B,'w12'!$C:$C),0)</f>
        <v>22.4</v>
      </c>
      <c r="BT28" s="86">
        <f>_xlfn.RANK.EQ(BS28,BS$3:BS$10000,0)</f>
        <v>27</v>
      </c>
      <c r="BU28" s="87">
        <f>IFERROR(_xlfn.XLOOKUP(B28,'w12'!$B:$B,'w12'!$F:$F),1)</f>
        <v>0.28611111111111109</v>
      </c>
      <c r="BV28" s="86">
        <f>_xlfn.RANK.EQ(BU28,BU$3:BU$10000,1)</f>
        <v>43</v>
      </c>
      <c r="BW28" s="86">
        <f>IFERROR(IF(_xlfn.XLOOKUP(B28,'w12'!$B:$B,'w12'!$G:$G)="--",0,_xlfn.XLOOKUP(B28,'w12'!$B:$B,'w12'!$G:$G)),0)</f>
        <v>88</v>
      </c>
      <c r="BX28" s="86">
        <f>_xlfn.RANK.EQ(BW28,BW$3:BW$10000,0)</f>
        <v>57</v>
      </c>
      <c r="BY28" s="89">
        <f>IFERROR(_xlfn.XLOOKUP(B28,'w13'!$B:$B,'w13'!$C:$C),0)</f>
        <v>48.3</v>
      </c>
      <c r="BZ28" s="92">
        <f>_xlfn.RANK.EQ(BY28,BY$3:BY$10000,0)</f>
        <v>9</v>
      </c>
      <c r="CA28" s="93">
        <f>IFERROR(_xlfn.XLOOKUP(B28,'w13'!$B:$B,'w13'!$F:$F),1)</f>
        <v>0.25833333333333336</v>
      </c>
      <c r="CB28" s="92">
        <f>_xlfn.RANK.EQ(CA28,CA$3:CA$10000,1)</f>
        <v>29</v>
      </c>
      <c r="CC28" s="92">
        <f>IFERROR(IF(_xlfn.XLOOKUP(B28,'w13'!$B:$B,'w13'!$G:$G)="--",0,_xlfn.XLOOKUP(B28,'w13'!$B:$B,'w13'!$G:$G)),0)</f>
        <v>132</v>
      </c>
      <c r="CD28" s="92">
        <f>_xlfn.RANK.EQ(CC28,CC$3:CC$10000,0)</f>
        <v>44</v>
      </c>
      <c r="CE28" s="95">
        <f>IFERROR(_xlfn.XLOOKUP(B28,'w14'!$B:$B,'w14'!$C:$C),0)</f>
        <v>56.5</v>
      </c>
      <c r="CF28" s="98">
        <f>_xlfn.RANK.EQ(CE28,CE$3:CE$10000,0)</f>
        <v>11</v>
      </c>
      <c r="CG28" s="99">
        <f>IFERROR(_xlfn.XLOOKUP(B28,'w14'!$B:$B,'w14'!$F:$F),1)</f>
        <v>0.25833333333333336</v>
      </c>
      <c r="CH28" s="98">
        <f>_xlfn.RANK.EQ(CG28,CG$3:CG$10000,1)</f>
        <v>22</v>
      </c>
      <c r="CI28" s="98">
        <f>IFERROR(IF(_xlfn.XLOOKUP(B28,'w14'!$B:$B,'w14'!$G:$G)="--",0,_xlfn.XLOOKUP(B28,'w14'!$B:$B,'w14'!$G:$G)),0)</f>
        <v>152</v>
      </c>
      <c r="CJ28" s="98">
        <f>_xlfn.RANK.EQ(CI28,CI$3:CI$10000,0)</f>
        <v>42</v>
      </c>
      <c r="CK28" s="9">
        <f>_xlfn.RANK.EQ(D28,D$3:D$10000,1)</f>
        <v>25</v>
      </c>
      <c r="CL28" s="26" t="s">
        <v>101</v>
      </c>
      <c r="CM28" s="8">
        <f>SUM(E28,K28,Q28,W28,AC28,AI28,AO28,AU28,BA28,BG28,BM28,BS28,BY28,CE28)</f>
        <v>407.9</v>
      </c>
      <c r="CN28" s="9">
        <f>_xlfn.RANK.EQ(CM28,CM$3:CM$10000)</f>
        <v>25</v>
      </c>
      <c r="CO28" s="15">
        <f>IFERROR(SUM(PRODUCT(E28,G28),PRODUCT(K28,M28),PRODUCT(Q28,S28),PRODUCT(W28,Y28),PRODUCT(AC28,AE28),PRODUCT(AI28,AK28),PRODUCT(AO28,AQ28),PRODUCT(AU28,AW28),PRODUCT(BA28,BC28),PRODUCT(BG28,BI28),PRODUCT(BM28,BO28),PRODUCT(BS28,BU28),PRODUCT(BY28,CA28),PRODUCT(CE28,CG28))/CM28,1)</f>
        <v>0.26380580752363053</v>
      </c>
      <c r="CP28" s="9">
        <f>_xlfn.RANK.EQ(CO28,CO$3:CO$10000,1)</f>
        <v>31</v>
      </c>
      <c r="CQ28" s="9">
        <f>SUM(I28,O28,U28,AA28,AG28,AM28,AS28,AY28,BE28,BK28,BQ28,BW28,CC28,CI28)</f>
        <v>1073</v>
      </c>
      <c r="CR28" s="9">
        <f>_xlfn.RANK.EQ(CQ28,CQ$3:CQ$10000)</f>
        <v>75</v>
      </c>
      <c r="CS28" s="23"/>
      <c r="CT28" s="25"/>
      <c r="CU28" s="24">
        <f>_xlfn.STDEV.S(F28,L28,R28,X28,AD28,AJ28,AP28,AV28,BB28,BH28,BN28,BT28,BZ28,CF28)</f>
        <v>23.707118604492457</v>
      </c>
      <c r="CV28" s="21">
        <f>_xlfn.RANK.EQ(CU28,CU$3:CU$10000,1)</f>
        <v>100</v>
      </c>
      <c r="CW28" s="24">
        <f>_xlfn.STDEV.S(H28,N28,T28,Z28,AF28,AL28,AR28,AX28,BD28,BJ28,BP28,BV28,CB28,CH28)</f>
        <v>17.644380856923711</v>
      </c>
      <c r="CX28" s="21">
        <f>_xlfn.RANK.EQ(CW28,CW$3:CW$10000,1)</f>
        <v>69</v>
      </c>
      <c r="CY28" s="24">
        <f>_xlfn.STDEV.S(J28,P28,V28,AB28,AH28,AN28,AT28,AZ28,BF28,BL28,BR28,BX28,CD28,CJ28)</f>
        <v>9.9881798273627584</v>
      </c>
      <c r="CZ28" s="21">
        <f>_xlfn.RANK.EQ(CY28,CY$3:CY$10000,1)</f>
        <v>26</v>
      </c>
      <c r="DA28">
        <f>SUM(COUNTIF(E28,"&gt;0"),COUNTIF(K28,"&gt;0"),COUNTIF(Q28,"&gt;0"),COUNTIF(W28,"&gt;0"),COUNTIF(AC28,"&gt;0"),COUNTIF(AI28,"&gt;0"),COUNTIF(AO28,"&gt;0"),COUNTIF(AU28,"&gt;0"),COUNTIF(BA28,"&gt;0"),COUNTIF(BG28,"&gt;0"),COUNTIF(BM28,"&gt;0"),COUNTIF(BS28,"&gt;0"),COUNTIF(BY28,"&gt;0"),COUNTIF(CE28,"&gt;0"))</f>
        <v>12</v>
      </c>
    </row>
    <row r="29" spans="1:105" x14ac:dyDescent="0.3">
      <c r="B29" t="s">
        <v>53</v>
      </c>
      <c r="C29" s="18" t="s">
        <v>126</v>
      </c>
      <c r="D29" s="4">
        <f>CN29*$CN$1+CP29*$CP$1+CR29*$CR$1</f>
        <v>26.999999999999996</v>
      </c>
      <c r="E29" s="29">
        <f>IFERROR(_xlfn.XLOOKUP(B29,'w1'!$B:$B,'w1'!$C:$C),0)</f>
        <v>16.100000000000001</v>
      </c>
      <c r="F29" s="30">
        <f>_xlfn.RANK.EQ(E29,E$3:E$10000,0)</f>
        <v>50</v>
      </c>
      <c r="G29" s="31">
        <f>IFERROR(_xlfn.XLOOKUP(B29,'w1'!$B:$B,'w1'!$F:$F),1)</f>
        <v>0.42291666666666666</v>
      </c>
      <c r="H29" s="30">
        <f>_xlfn.RANK.EQ(G29,G$3:G$10000,1)</f>
        <v>76</v>
      </c>
      <c r="I29" s="30">
        <f>IFERROR(IF(_xlfn.XLOOKUP(B29,'w1'!$B:$B,'w1'!$G:$G)="--",0,_xlfn.XLOOKUP(B29,'w1'!$B:$B,'w1'!$G:$G)),0)</f>
        <v>333</v>
      </c>
      <c r="J29" s="30">
        <f>_xlfn.RANK.EQ(I29,I$3:I$10000,0)</f>
        <v>27</v>
      </c>
      <c r="K29" s="34">
        <f>IFERROR(_xlfn.XLOOKUP(B29,'w2'!$B:$B,'w2'!$C:$C),0)</f>
        <v>22.2</v>
      </c>
      <c r="L29" s="35">
        <f>_xlfn.RANK.EQ(K29,K$3:K$10000,0)</f>
        <v>43</v>
      </c>
      <c r="M29" s="36">
        <f>IFERROR(_xlfn.XLOOKUP(B29,'w2'!$B:$B,'w2'!$F:$F),1)</f>
        <v>0.22777777777777777</v>
      </c>
      <c r="N29" s="35">
        <f>_xlfn.RANK.EQ(M29,M$3:M$10000,1)</f>
        <v>4</v>
      </c>
      <c r="O29" s="35">
        <f>IFERROR(IF(_xlfn.XLOOKUP(B29,'w2'!$B:$B,'w2'!$G:$G)="--",0,_xlfn.XLOOKUP(B29,'w2'!$B:$B,'w2'!$G:$G)),0)</f>
        <v>95</v>
      </c>
      <c r="P29" s="35">
        <f>_xlfn.RANK.EQ(O29,O$3:O$10000,0)</f>
        <v>55</v>
      </c>
      <c r="Q29" s="39">
        <f>IFERROR(_xlfn.XLOOKUP(B29,'w3'!$B:$B,'w3'!$C:$C),0)</f>
        <v>30</v>
      </c>
      <c r="R29" s="40">
        <f>_xlfn.RANK.EQ(Q29,Q$3:Q$10000,0)</f>
        <v>30</v>
      </c>
      <c r="S29" s="41">
        <f>IFERROR(_xlfn.XLOOKUP(B29,'w3'!$B:$B,'w3'!$F:$F),1)</f>
        <v>0.22083333333333333</v>
      </c>
      <c r="T29" s="40">
        <f>_xlfn.RANK.EQ(S29,S$3:S$10000,1)</f>
        <v>3</v>
      </c>
      <c r="U29" s="40">
        <f>IFERROR(IF(_xlfn.XLOOKUP(B29,'w3'!$B:$B,'w3'!$G:$G)="--",0,_xlfn.XLOOKUP(B29,'w3'!$B:$B,'w3'!$G:$G)),0)</f>
        <v>16</v>
      </c>
      <c r="V29" s="40">
        <f>_xlfn.RANK.EQ(U29,U$3:U$10000,0)</f>
        <v>75</v>
      </c>
      <c r="W29" s="44">
        <f>IFERROR(_xlfn.XLOOKUP(B29,'w4'!$B:$B,'w4'!$C:$C),0)</f>
        <v>10.1</v>
      </c>
      <c r="X29" s="45">
        <f>_xlfn.RANK.EQ(W29,W$3:W$10000,0)</f>
        <v>59</v>
      </c>
      <c r="Y29" s="46">
        <f>IFERROR(_xlfn.XLOOKUP(B29,'w4'!$B:$B,'w4'!$F:$F),1)</f>
        <v>0.19722222222222222</v>
      </c>
      <c r="Z29" s="45">
        <f>_xlfn.RANK.EQ(Y29,Y$3:Y$10000,1)</f>
        <v>2</v>
      </c>
      <c r="AA29" s="45">
        <f>IFERROR(IF(_xlfn.XLOOKUP(B29,'w4'!$B:$B,'w4'!$G:$G)="--",0,_xlfn.XLOOKUP(B29,'w4'!$B:$B,'w4'!$G:$G)),0)</f>
        <v>34</v>
      </c>
      <c r="AB29" s="45">
        <f>_xlfn.RANK.EQ(AA29,AA$3:AA$10000,0)</f>
        <v>61</v>
      </c>
      <c r="AC29" s="13">
        <f>IFERROR(_xlfn.XLOOKUP(B29,'w5'!$B:$B,'w5'!$C:$C),0)</f>
        <v>34.799999999999997</v>
      </c>
      <c r="AD29" s="12">
        <f>_xlfn.RANK.EQ(AC29,AC$3:AC$10000,0)</f>
        <v>28</v>
      </c>
      <c r="AE29" s="14">
        <f>IFERROR(_xlfn.XLOOKUP(B29,'w5'!$B:$B,'w5'!$F:$F),1)</f>
        <v>0.2076388888888889</v>
      </c>
      <c r="AF29" s="12">
        <f>_xlfn.RANK.EQ(AE29,AE$3:AE$10000,1)</f>
        <v>1</v>
      </c>
      <c r="AG29" s="12">
        <f>IFERROR(IF(_xlfn.XLOOKUP(B29,'w5'!$B:$B,'w5'!$G:$G)="--",0,_xlfn.XLOOKUP(B29,'w5'!$B:$B,'w5'!$G:$G)),0)</f>
        <v>270</v>
      </c>
      <c r="AH29" s="12">
        <f>_xlfn.RANK.EQ(AG29,AG$3:AG$10000,0)</f>
        <v>36</v>
      </c>
      <c r="AI29" s="51">
        <f>IFERROR(_xlfn.XLOOKUP(B29,'w6'!$B:$B,'w6'!$C:$C),0)</f>
        <v>0</v>
      </c>
      <c r="AJ29" s="50">
        <f>_xlfn.RANK.EQ(AI29,AI$3:AI$10000,0)</f>
        <v>65</v>
      </c>
      <c r="AK29" s="52">
        <f>IFERROR(_xlfn.XLOOKUP(B29,'w6'!$B:$B,'w6'!$F:$F),1)</f>
        <v>1</v>
      </c>
      <c r="AL29" s="50">
        <f>_xlfn.RANK.EQ(AK29,AK$3:AK$10000,1)</f>
        <v>65</v>
      </c>
      <c r="AM29" s="50">
        <f>IFERROR(IF(_xlfn.XLOOKUP(B29,'w6'!$B:$B,'w6'!$G:$G)="--",0,_xlfn.XLOOKUP(B29,'w6'!$B:$B,'w6'!$G:$G)),0)</f>
        <v>0</v>
      </c>
      <c r="AN29" s="50">
        <f>_xlfn.RANK.EQ(AM29,AM$3:AM$10000,0)</f>
        <v>61</v>
      </c>
      <c r="AO29" s="56">
        <f>IFERROR(_xlfn.XLOOKUP(B29,'w7'!$B:$B,'w7'!$C:$C),0)</f>
        <v>8.9</v>
      </c>
      <c r="AP29" s="57">
        <f>_xlfn.RANK.EQ(AO29,AO$3:AO$10000,0)</f>
        <v>58</v>
      </c>
      <c r="AQ29" s="58">
        <f>IFERROR(_xlfn.XLOOKUP(B29,'w7'!$B:$B,'w7'!$F:$F),1)</f>
        <v>0.19027777777777777</v>
      </c>
      <c r="AR29" s="57">
        <f>_xlfn.RANK.EQ(AQ29,AQ$3:AQ$10000,1)</f>
        <v>2</v>
      </c>
      <c r="AS29" s="57">
        <f>IFERROR(IF(_xlfn.XLOOKUP(B29,'w7'!$B:$B,'w7'!$G:$G)="--",0,_xlfn.XLOOKUP(B29,'w7'!$B:$B,'w7'!$G:$G)),0)</f>
        <v>117</v>
      </c>
      <c r="AT29" s="57">
        <f>_xlfn.RANK.EQ(AS29,AS$3:AS$10000,0)</f>
        <v>49</v>
      </c>
      <c r="AU29" s="62">
        <f>IFERROR(_xlfn.XLOOKUP(B29,'w8'!$B:$B,'w8'!$C:$C),0)</f>
        <v>0</v>
      </c>
      <c r="AV29" s="61">
        <f>_xlfn.RANK.EQ(AU29,AU$3:AU$10000,0)</f>
        <v>73</v>
      </c>
      <c r="AW29" s="63">
        <f>IFERROR(_xlfn.XLOOKUP(B29,'w8'!$B:$B,'w8'!$F:$F),1)</f>
        <v>1</v>
      </c>
      <c r="AX29" s="61">
        <f>_xlfn.RANK.EQ(AW29,AW$3:AW$10000,1)</f>
        <v>73</v>
      </c>
      <c r="AY29" s="61">
        <f>IFERROR(IF(_xlfn.XLOOKUP(B29,'w8'!$B:$B,'w8'!$G:$G)="--",0,_xlfn.XLOOKUP(B29,'w8'!$B:$B,'w8'!$G:$G)),0)</f>
        <v>0</v>
      </c>
      <c r="AZ29" s="61">
        <f>_xlfn.RANK.EQ(AY29,AY$3:AY$10000,0)</f>
        <v>70</v>
      </c>
      <c r="BA29" s="66">
        <f>IFERROR(_xlfn.XLOOKUP(C29,'w9'!$B:$B,'w9'!$C:$C),0)</f>
        <v>73.2</v>
      </c>
      <c r="BB29" s="67">
        <f>_xlfn.RANK.EQ(BA29,BA$3:BA$10000,0)</f>
        <v>2</v>
      </c>
      <c r="BC29" s="68">
        <f>IFERROR(_xlfn.XLOOKUP(C29,'w9'!$B:$B,'w9'!$F:$F),1)</f>
        <v>0.33888888888888891</v>
      </c>
      <c r="BD29" s="67">
        <f>_xlfn.RANK.EQ(BC29,BC$3:BC$10000,1)</f>
        <v>59</v>
      </c>
      <c r="BE29" s="67">
        <f>IFERROR(IF(_xlfn.XLOOKUP(C29,'w9'!$B:$B,'w9'!$G:$G)="--",0,_xlfn.XLOOKUP(C29,'w9'!$B:$B,'w9'!$G:$G)),0)</f>
        <v>781</v>
      </c>
      <c r="BF29" s="67">
        <f>_xlfn.RANK.EQ(BE29,BE$3:BE$10000,0)</f>
        <v>13</v>
      </c>
      <c r="BG29" s="72">
        <f>IFERROR(_xlfn.XLOOKUP(B29,'w10'!$B:$B,'w10'!$C:$C),0)</f>
        <v>55.3</v>
      </c>
      <c r="BH29" s="74">
        <f>_xlfn.RANK.EQ(BG29,BG$3:BG$10000,0)</f>
        <v>7</v>
      </c>
      <c r="BI29" s="75">
        <f>IFERROR(_xlfn.XLOOKUP(B29,'w10'!$B:$B,'w10'!$F:$F),1)</f>
        <v>0.21319444444444444</v>
      </c>
      <c r="BJ29" s="74">
        <f>_xlfn.RANK.EQ(BI29,BI$3:BI$10000,1)</f>
        <v>2</v>
      </c>
      <c r="BK29" s="74">
        <f>IFERROR(IF(_xlfn.XLOOKUP(B29,'w10'!$B:$B,'w10'!$G:$G)="--",0,_xlfn.XLOOKUP(B29,'w10'!$B:$B,'w10'!$G:$G)),0)</f>
        <v>414</v>
      </c>
      <c r="BL29" s="74">
        <f>_xlfn.RANK.EQ(BK29,BK$3:BK$10000,0)</f>
        <v>19</v>
      </c>
      <c r="BM29" s="78">
        <f>IFERROR(_xlfn.XLOOKUP(B29,'w11'!$B:$B,'w11'!$C:$C),0)</f>
        <v>61</v>
      </c>
      <c r="BN29" s="80">
        <f>_xlfn.RANK.EQ(BM29,BM$3:BM$10000,0)</f>
        <v>5</v>
      </c>
      <c r="BO29" s="81">
        <f>IFERROR(_xlfn.XLOOKUP(B29,'w11'!$B:$B,'w11'!$F:$F),1)</f>
        <v>0.20833333333333334</v>
      </c>
      <c r="BP29" s="80">
        <f>_xlfn.RANK.EQ(BO29,BO$3:BO$10000,1)</f>
        <v>4</v>
      </c>
      <c r="BQ29" s="80">
        <f>IFERROR(IF(_xlfn.XLOOKUP(B29,'w11'!$B:$B,'w11'!$G:$G)="--",0,_xlfn.XLOOKUP(B29,'w11'!$B:$B,'w11'!$G:$G)),0)</f>
        <v>407</v>
      </c>
      <c r="BR29" s="80">
        <f>_xlfn.RANK.EQ(BQ29,BQ$3:BQ$10000,0)</f>
        <v>21</v>
      </c>
      <c r="BS29" s="83">
        <f>IFERROR(_xlfn.XLOOKUP(B29,'w12'!$B:$B,'w12'!$C:$C),0)</f>
        <v>22.4</v>
      </c>
      <c r="BT29" s="86">
        <f>_xlfn.RANK.EQ(BS29,BS$3:BS$10000,0)</f>
        <v>27</v>
      </c>
      <c r="BU29" s="87">
        <f>IFERROR(_xlfn.XLOOKUP(B29,'w12'!$B:$B,'w12'!$F:$F),1)</f>
        <v>0.22291666666666668</v>
      </c>
      <c r="BV29" s="86">
        <f>_xlfn.RANK.EQ(BU29,BU$3:BU$10000,1)</f>
        <v>3</v>
      </c>
      <c r="BW29" s="86">
        <f>IFERROR(IF(_xlfn.XLOOKUP(B29,'w12'!$B:$B,'w12'!$G:$G)="--",0,_xlfn.XLOOKUP(B29,'w12'!$B:$B,'w12'!$G:$G)),0)</f>
        <v>199</v>
      </c>
      <c r="BX29" s="86">
        <f>_xlfn.RANK.EQ(BW29,BW$3:BW$10000,0)</f>
        <v>41</v>
      </c>
      <c r="BY29" s="89">
        <f>IFERROR(_xlfn.XLOOKUP(B29,'w13'!$B:$B,'w13'!$C:$C),0)</f>
        <v>22.1</v>
      </c>
      <c r="BZ29" s="92">
        <f>_xlfn.RANK.EQ(BY29,BY$3:BY$10000,0)</f>
        <v>37</v>
      </c>
      <c r="CA29" s="93">
        <f>IFERROR(_xlfn.XLOOKUP(B29,'w13'!$B:$B,'w13'!$F:$F),1)</f>
        <v>0.20347222222222222</v>
      </c>
      <c r="CB29" s="92">
        <f>_xlfn.RANK.EQ(CA29,CA$3:CA$10000,1)</f>
        <v>3</v>
      </c>
      <c r="CC29" s="92">
        <f>IFERROR(IF(_xlfn.XLOOKUP(B29,'w13'!$B:$B,'w13'!$G:$G)="--",0,_xlfn.XLOOKUP(B29,'w13'!$B:$B,'w13'!$G:$G)),0)</f>
        <v>253</v>
      </c>
      <c r="CD29" s="92">
        <f>_xlfn.RANK.EQ(CC29,CC$3:CC$10000,0)</f>
        <v>30</v>
      </c>
      <c r="CE29" s="95">
        <f>IFERROR(_xlfn.XLOOKUP(B29,'w14'!$B:$B,'w14'!$C:$C),0)</f>
        <v>35.4</v>
      </c>
      <c r="CF29" s="98">
        <f>_xlfn.RANK.EQ(CE29,CE$3:CE$10000,0)</f>
        <v>27</v>
      </c>
      <c r="CG29" s="99">
        <f>IFERROR(_xlfn.XLOOKUP(B29,'w14'!$B:$B,'w14'!$F:$F),1)</f>
        <v>0.21666666666666667</v>
      </c>
      <c r="CH29" s="98">
        <f>_xlfn.RANK.EQ(CG29,CG$3:CG$10000,1)</f>
        <v>2</v>
      </c>
      <c r="CI29" s="98">
        <f>IFERROR(IF(_xlfn.XLOOKUP(B29,'w14'!$B:$B,'w14'!$G:$G)="--",0,_xlfn.XLOOKUP(B29,'w14'!$B:$B,'w14'!$G:$G)),0)</f>
        <v>375</v>
      </c>
      <c r="CJ29" s="98">
        <f>_xlfn.RANK.EQ(CI29,CI$3:CI$10000,0)</f>
        <v>22</v>
      </c>
      <c r="CK29" s="9">
        <f>_xlfn.RANK.EQ(D29,D$3:D$10000,1)</f>
        <v>27</v>
      </c>
      <c r="CL29" s="26" t="s">
        <v>126</v>
      </c>
      <c r="CM29" s="8">
        <f>SUM(E29,K29,Q29,W29,AC29,AI29,AO29,AU29,BA29,BG29,BM29,BS29,BY29,CE29)</f>
        <v>391.5</v>
      </c>
      <c r="CN29" s="9">
        <f>_xlfn.RANK.EQ(CM29,CM$3:CM$10000)</f>
        <v>27</v>
      </c>
      <c r="CO29" s="15">
        <f>IFERROR(SUM(PRODUCT(E29,G29),PRODUCT(K29,M29),PRODUCT(Q29,S29),PRODUCT(W29,Y29),PRODUCT(AC29,AE29),PRODUCT(AI29,AK29),PRODUCT(AO29,AQ29),PRODUCT(AU29,AW29),PRODUCT(BA29,BC29),PRODUCT(BG29,BI29),PRODUCT(BM29,BO29),PRODUCT(BS29,BU29),PRODUCT(BY29,CA29),PRODUCT(CE29,CG29))/CM29,1)</f>
        <v>0.24486998013339015</v>
      </c>
      <c r="CP29" s="9">
        <f>_xlfn.RANK.EQ(CO29,CO$3:CO$10000,1)</f>
        <v>13</v>
      </c>
      <c r="CQ29" s="9">
        <f>SUM(I29,O29,U29,AA29,AG29,AM29,AS29,AY29,BE29,BK29,BQ29,BW29,CC29,CI29)</f>
        <v>3294</v>
      </c>
      <c r="CR29" s="9">
        <f>_xlfn.RANK.EQ(CQ29,CQ$3:CQ$10000)</f>
        <v>41</v>
      </c>
      <c r="CS29" s="23"/>
      <c r="CT29" s="25"/>
      <c r="CU29" s="24">
        <f>_xlfn.STDEV.S(F29,L29,R29,X29,AD29,AJ29,AP29,AV29,BB29,BH29,BN29,BT29,BZ29,CF29)</f>
        <v>22.677504950263614</v>
      </c>
      <c r="CV29" s="21">
        <f>_xlfn.RANK.EQ(CU29,CU$3:CU$10000,1)</f>
        <v>95</v>
      </c>
      <c r="CW29" s="24">
        <f>_xlfn.STDEV.S(H29,N29,T29,Z29,AF29,AL29,AR29,AX29,BD29,BJ29,BP29,BV29,CB29,CH29)</f>
        <v>31.01018974678917</v>
      </c>
      <c r="CX29" s="21">
        <f>_xlfn.RANK.EQ(CW29,CW$3:CW$10000,1)</f>
        <v>103</v>
      </c>
      <c r="CY29" s="24">
        <f>_xlfn.STDEV.S(J29,P29,V29,AB29,AH29,AN29,AT29,AZ29,BF29,BL29,BR29,BX29,CD29,CJ29)</f>
        <v>20.428917233682736</v>
      </c>
      <c r="CZ29" s="21">
        <f>_xlfn.RANK.EQ(CY29,CY$3:CY$10000,1)</f>
        <v>89</v>
      </c>
      <c r="DA29">
        <f>SUM(COUNTIF(E29,"&gt;0"),COUNTIF(K29,"&gt;0"),COUNTIF(Q29,"&gt;0"),COUNTIF(W29,"&gt;0"),COUNTIF(AC29,"&gt;0"),COUNTIF(AI29,"&gt;0"),COUNTIF(AO29,"&gt;0"),COUNTIF(AU29,"&gt;0"),COUNTIF(BA29,"&gt;0"),COUNTIF(BG29,"&gt;0"),COUNTIF(BM29,"&gt;0"),COUNTIF(BS29,"&gt;0"),COUNTIF(BY29,"&gt;0"),COUNTIF(CE29,"&gt;0"))</f>
        <v>12</v>
      </c>
    </row>
    <row r="30" spans="1:105" x14ac:dyDescent="0.3">
      <c r="B30" t="s">
        <v>29</v>
      </c>
      <c r="C30" s="18" t="s">
        <v>109</v>
      </c>
      <c r="D30" s="4">
        <f>CN30*$CN$1+CP30*$CP$1+CR30*$CR$1</f>
        <v>29.2</v>
      </c>
      <c r="E30" s="29">
        <f>IFERROR(_xlfn.XLOOKUP(B30,'w1'!$B:$B,'w1'!$C:$C),0)</f>
        <v>30.7</v>
      </c>
      <c r="F30" s="30">
        <f>_xlfn.RANK.EQ(E30,E$3:E$10000,0)</f>
        <v>26</v>
      </c>
      <c r="G30" s="31">
        <f>IFERROR(_xlfn.XLOOKUP(B30,'w1'!$B:$B,'w1'!$F:$F),1)</f>
        <v>0.25208333333333333</v>
      </c>
      <c r="H30" s="30">
        <f>_xlfn.RANK.EQ(G30,G$3:G$10000,1)</f>
        <v>20</v>
      </c>
      <c r="I30" s="30">
        <f>IFERROR(IF(_xlfn.XLOOKUP(B30,'w1'!$B:$B,'w1'!$G:$G)="--",0,_xlfn.XLOOKUP(B30,'w1'!$B:$B,'w1'!$G:$G)),0)</f>
        <v>327</v>
      </c>
      <c r="J30" s="30">
        <f>_xlfn.RANK.EQ(I30,I$3:I$10000,0)</f>
        <v>29</v>
      </c>
      <c r="K30" s="34">
        <f>IFERROR(_xlfn.XLOOKUP(B30,'w2'!$B:$B,'w2'!$C:$C),0)</f>
        <v>22.4</v>
      </c>
      <c r="L30" s="35">
        <f>_xlfn.RANK.EQ(K30,K$3:K$10000,0)</f>
        <v>40</v>
      </c>
      <c r="M30" s="36">
        <f>IFERROR(_xlfn.XLOOKUP(B30,'w2'!$B:$B,'w2'!$F:$F),1)</f>
        <v>0.32083333333333336</v>
      </c>
      <c r="N30" s="35">
        <f>_xlfn.RANK.EQ(M30,M$3:M$10000,1)</f>
        <v>52</v>
      </c>
      <c r="O30" s="35">
        <f>IFERROR(IF(_xlfn.XLOOKUP(B30,'w2'!$B:$B,'w2'!$G:$G)="--",0,_xlfn.XLOOKUP(B30,'w2'!$B:$B,'w2'!$G:$G)),0)</f>
        <v>454</v>
      </c>
      <c r="P30" s="35">
        <f>_xlfn.RANK.EQ(O30,O$3:O$10000,0)</f>
        <v>19</v>
      </c>
      <c r="Q30" s="39">
        <f>IFERROR(_xlfn.XLOOKUP(B30,'w3'!$B:$B,'w3'!$C:$C),0)</f>
        <v>22.6</v>
      </c>
      <c r="R30" s="40">
        <f>_xlfn.RANK.EQ(Q30,Q$3:Q$10000,0)</f>
        <v>41</v>
      </c>
      <c r="S30" s="41">
        <f>IFERROR(_xlfn.XLOOKUP(B30,'w3'!$B:$B,'w3'!$F:$F),1)</f>
        <v>0.30069444444444443</v>
      </c>
      <c r="T30" s="40">
        <f>_xlfn.RANK.EQ(S30,S$3:S$10000,1)</f>
        <v>55</v>
      </c>
      <c r="U30" s="40">
        <f>IFERROR(IF(_xlfn.XLOOKUP(B30,'w3'!$B:$B,'w3'!$G:$G)="--",0,_xlfn.XLOOKUP(B30,'w3'!$B:$B,'w3'!$G:$G)),0)</f>
        <v>307</v>
      </c>
      <c r="V30" s="40">
        <f>_xlfn.RANK.EQ(U30,U$3:U$10000,0)</f>
        <v>28</v>
      </c>
      <c r="W30" s="44">
        <f>IFERROR(_xlfn.XLOOKUP(B30,'w4'!$B:$B,'w4'!$C:$C),0)</f>
        <v>20.7</v>
      </c>
      <c r="X30" s="45">
        <f>_xlfn.RANK.EQ(W30,W$3:W$10000,0)</f>
        <v>39</v>
      </c>
      <c r="Y30" s="46">
        <f>IFERROR(_xlfn.XLOOKUP(B30,'w4'!$B:$B,'w4'!$F:$F),1)</f>
        <v>0.32847222222222222</v>
      </c>
      <c r="Z30" s="45">
        <f>_xlfn.RANK.EQ(Y30,Y$3:Y$10000,1)</f>
        <v>58</v>
      </c>
      <c r="AA30" s="45">
        <f>IFERROR(IF(_xlfn.XLOOKUP(B30,'w4'!$B:$B,'w4'!$G:$G)="--",0,_xlfn.XLOOKUP(B30,'w4'!$B:$B,'w4'!$G:$G)),0)</f>
        <v>434</v>
      </c>
      <c r="AB30" s="45">
        <f>_xlfn.RANK.EQ(AA30,AA$3:AA$10000,0)</f>
        <v>19</v>
      </c>
      <c r="AC30" s="13">
        <f>IFERROR(_xlfn.XLOOKUP(B30,'w5'!$B:$B,'w5'!$C:$C),0)</f>
        <v>30.1</v>
      </c>
      <c r="AD30" s="12">
        <f>_xlfn.RANK.EQ(AC30,AC$3:AC$10000,0)</f>
        <v>36</v>
      </c>
      <c r="AE30" s="14">
        <f>IFERROR(_xlfn.XLOOKUP(B30,'w5'!$B:$B,'w5'!$F:$F),1)</f>
        <v>0.4548611111111111</v>
      </c>
      <c r="AF30" s="12">
        <f>_xlfn.RANK.EQ(AE30,AE$3:AE$10000,1)</f>
        <v>68</v>
      </c>
      <c r="AG30" s="12">
        <f>IFERROR(IF(_xlfn.XLOOKUP(B30,'w5'!$B:$B,'w5'!$G:$G)="--",0,_xlfn.XLOOKUP(B30,'w5'!$B:$B,'w5'!$G:$G)),0)</f>
        <v>1018</v>
      </c>
      <c r="AH30" s="12">
        <f>_xlfn.RANK.EQ(AG30,AG$3:AG$10000,0)</f>
        <v>15</v>
      </c>
      <c r="AI30" s="51">
        <f>IFERROR(_xlfn.XLOOKUP(B30,'w6'!$B:$B,'w6'!$C:$C),0)</f>
        <v>10.3</v>
      </c>
      <c r="AJ30" s="50">
        <f>_xlfn.RANK.EQ(AI30,AI$3:AI$10000,0)</f>
        <v>45</v>
      </c>
      <c r="AK30" s="52">
        <f>IFERROR(_xlfn.XLOOKUP(B30,'w6'!$B:$B,'w6'!$F:$F),1)</f>
        <v>0.3888888888888889</v>
      </c>
      <c r="AL30" s="50">
        <f>_xlfn.RANK.EQ(AK30,AK$3:AK$10000,1)</f>
        <v>58</v>
      </c>
      <c r="AM30" s="50">
        <f>IFERROR(IF(_xlfn.XLOOKUP(B30,'w6'!$B:$B,'w6'!$G:$G)="--",0,_xlfn.XLOOKUP(B30,'w6'!$B:$B,'w6'!$G:$G)),0)</f>
        <v>297</v>
      </c>
      <c r="AN30" s="50">
        <f>_xlfn.RANK.EQ(AM30,AM$3:AM$10000,0)</f>
        <v>27</v>
      </c>
      <c r="AO30" s="56">
        <f>IFERROR(_xlfn.XLOOKUP(B30,'w7'!$B:$B,'w7'!$C:$C),0)</f>
        <v>30.3</v>
      </c>
      <c r="AP30" s="57">
        <f>_xlfn.RANK.EQ(AO30,AO$3:AO$10000,0)</f>
        <v>25</v>
      </c>
      <c r="AQ30" s="58">
        <f>IFERROR(_xlfn.XLOOKUP(B30,'w7'!$B:$B,'w7'!$F:$F),1)</f>
        <v>0.3840277777777778</v>
      </c>
      <c r="AR30" s="57">
        <f>_xlfn.RANK.EQ(AQ30,AQ$3:AQ$10000,1)</f>
        <v>61</v>
      </c>
      <c r="AS30" s="57">
        <f>IFERROR(IF(_xlfn.XLOOKUP(B30,'w7'!$B:$B,'w7'!$G:$G)="--",0,_xlfn.XLOOKUP(B30,'w7'!$B:$B,'w7'!$G:$G)),0)</f>
        <v>1178</v>
      </c>
      <c r="AT30" s="57">
        <f>_xlfn.RANK.EQ(AS30,AS$3:AS$10000,0)</f>
        <v>13</v>
      </c>
      <c r="AU30" s="62">
        <f>IFERROR(_xlfn.XLOOKUP(B30,'w8'!$B:$B,'w8'!$C:$C),0)</f>
        <v>39.5</v>
      </c>
      <c r="AV30" s="61">
        <f>_xlfn.RANK.EQ(AU30,AU$3:AU$10000,0)</f>
        <v>22</v>
      </c>
      <c r="AW30" s="63">
        <f>IFERROR(_xlfn.XLOOKUP(B30,'w8'!$B:$B,'w8'!$F:$F),1)</f>
        <v>0.27638888888888891</v>
      </c>
      <c r="AX30" s="61">
        <f>_xlfn.RANK.EQ(AW30,AW$3:AW$10000,1)</f>
        <v>35</v>
      </c>
      <c r="AY30" s="61">
        <f>IFERROR(IF(_xlfn.XLOOKUP(B30,'w8'!$B:$B,'w8'!$G:$G)="--",0,_xlfn.XLOOKUP(B30,'w8'!$B:$B,'w8'!$G:$G)),0)</f>
        <v>428</v>
      </c>
      <c r="AZ30" s="61">
        <f>_xlfn.RANK.EQ(AY30,AY$3:AY$10000,0)</f>
        <v>28</v>
      </c>
      <c r="BA30" s="66">
        <f>IFERROR(_xlfn.XLOOKUP(C30,'w9'!$B:$B,'w9'!$C:$C),0)</f>
        <v>56</v>
      </c>
      <c r="BB30" s="67">
        <f>_xlfn.RANK.EQ(BA30,BA$3:BA$10000,0)</f>
        <v>9</v>
      </c>
      <c r="BC30" s="68">
        <f>IFERROR(_xlfn.XLOOKUP(C30,'w9'!$B:$B,'w9'!$F:$F),1)</f>
        <v>0.34097222222222223</v>
      </c>
      <c r="BD30" s="67">
        <f>_xlfn.RANK.EQ(BC30,BC$3:BC$10000,1)</f>
        <v>61</v>
      </c>
      <c r="BE30" s="67">
        <f>IFERROR(IF(_xlfn.XLOOKUP(C30,'w9'!$B:$B,'w9'!$G:$G)="--",0,_xlfn.XLOOKUP(C30,'w9'!$B:$B,'w9'!$G:$G)),0)</f>
        <v>741</v>
      </c>
      <c r="BF30" s="67">
        <f>_xlfn.RANK.EQ(BE30,BE$3:BE$10000,0)</f>
        <v>15</v>
      </c>
      <c r="BG30" s="72">
        <f>IFERROR(_xlfn.XLOOKUP(B30,'w10'!$B:$B,'w10'!$C:$C),0)</f>
        <v>15.7</v>
      </c>
      <c r="BH30" s="74">
        <f>_xlfn.RANK.EQ(BG30,BG$3:BG$10000,0)</f>
        <v>49</v>
      </c>
      <c r="BI30" s="75">
        <f>IFERROR(_xlfn.XLOOKUP(B30,'w10'!$B:$B,'w10'!$F:$F),1)</f>
        <v>0.26319444444444445</v>
      </c>
      <c r="BJ30" s="74">
        <f>_xlfn.RANK.EQ(BI30,BI$3:BI$10000,1)</f>
        <v>32</v>
      </c>
      <c r="BK30" s="74">
        <f>IFERROR(IF(_xlfn.XLOOKUP(B30,'w10'!$B:$B,'w10'!$G:$G)="--",0,_xlfn.XLOOKUP(B30,'w10'!$B:$B,'w10'!$G:$G)),0)</f>
        <v>130</v>
      </c>
      <c r="BL30" s="74">
        <f>_xlfn.RANK.EQ(BK30,BK$3:BK$10000,0)</f>
        <v>48</v>
      </c>
      <c r="BM30" s="78">
        <f>IFERROR(_xlfn.XLOOKUP(B30,'w11'!$B:$B,'w11'!$C:$C),0)</f>
        <v>41.1</v>
      </c>
      <c r="BN30" s="80">
        <f>_xlfn.RANK.EQ(BM30,BM$3:BM$10000,0)</f>
        <v>18</v>
      </c>
      <c r="BO30" s="81">
        <f>IFERROR(_xlfn.XLOOKUP(B30,'w11'!$B:$B,'w11'!$F:$F),1)</f>
        <v>0.48680555555555555</v>
      </c>
      <c r="BP30" s="80">
        <f>_xlfn.RANK.EQ(BO30,BO$3:BO$10000,1)</f>
        <v>71</v>
      </c>
      <c r="BQ30" s="80">
        <f>IFERROR(IF(_xlfn.XLOOKUP(B30,'w11'!$B:$B,'w11'!$G:$G)="--",0,_xlfn.XLOOKUP(B30,'w11'!$B:$B,'w11'!$G:$G)),0)</f>
        <v>1083</v>
      </c>
      <c r="BR30" s="80">
        <f>_xlfn.RANK.EQ(BQ30,BQ$3:BQ$10000,0)</f>
        <v>6</v>
      </c>
      <c r="BS30" s="83">
        <f>IFERROR(_xlfn.XLOOKUP(B30,'w12'!$B:$B,'w12'!$C:$C),0)</f>
        <v>16</v>
      </c>
      <c r="BT30" s="86">
        <f>_xlfn.RANK.EQ(BS30,BS$3:BS$10000,0)</f>
        <v>46</v>
      </c>
      <c r="BU30" s="87">
        <f>IFERROR(_xlfn.XLOOKUP(B30,'w12'!$B:$B,'w12'!$F:$F),1)</f>
        <v>0.25694444444444442</v>
      </c>
      <c r="BV30" s="86">
        <f>_xlfn.RANK.EQ(BU30,BU$3:BU$10000,1)</f>
        <v>21</v>
      </c>
      <c r="BW30" s="86">
        <f>IFERROR(IF(_xlfn.XLOOKUP(B30,'w12'!$B:$B,'w12'!$G:$G)="--",0,_xlfn.XLOOKUP(B30,'w12'!$B:$B,'w12'!$G:$G)),0)</f>
        <v>97</v>
      </c>
      <c r="BX30" s="86">
        <f>_xlfn.RANK.EQ(BW30,BW$3:BW$10000,0)</f>
        <v>55</v>
      </c>
      <c r="BY30" s="89">
        <f>IFERROR(_xlfn.XLOOKUP(B30,'w13'!$B:$B,'w13'!$C:$C),0)</f>
        <v>18.600000000000001</v>
      </c>
      <c r="BZ30" s="92">
        <f>_xlfn.RANK.EQ(BY30,BY$3:BY$10000,0)</f>
        <v>41</v>
      </c>
      <c r="CA30" s="93">
        <f>IFERROR(_xlfn.XLOOKUP(B30,'w13'!$B:$B,'w13'!$F:$F),1)</f>
        <v>0.2638888888888889</v>
      </c>
      <c r="CB30" s="92">
        <f>_xlfn.RANK.EQ(CA30,CA$3:CA$10000,1)</f>
        <v>30</v>
      </c>
      <c r="CC30" s="92">
        <f>IFERROR(IF(_xlfn.XLOOKUP(B30,'w13'!$B:$B,'w13'!$G:$G)="--",0,_xlfn.XLOOKUP(B30,'w13'!$B:$B,'w13'!$G:$G)),0)</f>
        <v>143</v>
      </c>
      <c r="CD30" s="92">
        <f>_xlfn.RANK.EQ(CC30,CC$3:CC$10000,0)</f>
        <v>42</v>
      </c>
      <c r="CE30" s="95">
        <f>IFERROR(_xlfn.XLOOKUP(B30,'w14'!$B:$B,'w14'!$C:$C),0)</f>
        <v>32.5</v>
      </c>
      <c r="CF30" s="98">
        <f>_xlfn.RANK.EQ(CE30,CE$3:CE$10000,0)</f>
        <v>30</v>
      </c>
      <c r="CG30" s="99">
        <f>IFERROR(_xlfn.XLOOKUP(B30,'w14'!$B:$B,'w14'!$F:$F),1)</f>
        <v>0.38263888888888886</v>
      </c>
      <c r="CH30" s="98">
        <f>_xlfn.RANK.EQ(CG30,CG$3:CG$10000,1)</f>
        <v>62</v>
      </c>
      <c r="CI30" s="98">
        <f>IFERROR(IF(_xlfn.XLOOKUP(B30,'w14'!$B:$B,'w14'!$G:$G)="--",0,_xlfn.XLOOKUP(B30,'w14'!$B:$B,'w14'!$G:$G)),0)</f>
        <v>595</v>
      </c>
      <c r="CJ30" s="98">
        <f>_xlfn.RANK.EQ(CI30,CI$3:CI$10000,0)</f>
        <v>19</v>
      </c>
      <c r="CK30" s="9">
        <f>_xlfn.RANK.EQ(D30,D$3:D$10000,1)</f>
        <v>28</v>
      </c>
      <c r="CL30" s="26" t="s">
        <v>109</v>
      </c>
      <c r="CM30" s="8">
        <f>SUM(E30,K30,Q30,W30,AC30,AI30,AO30,AU30,BA30,BG30,BM30,BS30,BY30,CE30)</f>
        <v>386.50000000000006</v>
      </c>
      <c r="CN30" s="9">
        <f>_xlfn.RANK.EQ(CM30,CM$3:CM$10000)</f>
        <v>28</v>
      </c>
      <c r="CO30" s="15">
        <f>IFERROR(SUM(PRODUCT(E30,G30),PRODUCT(K30,M30),PRODUCT(Q30,S30),PRODUCT(W30,Y30),PRODUCT(AC30,AE30),PRODUCT(AI30,AK30),PRODUCT(AO30,AQ30),PRODUCT(AU30,AW30),PRODUCT(BA30,BC30),PRODUCT(BG30,BI30),PRODUCT(BM30,BO30),PRODUCT(BS30,BU30),PRODUCT(BY30,CA30),PRODUCT(CE30,CG30))/CM30,1)</f>
        <v>0.34530526807531975</v>
      </c>
      <c r="CP30" s="9">
        <f>_xlfn.RANK.EQ(CO30,CO$3:CO$10000,1)</f>
        <v>84</v>
      </c>
      <c r="CQ30" s="9">
        <f>SUM(I30,O30,U30,AA30,AG30,AM30,AS30,AY30,BE30,BK30,BQ30,BW30,CC30,CI30)</f>
        <v>7232</v>
      </c>
      <c r="CR30" s="9">
        <f>_xlfn.RANK.EQ(CQ30,CQ$3:CQ$10000)</f>
        <v>20</v>
      </c>
      <c r="CS30" s="23">
        <f t="shared" ref="CS30:CS34" si="6">_xlfn.RANK.EQ(CT30,CT$3:CT$10000,1)</f>
        <v>11</v>
      </c>
      <c r="CT30" s="25">
        <f t="shared" ref="CT30:CT34" si="7">CV30*$CN$1+CX30*$CP$1+CZ30*$CR$1</f>
        <v>40.950000000000003</v>
      </c>
      <c r="CU30" s="24">
        <f>_xlfn.STDEV.S(F30,L30,R30,X30,AD30,AJ30,AP30,AV30,BB30,BH30,BN30,BT30,BZ30,CF30)</f>
        <v>11.875036148007448</v>
      </c>
      <c r="CV30" s="21">
        <f>_xlfn.RANK.EQ(CU30,CU$3:CU$10000,1)</f>
        <v>40</v>
      </c>
      <c r="CW30" s="24">
        <f>_xlfn.STDEV.S(H30,N30,T30,Z30,AF30,AL30,AR30,AX30,BD30,BJ30,BP30,BV30,CB30,CH30)</f>
        <v>17.496624478220589</v>
      </c>
      <c r="CX30" s="21">
        <f>_xlfn.RANK.EQ(CW30,CW$3:CW$10000,1)</f>
        <v>68</v>
      </c>
      <c r="CY30" s="24">
        <f>_xlfn.STDEV.S(J30,P30,V30,AB30,AH30,AN30,AT30,AZ30,BF30,BL30,BR30,BX30,CD30,CJ30)</f>
        <v>14.024507591598827</v>
      </c>
      <c r="CZ30" s="21">
        <f>_xlfn.RANK.EQ(CY30,CY$3:CY$10000,1)</f>
        <v>50</v>
      </c>
      <c r="DA30">
        <f>SUM(COUNTIF(E30,"&gt;0"),COUNTIF(K30,"&gt;0"),COUNTIF(Q30,"&gt;0"),COUNTIF(W30,"&gt;0"),COUNTIF(AC30,"&gt;0"),COUNTIF(AI30,"&gt;0"),COUNTIF(AO30,"&gt;0"),COUNTIF(AU30,"&gt;0"),COUNTIF(BA30,"&gt;0"),COUNTIF(BG30,"&gt;0"),COUNTIF(BM30,"&gt;0"),COUNTIF(BS30,"&gt;0"),COUNTIF(BY30,"&gt;0"),COUNTIF(CE30,"&gt;0"))</f>
        <v>14</v>
      </c>
    </row>
    <row r="31" spans="1:105" x14ac:dyDescent="0.3">
      <c r="B31" t="s">
        <v>26</v>
      </c>
      <c r="C31" s="18" t="s">
        <v>106</v>
      </c>
      <c r="D31" s="4">
        <f>CN31*$CN$1+CP31*$CP$1+CR31*$CR$1</f>
        <v>29.324999999999996</v>
      </c>
      <c r="E31" s="29">
        <f>IFERROR(_xlfn.XLOOKUP(B31,'w1'!$B:$B,'w1'!$C:$C),0)</f>
        <v>35.200000000000003</v>
      </c>
      <c r="F31" s="30">
        <f>_xlfn.RANK.EQ(E31,E$3:E$10000,0)</f>
        <v>23</v>
      </c>
      <c r="G31" s="31">
        <f>IFERROR(_xlfn.XLOOKUP(B31,'w1'!$B:$B,'w1'!$F:$F),1)</f>
        <v>0.29097222222222224</v>
      </c>
      <c r="H31" s="30">
        <f>_xlfn.RANK.EQ(G31,G$3:G$10000,1)</f>
        <v>51</v>
      </c>
      <c r="I31" s="30">
        <f>IFERROR(IF(_xlfn.XLOOKUP(B31,'w1'!$B:$B,'w1'!$G:$G)="--",0,_xlfn.XLOOKUP(B31,'w1'!$B:$B,'w1'!$G:$G)),0)</f>
        <v>253</v>
      </c>
      <c r="J31" s="30">
        <f>_xlfn.RANK.EQ(I31,I$3:I$10000,0)</f>
        <v>38</v>
      </c>
      <c r="K31" s="34">
        <f>IFERROR(_xlfn.XLOOKUP(B31,'w2'!$B:$B,'w2'!$C:$C),0)</f>
        <v>27</v>
      </c>
      <c r="L31" s="35">
        <f>_xlfn.RANK.EQ(K31,K$3:K$10000,0)</f>
        <v>34</v>
      </c>
      <c r="M31" s="36">
        <f>IFERROR(_xlfn.XLOOKUP(B31,'w2'!$B:$B,'w2'!$F:$F),1)</f>
        <v>0.31041666666666667</v>
      </c>
      <c r="N31" s="35">
        <f>_xlfn.RANK.EQ(M31,M$3:M$10000,1)</f>
        <v>48</v>
      </c>
      <c r="O31" s="35">
        <f>IFERROR(IF(_xlfn.XLOOKUP(B31,'w2'!$B:$B,'w2'!$G:$G)="--",0,_xlfn.XLOOKUP(B31,'w2'!$B:$B,'w2'!$G:$G)),0)</f>
        <v>443</v>
      </c>
      <c r="P31" s="35">
        <f>_xlfn.RANK.EQ(O31,O$3:O$10000,0)</f>
        <v>21</v>
      </c>
      <c r="Q31" s="39">
        <f>IFERROR(_xlfn.XLOOKUP(B31,'w3'!$B:$B,'w3'!$C:$C),0)</f>
        <v>30.3</v>
      </c>
      <c r="R31" s="40">
        <f>_xlfn.RANK.EQ(Q31,Q$3:Q$10000,0)</f>
        <v>29</v>
      </c>
      <c r="S31" s="41">
        <f>IFERROR(_xlfn.XLOOKUP(B31,'w3'!$B:$B,'w3'!$F:$F),1)</f>
        <v>0.25347222222222221</v>
      </c>
      <c r="T31" s="40">
        <f>_xlfn.RANK.EQ(S31,S$3:S$10000,1)</f>
        <v>24</v>
      </c>
      <c r="U31" s="40">
        <f>IFERROR(IF(_xlfn.XLOOKUP(B31,'w3'!$B:$B,'w3'!$G:$G)="--",0,_xlfn.XLOOKUP(B31,'w3'!$B:$B,'w3'!$G:$G)),0)</f>
        <v>0</v>
      </c>
      <c r="V31" s="40">
        <f>_xlfn.RANK.EQ(U31,U$3:U$10000,0)</f>
        <v>80</v>
      </c>
      <c r="W31" s="44">
        <f>IFERROR(_xlfn.XLOOKUP(B31,'w4'!$B:$B,'w4'!$C:$C),0)</f>
        <v>20.2</v>
      </c>
      <c r="X31" s="45">
        <f>_xlfn.RANK.EQ(W31,W$3:W$10000,0)</f>
        <v>40</v>
      </c>
      <c r="Y31" s="46">
        <f>IFERROR(_xlfn.XLOOKUP(B31,'w4'!$B:$B,'w4'!$F:$F),1)</f>
        <v>0.24791666666666667</v>
      </c>
      <c r="Z31" s="45">
        <f>_xlfn.RANK.EQ(Y31,Y$3:Y$10000,1)</f>
        <v>22</v>
      </c>
      <c r="AA31" s="45">
        <f>IFERROR(IF(_xlfn.XLOOKUP(B31,'w4'!$B:$B,'w4'!$G:$G)="--",0,_xlfn.XLOOKUP(B31,'w4'!$B:$B,'w4'!$G:$G)),0)</f>
        <v>0</v>
      </c>
      <c r="AB31" s="45">
        <f>_xlfn.RANK.EQ(AA31,AA$3:AA$10000,0)</f>
        <v>68</v>
      </c>
      <c r="AC31" s="13">
        <f>IFERROR(_xlfn.XLOOKUP(B31,'w5'!$B:$B,'w5'!$C:$C),0)</f>
        <v>18.2</v>
      </c>
      <c r="AD31" s="12">
        <f>_xlfn.RANK.EQ(AC31,AC$3:AC$10000,0)</f>
        <v>52</v>
      </c>
      <c r="AE31" s="14">
        <f>IFERROR(_xlfn.XLOOKUP(B31,'w5'!$B:$B,'w5'!$F:$F),1)</f>
        <v>0.24583333333333332</v>
      </c>
      <c r="AF31" s="12">
        <f>_xlfn.RANK.EQ(AE31,AE$3:AE$10000,1)</f>
        <v>17</v>
      </c>
      <c r="AG31" s="12">
        <f>IFERROR(IF(_xlfn.XLOOKUP(B31,'w5'!$B:$B,'w5'!$G:$G)="--",0,_xlfn.XLOOKUP(B31,'w5'!$B:$B,'w5'!$G:$G)),0)</f>
        <v>0</v>
      </c>
      <c r="AH31" s="12">
        <f>_xlfn.RANK.EQ(AG31,AG$3:AG$10000,0)</f>
        <v>73</v>
      </c>
      <c r="AI31" s="51">
        <f>IFERROR(_xlfn.XLOOKUP(B31,'w6'!$B:$B,'w6'!$C:$C),0)</f>
        <v>27.1</v>
      </c>
      <c r="AJ31" s="50">
        <f>_xlfn.RANK.EQ(AI31,AI$3:AI$10000,0)</f>
        <v>21</v>
      </c>
      <c r="AK31" s="52">
        <f>IFERROR(_xlfn.XLOOKUP(B31,'w6'!$B:$B,'w6'!$F:$F),1)</f>
        <v>0.24444444444444444</v>
      </c>
      <c r="AL31" s="50">
        <f>_xlfn.RANK.EQ(AK31,AK$3:AK$10000,1)</f>
        <v>11</v>
      </c>
      <c r="AM31" s="50">
        <f>IFERROR(IF(_xlfn.XLOOKUP(B31,'w6'!$B:$B,'w6'!$G:$G)="--",0,_xlfn.XLOOKUP(B31,'w6'!$B:$B,'w6'!$G:$G)),0)</f>
        <v>38</v>
      </c>
      <c r="AN31" s="50">
        <f>_xlfn.RANK.EQ(AM31,AM$3:AM$10000,0)</f>
        <v>58</v>
      </c>
      <c r="AO31" s="56">
        <f>IFERROR(_xlfn.XLOOKUP(B31,'w7'!$B:$B,'w7'!$C:$C),0)</f>
        <v>17.100000000000001</v>
      </c>
      <c r="AP31" s="57">
        <f>_xlfn.RANK.EQ(AO31,AO$3:AO$10000,0)</f>
        <v>48</v>
      </c>
      <c r="AQ31" s="58">
        <f>IFERROR(_xlfn.XLOOKUP(B31,'w7'!$B:$B,'w7'!$F:$F),1)</f>
        <v>0.23125000000000001</v>
      </c>
      <c r="AR31" s="57">
        <f>_xlfn.RANK.EQ(AQ31,AQ$3:AQ$10000,1)</f>
        <v>11</v>
      </c>
      <c r="AS31" s="57">
        <f>IFERROR(IF(_xlfn.XLOOKUP(B31,'w7'!$B:$B,'w7'!$G:$G)="--",0,_xlfn.XLOOKUP(B31,'w7'!$B:$B,'w7'!$G:$G)),0)</f>
        <v>110</v>
      </c>
      <c r="AT31" s="57">
        <f>_xlfn.RANK.EQ(AS31,AS$3:AS$10000,0)</f>
        <v>51</v>
      </c>
      <c r="AU31" s="62">
        <f>IFERROR(_xlfn.XLOOKUP(B31,'w8'!$B:$B,'w8'!$C:$C),0)</f>
        <v>25</v>
      </c>
      <c r="AV31" s="61">
        <f>_xlfn.RANK.EQ(AU31,AU$3:AU$10000,0)</f>
        <v>41</v>
      </c>
      <c r="AW31" s="63">
        <f>IFERROR(_xlfn.XLOOKUP(B31,'w8'!$B:$B,'w8'!$F:$F),1)</f>
        <v>0.26250000000000001</v>
      </c>
      <c r="AX31" s="61">
        <f>_xlfn.RANK.EQ(AW31,AW$3:AW$10000,1)</f>
        <v>26</v>
      </c>
      <c r="AY31" s="61">
        <f>IFERROR(IF(_xlfn.XLOOKUP(B31,'w8'!$B:$B,'w8'!$G:$G)="--",0,_xlfn.XLOOKUP(B31,'w8'!$B:$B,'w8'!$G:$G)),0)</f>
        <v>518</v>
      </c>
      <c r="AZ31" s="61">
        <f>_xlfn.RANK.EQ(AY31,AY$3:AY$10000,0)</f>
        <v>22</v>
      </c>
      <c r="BA31" s="66">
        <f>IFERROR(_xlfn.XLOOKUP(C31,'w9'!$B:$B,'w9'!$C:$C),0)</f>
        <v>48.2</v>
      </c>
      <c r="BB31" s="67">
        <f>_xlfn.RANK.EQ(BA31,BA$3:BA$10000,0)</f>
        <v>17</v>
      </c>
      <c r="BC31" s="68">
        <f>IFERROR(_xlfn.XLOOKUP(C31,'w9'!$B:$B,'w9'!$F:$F),1)</f>
        <v>0.27847222222222223</v>
      </c>
      <c r="BD31" s="67">
        <f>_xlfn.RANK.EQ(BC31,BC$3:BC$10000,1)</f>
        <v>28</v>
      </c>
      <c r="BE31" s="67">
        <f>IFERROR(IF(_xlfn.XLOOKUP(C31,'w9'!$B:$B,'w9'!$G:$G)="--",0,_xlfn.XLOOKUP(C31,'w9'!$B:$B,'w9'!$G:$G)),0)</f>
        <v>817</v>
      </c>
      <c r="BF31" s="67">
        <f>_xlfn.RANK.EQ(BE31,BE$3:BE$10000,0)</f>
        <v>12</v>
      </c>
      <c r="BG31" s="72">
        <f>IFERROR(_xlfn.XLOOKUP(B31,'w10'!$B:$B,'w10'!$C:$C),0)</f>
        <v>31.1</v>
      </c>
      <c r="BH31" s="74">
        <f>_xlfn.RANK.EQ(BG31,BG$3:BG$10000,0)</f>
        <v>28</v>
      </c>
      <c r="BI31" s="75">
        <f>IFERROR(_xlfn.XLOOKUP(B31,'w10'!$B:$B,'w10'!$F:$F),1)</f>
        <v>0.23055555555555557</v>
      </c>
      <c r="BJ31" s="74">
        <f>_xlfn.RANK.EQ(BI31,BI$3:BI$10000,1)</f>
        <v>8</v>
      </c>
      <c r="BK31" s="74">
        <f>IFERROR(IF(_xlfn.XLOOKUP(B31,'w10'!$B:$B,'w10'!$G:$G)="--",0,_xlfn.XLOOKUP(B31,'w10'!$B:$B,'w10'!$G:$G)),0)</f>
        <v>33</v>
      </c>
      <c r="BL31" s="74">
        <f>_xlfn.RANK.EQ(BK31,BK$3:BK$10000,0)</f>
        <v>70</v>
      </c>
      <c r="BM31" s="78">
        <f>IFERROR(_xlfn.XLOOKUP(B31,'w11'!$B:$B,'w11'!$C:$C),0)</f>
        <v>20.2</v>
      </c>
      <c r="BN31" s="80">
        <f>_xlfn.RANK.EQ(BM31,BM$3:BM$10000,0)</f>
        <v>43</v>
      </c>
      <c r="BO31" s="81">
        <f>IFERROR(_xlfn.XLOOKUP(B31,'w11'!$B:$B,'w11'!$F:$F),1)</f>
        <v>0.22916666666666666</v>
      </c>
      <c r="BP31" s="80">
        <f>_xlfn.RANK.EQ(BO31,BO$3:BO$10000,1)</f>
        <v>11</v>
      </c>
      <c r="BQ31" s="80">
        <f>IFERROR(IF(_xlfn.XLOOKUP(B31,'w11'!$B:$B,'w11'!$G:$G)="--",0,_xlfn.XLOOKUP(B31,'w11'!$B:$B,'w11'!$G:$G)),0)</f>
        <v>94</v>
      </c>
      <c r="BR31" s="80">
        <f>_xlfn.RANK.EQ(BQ31,BQ$3:BQ$10000,0)</f>
        <v>57</v>
      </c>
      <c r="BS31" s="83">
        <f>IFERROR(_xlfn.XLOOKUP(B31,'w12'!$B:$B,'w12'!$C:$C),0)</f>
        <v>41.5</v>
      </c>
      <c r="BT31" s="86">
        <f>_xlfn.RANK.EQ(BS31,BS$3:BS$10000,0)</f>
        <v>12</v>
      </c>
      <c r="BU31" s="87">
        <f>IFERROR(_xlfn.XLOOKUP(B31,'w12'!$B:$B,'w12'!$F:$F),1)</f>
        <v>0.22638888888888889</v>
      </c>
      <c r="BV31" s="86">
        <f>_xlfn.RANK.EQ(BU31,BU$3:BU$10000,1)</f>
        <v>6</v>
      </c>
      <c r="BW31" s="86">
        <f>IFERROR(IF(_xlfn.XLOOKUP(B31,'w12'!$B:$B,'w12'!$G:$G)="--",0,_xlfn.XLOOKUP(B31,'w12'!$B:$B,'w12'!$G:$G)),0)</f>
        <v>17</v>
      </c>
      <c r="BX31" s="86">
        <f>_xlfn.RANK.EQ(BW31,BW$3:BW$10000,0)</f>
        <v>70</v>
      </c>
      <c r="BY31" s="89">
        <f>IFERROR(_xlfn.XLOOKUP(B31,'w13'!$B:$B,'w13'!$C:$C),0)</f>
        <v>22.6</v>
      </c>
      <c r="BZ31" s="92">
        <f>_xlfn.RANK.EQ(BY31,BY$3:BY$10000,0)</f>
        <v>35</v>
      </c>
      <c r="CA31" s="93">
        <f>IFERROR(_xlfn.XLOOKUP(B31,'w13'!$B:$B,'w13'!$F:$F),1)</f>
        <v>0.23680555555555555</v>
      </c>
      <c r="CB31" s="92">
        <f>_xlfn.RANK.EQ(CA31,CA$3:CA$10000,1)</f>
        <v>16</v>
      </c>
      <c r="CC31" s="92">
        <f>IFERROR(IF(_xlfn.XLOOKUP(B31,'w13'!$B:$B,'w13'!$G:$G)="--",0,_xlfn.XLOOKUP(B31,'w13'!$B:$B,'w13'!$G:$G)),0)</f>
        <v>91</v>
      </c>
      <c r="CD31" s="92">
        <f>_xlfn.RANK.EQ(CC31,CC$3:CC$10000,0)</f>
        <v>54</v>
      </c>
      <c r="CE31" s="95">
        <f>IFERROR(_xlfn.XLOOKUP(B31,'w14'!$B:$B,'w14'!$C:$C),0)</f>
        <v>14.1</v>
      </c>
      <c r="CF31" s="98">
        <f>_xlfn.RANK.EQ(CE31,CE$3:CE$10000,0)</f>
        <v>51</v>
      </c>
      <c r="CG31" s="99">
        <f>IFERROR(_xlfn.XLOOKUP(B31,'w14'!$B:$B,'w14'!$F:$F),1)</f>
        <v>0.24027777777777778</v>
      </c>
      <c r="CH31" s="98">
        <f>_xlfn.RANK.EQ(CG31,CG$3:CG$10000,1)</f>
        <v>13</v>
      </c>
      <c r="CI31" s="98">
        <f>IFERROR(IF(_xlfn.XLOOKUP(B31,'w14'!$B:$B,'w14'!$G:$G)="--",0,_xlfn.XLOOKUP(B31,'w14'!$B:$B,'w14'!$G:$G)),0)</f>
        <v>34</v>
      </c>
      <c r="CJ31" s="98">
        <f>_xlfn.RANK.EQ(CI31,CI$3:CI$10000,0)</f>
        <v>60</v>
      </c>
      <c r="CK31" s="9">
        <f>_xlfn.RANK.EQ(D31,D$3:D$10000,1)</f>
        <v>29</v>
      </c>
      <c r="CL31" s="26" t="s">
        <v>106</v>
      </c>
      <c r="CM31" s="8">
        <f>SUM(E31,K31,Q31,W31,AC31,AI31,AO31,AU31,BA31,BG31,BM31,BS31,BY31,CE31)</f>
        <v>377.80000000000007</v>
      </c>
      <c r="CN31" s="9">
        <f>_xlfn.RANK.EQ(CM31,CM$3:CM$10000)</f>
        <v>29</v>
      </c>
      <c r="CO31" s="15">
        <f>IFERROR(SUM(PRODUCT(E31,G31),PRODUCT(K31,M31),PRODUCT(Q31,S31),PRODUCT(W31,Y31),PRODUCT(AC31,AE31),PRODUCT(AI31,AK31),PRODUCT(AO31,AQ31),PRODUCT(AU31,AW31),PRODUCT(BA31,BC31),PRODUCT(BG31,BI31),PRODUCT(BM31,BO31),PRODUCT(BS31,BU31),PRODUCT(BY31,CA31),PRODUCT(CE31,CG31))/CM31,1)</f>
        <v>0.25485375860243514</v>
      </c>
      <c r="CP31" s="9">
        <f>_xlfn.RANK.EQ(CO31,CO$3:CO$10000,1)</f>
        <v>23</v>
      </c>
      <c r="CQ31" s="9">
        <f>SUM(I31,O31,U31,AA31,AG31,AM31,AS31,AY31,BE31,BK31,BQ31,BW31,CC31,CI31)</f>
        <v>2448</v>
      </c>
      <c r="CR31" s="9">
        <f>_xlfn.RANK.EQ(CQ31,CQ$3:CQ$10000)</f>
        <v>48</v>
      </c>
      <c r="CS31" s="23">
        <f t="shared" si="6"/>
        <v>14</v>
      </c>
      <c r="CT31" s="25">
        <f t="shared" si="7"/>
        <v>46.325000000000003</v>
      </c>
      <c r="CU31" s="24">
        <f>_xlfn.STDEV.S(F31,L31,R31,X31,AD31,AJ31,AP31,AV31,BB31,BH31,BN31,BT31,BZ31,CF31)</f>
        <v>12.708913545873367</v>
      </c>
      <c r="CV31" s="21">
        <f>_xlfn.RANK.EQ(CU31,CU$3:CU$10000,1)</f>
        <v>45</v>
      </c>
      <c r="CW31" s="24">
        <f>_xlfn.STDEV.S(H31,N31,T31,Z31,AF31,AL31,AR31,AX31,BD31,BJ31,BP31,BV31,CB31,CH31)</f>
        <v>13.899956518233832</v>
      </c>
      <c r="CX31" s="21">
        <f>_xlfn.RANK.EQ(CW31,CW$3:CW$10000,1)</f>
        <v>49</v>
      </c>
      <c r="CY31" s="24">
        <f>_xlfn.STDEV.S(J31,P31,V31,AB31,AH31,AN31,AT31,AZ31,BF31,BL31,BR31,BX31,CD31,CJ31)</f>
        <v>21.327895369190109</v>
      </c>
      <c r="CZ31" s="21">
        <f>_xlfn.RANK.EQ(CY31,CY$3:CY$10000,1)</f>
        <v>94</v>
      </c>
      <c r="DA31">
        <f>SUM(COUNTIF(E31,"&gt;0"),COUNTIF(K31,"&gt;0"),COUNTIF(Q31,"&gt;0"),COUNTIF(W31,"&gt;0"),COUNTIF(AC31,"&gt;0"),COUNTIF(AI31,"&gt;0"),COUNTIF(AO31,"&gt;0"),COUNTIF(AU31,"&gt;0"),COUNTIF(BA31,"&gt;0"),COUNTIF(BG31,"&gt;0"),COUNTIF(BM31,"&gt;0"),COUNTIF(BS31,"&gt;0"),COUNTIF(BY31,"&gt;0"),COUNTIF(CE31,"&gt;0"))</f>
        <v>14</v>
      </c>
    </row>
    <row r="32" spans="1:105" x14ac:dyDescent="0.3">
      <c r="B32" t="s">
        <v>54</v>
      </c>
      <c r="C32" s="18" t="s">
        <v>456</v>
      </c>
      <c r="D32" s="4">
        <f>CN32*$CN$1+CP32*$CP$1+CR32*$CR$1</f>
        <v>30.15</v>
      </c>
      <c r="E32" s="29">
        <f>IFERROR(_xlfn.XLOOKUP(B32,'w1'!$B:$B,'w1'!$C:$C),0)</f>
        <v>16</v>
      </c>
      <c r="F32" s="30">
        <f>_xlfn.RANK.EQ(E32,E$3:E$10000,0)</f>
        <v>51</v>
      </c>
      <c r="G32" s="31">
        <f>IFERROR(_xlfn.XLOOKUP(B32,'w1'!$B:$B,'w1'!$F:$F),1)</f>
        <v>0.25069444444444444</v>
      </c>
      <c r="H32" s="30">
        <f>_xlfn.RANK.EQ(G32,G$3:G$10000,1)</f>
        <v>19</v>
      </c>
      <c r="I32" s="30">
        <f>IFERROR(IF(_xlfn.XLOOKUP(B32,'w1'!$B:$B,'w1'!$G:$G)="--",0,_xlfn.XLOOKUP(B32,'w1'!$B:$B,'w1'!$G:$G)),0)</f>
        <v>14</v>
      </c>
      <c r="J32" s="30">
        <f>_xlfn.RANK.EQ(I32,I$3:I$10000,0)</f>
        <v>75</v>
      </c>
      <c r="K32" s="34">
        <f>IFERROR(_xlfn.XLOOKUP(B32,'w2'!$B:$B,'w2'!$C:$C),0)</f>
        <v>36</v>
      </c>
      <c r="L32" s="35">
        <f>_xlfn.RANK.EQ(K32,K$3:K$10000,0)</f>
        <v>19</v>
      </c>
      <c r="M32" s="36">
        <f>IFERROR(_xlfn.XLOOKUP(B32,'w2'!$B:$B,'w2'!$F:$F),1)</f>
        <v>0.31180555555555556</v>
      </c>
      <c r="N32" s="35">
        <f>_xlfn.RANK.EQ(M32,M$3:M$10000,1)</f>
        <v>50</v>
      </c>
      <c r="O32" s="35">
        <f>IFERROR(IF(_xlfn.XLOOKUP(B32,'w2'!$B:$B,'w2'!$G:$G)="--",0,_xlfn.XLOOKUP(B32,'w2'!$B:$B,'w2'!$G:$G)),0)</f>
        <v>795</v>
      </c>
      <c r="P32" s="35">
        <f>_xlfn.RANK.EQ(O32,O$3:O$10000,0)</f>
        <v>10</v>
      </c>
      <c r="Q32" s="39">
        <f>IFERROR(_xlfn.XLOOKUP(B32,'w3'!$B:$B,'w3'!$C:$C),0)</f>
        <v>28.4</v>
      </c>
      <c r="R32" s="40">
        <f>_xlfn.RANK.EQ(Q32,Q$3:Q$10000,0)</f>
        <v>33</v>
      </c>
      <c r="S32" s="41">
        <f>IFERROR(_xlfn.XLOOKUP(B32,'w3'!$B:$B,'w3'!$F:$F),1)</f>
        <v>0.26041666666666669</v>
      </c>
      <c r="T32" s="40">
        <f>_xlfn.RANK.EQ(S32,S$3:S$10000,1)</f>
        <v>29</v>
      </c>
      <c r="U32" s="40">
        <f>IFERROR(IF(_xlfn.XLOOKUP(B32,'w3'!$B:$B,'w3'!$G:$G)="--",0,_xlfn.XLOOKUP(B32,'w3'!$B:$B,'w3'!$G:$G)),0)</f>
        <v>100</v>
      </c>
      <c r="V32" s="40">
        <f>_xlfn.RANK.EQ(U32,U$3:U$10000,0)</f>
        <v>58</v>
      </c>
      <c r="W32" s="44">
        <f>IFERROR(_xlfn.XLOOKUP(B32,'w4'!$B:$B,'w4'!$C:$C),0)</f>
        <v>16.8</v>
      </c>
      <c r="X32" s="45">
        <f>_xlfn.RANK.EQ(W32,W$3:W$10000,0)</f>
        <v>42</v>
      </c>
      <c r="Y32" s="46">
        <f>IFERROR(_xlfn.XLOOKUP(B32,'w4'!$B:$B,'w4'!$F:$F),1)</f>
        <v>0.24583333333333332</v>
      </c>
      <c r="Z32" s="45">
        <f>_xlfn.RANK.EQ(Y32,Y$3:Y$10000,1)</f>
        <v>20</v>
      </c>
      <c r="AA32" s="45">
        <f>IFERROR(IF(_xlfn.XLOOKUP(B32,'w4'!$B:$B,'w4'!$G:$G)="--",0,_xlfn.XLOOKUP(B32,'w4'!$B:$B,'w4'!$G:$G)),0)</f>
        <v>25</v>
      </c>
      <c r="AB32" s="45">
        <f>_xlfn.RANK.EQ(AA32,AA$3:AA$10000,0)</f>
        <v>64</v>
      </c>
      <c r="AC32" s="13">
        <f>IFERROR(_xlfn.XLOOKUP(B32,'w5'!$B:$B,'w5'!$C:$C),0)</f>
        <v>17.100000000000001</v>
      </c>
      <c r="AD32" s="12">
        <f>_xlfn.RANK.EQ(AC32,AC$3:AC$10000,0)</f>
        <v>57</v>
      </c>
      <c r="AE32" s="14">
        <f>IFERROR(_xlfn.XLOOKUP(B32,'w5'!$B:$B,'w5'!$F:$F),1)</f>
        <v>0.25555555555555554</v>
      </c>
      <c r="AF32" s="12">
        <f>_xlfn.RANK.EQ(AE32,AE$3:AE$10000,1)</f>
        <v>23</v>
      </c>
      <c r="AG32" s="12">
        <f>IFERROR(IF(_xlfn.XLOOKUP(B32,'w5'!$B:$B,'w5'!$G:$G)="--",0,_xlfn.XLOOKUP(B32,'w5'!$B:$B,'w5'!$G:$G)),0)</f>
        <v>88</v>
      </c>
      <c r="AH32" s="12">
        <f>_xlfn.RANK.EQ(AG32,AG$3:AG$10000,0)</f>
        <v>64</v>
      </c>
      <c r="AI32" s="51">
        <f>IFERROR(_xlfn.XLOOKUP(B32,'w6'!$B:$B,'w6'!$C:$C),0)</f>
        <v>20.2</v>
      </c>
      <c r="AJ32" s="50">
        <f>_xlfn.RANK.EQ(AI32,AI$3:AI$10000,0)</f>
        <v>32</v>
      </c>
      <c r="AK32" s="52">
        <f>IFERROR(_xlfn.XLOOKUP(B32,'w6'!$B:$B,'w6'!$F:$F),1)</f>
        <v>0.26527777777777778</v>
      </c>
      <c r="AL32" s="50">
        <f>_xlfn.RANK.EQ(AK32,AK$3:AK$10000,1)</f>
        <v>24</v>
      </c>
      <c r="AM32" s="50">
        <f>IFERROR(IF(_xlfn.XLOOKUP(B32,'w6'!$B:$B,'w6'!$G:$G)="--",0,_xlfn.XLOOKUP(B32,'w6'!$B:$B,'w6'!$G:$G)),0)</f>
        <v>187</v>
      </c>
      <c r="AN32" s="50">
        <f>_xlfn.RANK.EQ(AM32,AM$3:AM$10000,0)</f>
        <v>37</v>
      </c>
      <c r="AO32" s="56">
        <f>IFERROR(_xlfn.XLOOKUP(B32,'w7'!$B:$B,'w7'!$C:$C),0)</f>
        <v>25</v>
      </c>
      <c r="AP32" s="57">
        <f>_xlfn.RANK.EQ(AO32,AO$3:AO$10000,0)</f>
        <v>33</v>
      </c>
      <c r="AQ32" s="58">
        <f>IFERROR(_xlfn.XLOOKUP(B32,'w7'!$B:$B,'w7'!$F:$F),1)</f>
        <v>0.2902777777777778</v>
      </c>
      <c r="AR32" s="57">
        <f>_xlfn.RANK.EQ(AQ32,AQ$3:AQ$10000,1)</f>
        <v>39</v>
      </c>
      <c r="AS32" s="57">
        <f>IFERROR(IF(_xlfn.XLOOKUP(B32,'w7'!$B:$B,'w7'!$G:$G)="--",0,_xlfn.XLOOKUP(B32,'w7'!$B:$B,'w7'!$G:$G)),0)</f>
        <v>298</v>
      </c>
      <c r="AT32" s="57">
        <f>_xlfn.RANK.EQ(AS32,AS$3:AS$10000,0)</f>
        <v>30</v>
      </c>
      <c r="AU32" s="62">
        <f>IFERROR(_xlfn.XLOOKUP(B32,'w8'!$B:$B,'w8'!$C:$C),0)</f>
        <v>26.3</v>
      </c>
      <c r="AV32" s="61">
        <f>_xlfn.RANK.EQ(AU32,AU$3:AU$10000,0)</f>
        <v>40</v>
      </c>
      <c r="AW32" s="63">
        <f>IFERROR(_xlfn.XLOOKUP(B32,'w8'!$B:$B,'w8'!$F:$F),1)</f>
        <v>0.25763888888888886</v>
      </c>
      <c r="AX32" s="61">
        <f>_xlfn.RANK.EQ(AW32,AW$3:AW$10000,1)</f>
        <v>20</v>
      </c>
      <c r="AY32" s="61">
        <f>IFERROR(IF(_xlfn.XLOOKUP(B32,'w8'!$B:$B,'w8'!$G:$G)="--",0,_xlfn.XLOOKUP(B32,'w8'!$B:$B,'w8'!$G:$G)),0)</f>
        <v>25</v>
      </c>
      <c r="AZ32" s="61">
        <f>_xlfn.RANK.EQ(AY32,AY$3:AY$10000,0)</f>
        <v>64</v>
      </c>
      <c r="BA32" s="66">
        <f>IFERROR(_xlfn.XLOOKUP(C32,'w9'!$B:$B,'w9'!$C:$C),0)</f>
        <v>35.1</v>
      </c>
      <c r="BB32" s="67">
        <f>_xlfn.RANK.EQ(BA32,BA$3:BA$10000,0)</f>
        <v>29</v>
      </c>
      <c r="BC32" s="68">
        <f>IFERROR(_xlfn.XLOOKUP(C32,'w9'!$B:$B,'w9'!$F:$F),1)</f>
        <v>0.27847222222222223</v>
      </c>
      <c r="BD32" s="67">
        <f>_xlfn.RANK.EQ(BC32,BC$3:BC$10000,1)</f>
        <v>28</v>
      </c>
      <c r="BE32" s="67">
        <f>IFERROR(IF(_xlfn.XLOOKUP(C32,'w9'!$B:$B,'w9'!$G:$G)="--",0,_xlfn.XLOOKUP(C32,'w9'!$B:$B,'w9'!$G:$G)),0)</f>
        <v>515</v>
      </c>
      <c r="BF32" s="67">
        <f>_xlfn.RANK.EQ(BE32,BE$3:BE$10000,0)</f>
        <v>25</v>
      </c>
      <c r="BG32" s="72">
        <f>IFERROR(_xlfn.XLOOKUP(B32,'w10'!$B:$B,'w10'!$C:$C),0)</f>
        <v>45.9</v>
      </c>
      <c r="BH32" s="74">
        <f>_xlfn.RANK.EQ(BG32,BG$3:BG$10000,0)</f>
        <v>16</v>
      </c>
      <c r="BI32" s="75">
        <f>IFERROR(_xlfn.XLOOKUP(B32,'w10'!$B:$B,'w10'!$F:$F),1)</f>
        <v>0.28055555555555556</v>
      </c>
      <c r="BJ32" s="74">
        <f>_xlfn.RANK.EQ(BI32,BI$3:BI$10000,1)</f>
        <v>40</v>
      </c>
      <c r="BK32" s="74">
        <f>IFERROR(IF(_xlfn.XLOOKUP(B32,'w10'!$B:$B,'w10'!$G:$G)="--",0,_xlfn.XLOOKUP(B32,'w10'!$B:$B,'w10'!$G:$G)),0)</f>
        <v>764</v>
      </c>
      <c r="BL32" s="74">
        <f>_xlfn.RANK.EQ(BK32,BK$3:BK$10000,0)</f>
        <v>15</v>
      </c>
      <c r="BM32" s="78">
        <f>IFERROR(_xlfn.XLOOKUP(B32,'w11'!$B:$B,'w11'!$C:$C),0)</f>
        <v>16.7</v>
      </c>
      <c r="BN32" s="80">
        <f>_xlfn.RANK.EQ(BM32,BM$3:BM$10000,0)</f>
        <v>50</v>
      </c>
      <c r="BO32" s="81">
        <f>IFERROR(_xlfn.XLOOKUP(B32,'w11'!$B:$B,'w11'!$F:$F),1)</f>
        <v>0.27013888888888887</v>
      </c>
      <c r="BP32" s="80">
        <f>_xlfn.RANK.EQ(BO32,BO$3:BO$10000,1)</f>
        <v>35</v>
      </c>
      <c r="BQ32" s="80">
        <f>IFERROR(IF(_xlfn.XLOOKUP(B32,'w11'!$B:$B,'w11'!$G:$G)="--",0,_xlfn.XLOOKUP(B32,'w11'!$B:$B,'w11'!$G:$G)),0)</f>
        <v>212</v>
      </c>
      <c r="BR32" s="80">
        <f>_xlfn.RANK.EQ(BQ32,BQ$3:BQ$10000,0)</f>
        <v>39</v>
      </c>
      <c r="BS32" s="83">
        <f>IFERROR(_xlfn.XLOOKUP(B32,'w12'!$B:$B,'w12'!$C:$C),0)</f>
        <v>22.7</v>
      </c>
      <c r="BT32" s="86">
        <f>_xlfn.RANK.EQ(BS32,BS$3:BS$10000,0)</f>
        <v>24</v>
      </c>
      <c r="BU32" s="87">
        <f>IFERROR(_xlfn.XLOOKUP(B32,'w12'!$B:$B,'w12'!$F:$F),1)</f>
        <v>0.25833333333333336</v>
      </c>
      <c r="BV32" s="86">
        <f>_xlfn.RANK.EQ(BU32,BU$3:BU$10000,1)</f>
        <v>26</v>
      </c>
      <c r="BW32" s="86">
        <f>IFERROR(IF(_xlfn.XLOOKUP(B32,'w12'!$B:$B,'w12'!$G:$G)="--",0,_xlfn.XLOOKUP(B32,'w12'!$B:$B,'w12'!$G:$G)),0)</f>
        <v>496</v>
      </c>
      <c r="BX32" s="86">
        <f>_xlfn.RANK.EQ(BW32,BW$3:BW$10000,0)</f>
        <v>11</v>
      </c>
      <c r="BY32" s="89">
        <f>IFERROR(_xlfn.XLOOKUP(B32,'w13'!$B:$B,'w13'!$C:$C),0)</f>
        <v>32.1</v>
      </c>
      <c r="BZ32" s="92">
        <f>_xlfn.RANK.EQ(BY32,BY$3:BY$10000,0)</f>
        <v>22</v>
      </c>
      <c r="CA32" s="93">
        <f>IFERROR(_xlfn.XLOOKUP(B32,'w13'!$B:$B,'w13'!$F:$F),1)</f>
        <v>0.25763888888888886</v>
      </c>
      <c r="CB32" s="92">
        <f>_xlfn.RANK.EQ(CA32,CA$3:CA$10000,1)</f>
        <v>28</v>
      </c>
      <c r="CC32" s="92">
        <f>IFERROR(IF(_xlfn.XLOOKUP(B32,'w13'!$B:$B,'w13'!$G:$G)="--",0,_xlfn.XLOOKUP(B32,'w13'!$B:$B,'w13'!$G:$G)),0)</f>
        <v>494</v>
      </c>
      <c r="CD32" s="92">
        <f>_xlfn.RANK.EQ(CC32,CC$3:CC$10000,0)</f>
        <v>18</v>
      </c>
      <c r="CE32" s="95">
        <f>IFERROR(_xlfn.XLOOKUP(B32,'w14'!$B:$B,'w14'!$C:$C),0)</f>
        <v>37.700000000000003</v>
      </c>
      <c r="CF32" s="98">
        <f>_xlfn.RANK.EQ(CE32,CE$3:CE$10000,0)</f>
        <v>23</v>
      </c>
      <c r="CG32" s="99">
        <f>IFERROR(_xlfn.XLOOKUP(B32,'w14'!$B:$B,'w14'!$F:$F),1)</f>
        <v>0.2590277777777778</v>
      </c>
      <c r="CH32" s="98">
        <f>_xlfn.RANK.EQ(CG32,CG$3:CG$10000,1)</f>
        <v>23</v>
      </c>
      <c r="CI32" s="98">
        <f>IFERROR(IF(_xlfn.XLOOKUP(B32,'w14'!$B:$B,'w14'!$G:$G)="--",0,_xlfn.XLOOKUP(B32,'w14'!$B:$B,'w14'!$G:$G)),0)</f>
        <v>193</v>
      </c>
      <c r="CJ32" s="98">
        <f>_xlfn.RANK.EQ(CI32,CI$3:CI$10000,0)</f>
        <v>37</v>
      </c>
      <c r="CK32" s="9">
        <f>_xlfn.RANK.EQ(D32,D$3:D$10000,1)</f>
        <v>30</v>
      </c>
      <c r="CL32" s="26" t="s">
        <v>161</v>
      </c>
      <c r="CM32" s="8">
        <f>SUM(E32,K32,Q32,W32,AC32,AI32,AO32,AU32,BA32,BG32,BM32,BS32,BY32,CE32)</f>
        <v>376</v>
      </c>
      <c r="CN32" s="9">
        <f>_xlfn.RANK.EQ(CM32,CM$3:CM$10000)</f>
        <v>30</v>
      </c>
      <c r="CO32" s="15">
        <f>IFERROR(SUM(PRODUCT(E32,G32),PRODUCT(K32,M32),PRODUCT(Q32,S32),PRODUCT(W32,Y32),PRODUCT(AC32,AE32),PRODUCT(AI32,AK32),PRODUCT(AO32,AQ32),PRODUCT(AU32,AW32),PRODUCT(BA32,BC32),PRODUCT(BG32,BI32),PRODUCT(BM32,BO32),PRODUCT(BS32,BU32),PRODUCT(BY32,CA32),PRODUCT(CE32,CG32))/CM32,1)</f>
        <v>0.27017638150118201</v>
      </c>
      <c r="CP32" s="9">
        <f>_xlfn.RANK.EQ(CO32,CO$3:CO$10000,1)</f>
        <v>36</v>
      </c>
      <c r="CQ32" s="9">
        <f>SUM(I32,O32,U32,AA32,AG32,AM32,AS32,AY32,BE32,BK32,BQ32,BW32,CC32,CI32)</f>
        <v>4206</v>
      </c>
      <c r="CR32" s="9">
        <f>_xlfn.RANK.EQ(CQ32,CQ$3:CQ$10000)</f>
        <v>30</v>
      </c>
      <c r="CS32" s="23">
        <f t="shared" si="6"/>
        <v>15</v>
      </c>
      <c r="CT32" s="25">
        <f t="shared" si="7"/>
        <v>46.674999999999997</v>
      </c>
      <c r="CU32" s="24">
        <f>_xlfn.STDEV.S(F32,L32,R32,X32,AD32,AJ32,AP32,AV32,BB32,BH32,BN32,BT32,BZ32,CF32)</f>
        <v>12.761764664913603</v>
      </c>
      <c r="CV32" s="21">
        <f>_xlfn.RANK.EQ(CU32,CU$3:CU$10000,1)</f>
        <v>46</v>
      </c>
      <c r="CW32" s="24">
        <f>_xlfn.STDEV.S(H32,N32,T32,Z32,AF32,AL32,AR32,AX32,BD32,BJ32,BP32,BV32,CB32,CH32)</f>
        <v>9.0626634126987291</v>
      </c>
      <c r="CX32" s="21">
        <f>_xlfn.RANK.EQ(CW32,CW$3:CW$10000,1)</f>
        <v>21</v>
      </c>
      <c r="CY32" s="24">
        <f>_xlfn.STDEV.S(J32,P32,V32,AB32,AH32,AN32,AT32,AZ32,BF32,BL32,BR32,BX32,CD32,CJ32)</f>
        <v>22.289922820428504</v>
      </c>
      <c r="CZ32" s="21">
        <f>_xlfn.RANK.EQ(CY32,CY$3:CY$10000,1)</f>
        <v>98</v>
      </c>
      <c r="DA32">
        <f>SUM(COUNTIF(E32,"&gt;0"),COUNTIF(K32,"&gt;0"),COUNTIF(Q32,"&gt;0"),COUNTIF(W32,"&gt;0"),COUNTIF(AC32,"&gt;0"),COUNTIF(AI32,"&gt;0"),COUNTIF(AO32,"&gt;0"),COUNTIF(AU32,"&gt;0"),COUNTIF(BA32,"&gt;0"),COUNTIF(BG32,"&gt;0"),COUNTIF(BM32,"&gt;0"),COUNTIF(BS32,"&gt;0"),COUNTIF(BY32,"&gt;0"),COUNTIF(CE32,"&gt;0"))</f>
        <v>14</v>
      </c>
    </row>
    <row r="33" spans="1:105" x14ac:dyDescent="0.3">
      <c r="B33" t="s">
        <v>38</v>
      </c>
      <c r="C33" s="18" t="s">
        <v>116</v>
      </c>
      <c r="D33" s="4">
        <f>CN33*$CN$1+CP33*$CP$1+CR33*$CR$1</f>
        <v>31.625</v>
      </c>
      <c r="E33" s="29">
        <f>IFERROR(_xlfn.XLOOKUP(B33,'w1'!$B:$B,'w1'!$C:$C),0)</f>
        <v>23.1</v>
      </c>
      <c r="F33" s="30">
        <f>_xlfn.RANK.EQ(E33,E$3:E$10000,0)</f>
        <v>35</v>
      </c>
      <c r="G33" s="31">
        <f>IFERROR(_xlfn.XLOOKUP(B33,'w1'!$B:$B,'w1'!$F:$F),1)</f>
        <v>0.26111111111111113</v>
      </c>
      <c r="H33" s="30">
        <f>_xlfn.RANK.EQ(G33,G$3:G$10000,1)</f>
        <v>31</v>
      </c>
      <c r="I33" s="30">
        <f>IFERROR(IF(_xlfn.XLOOKUP(B33,'w1'!$B:$B,'w1'!$G:$G)="--",0,_xlfn.XLOOKUP(B33,'w1'!$B:$B,'w1'!$G:$G)),0)</f>
        <v>336</v>
      </c>
      <c r="J33" s="30">
        <f>_xlfn.RANK.EQ(I33,I$3:I$10000,0)</f>
        <v>26</v>
      </c>
      <c r="K33" s="34">
        <f>IFERROR(_xlfn.XLOOKUP(B33,'w2'!$B:$B,'w2'!$C:$C),0)</f>
        <v>42.2</v>
      </c>
      <c r="L33" s="35">
        <f>_xlfn.RANK.EQ(K33,K$3:K$10000,0)</f>
        <v>14</v>
      </c>
      <c r="M33" s="36">
        <f>IFERROR(_xlfn.XLOOKUP(B33,'w2'!$B:$B,'w2'!$F:$F),1)</f>
        <v>0.31319444444444444</v>
      </c>
      <c r="N33" s="35">
        <f>_xlfn.RANK.EQ(M33,M$3:M$10000,1)</f>
        <v>51</v>
      </c>
      <c r="O33" s="35">
        <f>IFERROR(IF(_xlfn.XLOOKUP(B33,'w2'!$B:$B,'w2'!$G:$G)="--",0,_xlfn.XLOOKUP(B33,'w2'!$B:$B,'w2'!$G:$G)),0)</f>
        <v>818</v>
      </c>
      <c r="P33" s="35">
        <f>_xlfn.RANK.EQ(O33,O$3:O$10000,0)</f>
        <v>9</v>
      </c>
      <c r="Q33" s="39">
        <f>IFERROR(_xlfn.XLOOKUP(B33,'w3'!$B:$B,'w3'!$C:$C),0)</f>
        <v>15.2</v>
      </c>
      <c r="R33" s="40">
        <f>_xlfn.RANK.EQ(Q33,Q$3:Q$10000,0)</f>
        <v>54</v>
      </c>
      <c r="S33" s="41">
        <f>IFERROR(_xlfn.XLOOKUP(B33,'w3'!$B:$B,'w3'!$F:$F),1)</f>
        <v>0.27847222222222223</v>
      </c>
      <c r="T33" s="40">
        <f>_xlfn.RANK.EQ(S33,S$3:S$10000,1)</f>
        <v>43</v>
      </c>
      <c r="U33" s="40">
        <f>IFERROR(IF(_xlfn.XLOOKUP(B33,'w3'!$B:$B,'w3'!$G:$G)="--",0,_xlfn.XLOOKUP(B33,'w3'!$B:$B,'w3'!$G:$G)),0)</f>
        <v>135</v>
      </c>
      <c r="V33" s="40">
        <f>_xlfn.RANK.EQ(U33,U$3:U$10000,0)</f>
        <v>45</v>
      </c>
      <c r="W33" s="44">
        <f>IFERROR(_xlfn.XLOOKUP(B33,'w4'!$B:$B,'w4'!$C:$C),0)</f>
        <v>25.6</v>
      </c>
      <c r="X33" s="45">
        <f>_xlfn.RANK.EQ(W33,W$3:W$10000,0)</f>
        <v>34</v>
      </c>
      <c r="Y33" s="46">
        <f>IFERROR(_xlfn.XLOOKUP(B33,'w4'!$B:$B,'w4'!$F:$F),1)</f>
        <v>0.2673611111111111</v>
      </c>
      <c r="Z33" s="45">
        <f>_xlfn.RANK.EQ(Y33,Y$3:Y$10000,1)</f>
        <v>35</v>
      </c>
      <c r="AA33" s="45">
        <f>IFERROR(IF(_xlfn.XLOOKUP(B33,'w4'!$B:$B,'w4'!$G:$G)="--",0,_xlfn.XLOOKUP(B33,'w4'!$B:$B,'w4'!$G:$G)),0)</f>
        <v>277</v>
      </c>
      <c r="AB33" s="45">
        <f>_xlfn.RANK.EQ(AA33,AA$3:AA$10000,0)</f>
        <v>30</v>
      </c>
      <c r="AC33" s="13">
        <f>IFERROR(_xlfn.XLOOKUP(B33,'w5'!$B:$B,'w5'!$C:$C),0)</f>
        <v>33.6</v>
      </c>
      <c r="AD33" s="12">
        <f>_xlfn.RANK.EQ(AC33,AC$3:AC$10000,0)</f>
        <v>30</v>
      </c>
      <c r="AE33" s="14">
        <f>IFERROR(_xlfn.XLOOKUP(B33,'w5'!$B:$B,'w5'!$F:$F),1)</f>
        <v>0.33819444444444446</v>
      </c>
      <c r="AF33" s="12">
        <f>_xlfn.RANK.EQ(AE33,AE$3:AE$10000,1)</f>
        <v>53</v>
      </c>
      <c r="AG33" s="12">
        <f>IFERROR(IF(_xlfn.XLOOKUP(B33,'w5'!$B:$B,'w5'!$G:$G)="--",0,_xlfn.XLOOKUP(B33,'w5'!$B:$B,'w5'!$G:$G)),0)</f>
        <v>273</v>
      </c>
      <c r="AH33" s="12">
        <f>_xlfn.RANK.EQ(AG33,AG$3:AG$10000,0)</f>
        <v>35</v>
      </c>
      <c r="AI33" s="51">
        <f>IFERROR(_xlfn.XLOOKUP(B33,'w6'!$B:$B,'w6'!$C:$C),0)</f>
        <v>0</v>
      </c>
      <c r="AJ33" s="50">
        <f>_xlfn.RANK.EQ(AI33,AI$3:AI$10000,0)</f>
        <v>65</v>
      </c>
      <c r="AK33" s="52">
        <f>IFERROR(_xlfn.XLOOKUP(B33,'w6'!$B:$B,'w6'!$F:$F),1)</f>
        <v>1</v>
      </c>
      <c r="AL33" s="50">
        <f>_xlfn.RANK.EQ(AK33,AK$3:AK$10000,1)</f>
        <v>65</v>
      </c>
      <c r="AM33" s="50">
        <f>IFERROR(IF(_xlfn.XLOOKUP(B33,'w6'!$B:$B,'w6'!$G:$G)="--",0,_xlfn.XLOOKUP(B33,'w6'!$B:$B,'w6'!$G:$G)),0)</f>
        <v>0</v>
      </c>
      <c r="AN33" s="50">
        <f>_xlfn.RANK.EQ(AM33,AM$3:AM$10000,0)</f>
        <v>61</v>
      </c>
      <c r="AO33" s="56">
        <f>IFERROR(_xlfn.XLOOKUP(B33,'w7'!$B:$B,'w7'!$C:$C),0)</f>
        <v>21.2</v>
      </c>
      <c r="AP33" s="57">
        <f>_xlfn.RANK.EQ(AO33,AO$3:AO$10000,0)</f>
        <v>37</v>
      </c>
      <c r="AQ33" s="58">
        <f>IFERROR(_xlfn.XLOOKUP(B33,'w7'!$B:$B,'w7'!$F:$F),1)</f>
        <v>0.28472222222222221</v>
      </c>
      <c r="AR33" s="57">
        <f>_xlfn.RANK.EQ(AQ33,AQ$3:AQ$10000,1)</f>
        <v>37</v>
      </c>
      <c r="AS33" s="57">
        <f>IFERROR(IF(_xlfn.XLOOKUP(B33,'w7'!$B:$B,'w7'!$G:$G)="--",0,_xlfn.XLOOKUP(B33,'w7'!$B:$B,'w7'!$G:$G)),0)</f>
        <v>240</v>
      </c>
      <c r="AT33" s="57">
        <f>_xlfn.RANK.EQ(AS33,AS$3:AS$10000,0)</f>
        <v>33</v>
      </c>
      <c r="AU33" s="62">
        <f>IFERROR(_xlfn.XLOOKUP(B33,'w8'!$B:$B,'w8'!$C:$C),0)</f>
        <v>35.200000000000003</v>
      </c>
      <c r="AV33" s="61">
        <f>_xlfn.RANK.EQ(AU33,AU$3:AU$10000,0)</f>
        <v>27</v>
      </c>
      <c r="AW33" s="63">
        <f>IFERROR(_xlfn.XLOOKUP(B33,'w8'!$B:$B,'w8'!$F:$F),1)</f>
        <v>0.26458333333333334</v>
      </c>
      <c r="AX33" s="61">
        <f>_xlfn.RANK.EQ(AW33,AW$3:AW$10000,1)</f>
        <v>28</v>
      </c>
      <c r="AY33" s="61">
        <f>IFERROR(IF(_xlfn.XLOOKUP(B33,'w8'!$B:$B,'w8'!$G:$G)="--",0,_xlfn.XLOOKUP(B33,'w8'!$B:$B,'w8'!$G:$G)),0)</f>
        <v>258</v>
      </c>
      <c r="AZ33" s="61">
        <f>_xlfn.RANK.EQ(AY33,AY$3:AY$10000,0)</f>
        <v>34</v>
      </c>
      <c r="BA33" s="66">
        <f>IFERROR(_xlfn.XLOOKUP(C33,'w9'!$B:$B,'w9'!$C:$C),0)</f>
        <v>25.8</v>
      </c>
      <c r="BB33" s="67">
        <f>_xlfn.RANK.EQ(BA33,BA$3:BA$10000,0)</f>
        <v>45</v>
      </c>
      <c r="BC33" s="68">
        <f>IFERROR(_xlfn.XLOOKUP(C33,'w9'!$B:$B,'w9'!$F:$F),1)</f>
        <v>0.27430555555555558</v>
      </c>
      <c r="BD33" s="67">
        <f>_xlfn.RANK.EQ(BC33,BC$3:BC$10000,1)</f>
        <v>26</v>
      </c>
      <c r="BE33" s="67">
        <f>IFERROR(IF(_xlfn.XLOOKUP(C33,'w9'!$B:$B,'w9'!$G:$G)="--",0,_xlfn.XLOOKUP(C33,'w9'!$B:$B,'w9'!$G:$G)),0)</f>
        <v>208</v>
      </c>
      <c r="BF33" s="67">
        <f>_xlfn.RANK.EQ(BE33,BE$3:BE$10000,0)</f>
        <v>51</v>
      </c>
      <c r="BG33" s="72">
        <f>IFERROR(_xlfn.XLOOKUP(B33,'w10'!$B:$B,'w10'!$C:$C),0)</f>
        <v>13.6</v>
      </c>
      <c r="BH33" s="74">
        <f>_xlfn.RANK.EQ(BG33,BG$3:BG$10000,0)</f>
        <v>56</v>
      </c>
      <c r="BI33" s="75">
        <f>IFERROR(_xlfn.XLOOKUP(B33,'w10'!$B:$B,'w10'!$F:$F),1)</f>
        <v>0.36458333333333331</v>
      </c>
      <c r="BJ33" s="74">
        <f>_xlfn.RANK.EQ(BI33,BI$3:BI$10000,1)</f>
        <v>70</v>
      </c>
      <c r="BK33" s="74">
        <f>IFERROR(IF(_xlfn.XLOOKUP(B33,'w10'!$B:$B,'w10'!$G:$G)="--",0,_xlfn.XLOOKUP(B33,'w10'!$B:$B,'w10'!$G:$G)),0)</f>
        <v>244</v>
      </c>
      <c r="BL33" s="74">
        <f>_xlfn.RANK.EQ(BK33,BK$3:BK$10000,0)</f>
        <v>28</v>
      </c>
      <c r="BM33" s="78">
        <f>IFERROR(_xlfn.XLOOKUP(B33,'w11'!$B:$B,'w11'!$C:$C),0)</f>
        <v>35.200000000000003</v>
      </c>
      <c r="BN33" s="80">
        <f>_xlfn.RANK.EQ(BM33,BM$3:BM$10000,0)</f>
        <v>21</v>
      </c>
      <c r="BO33" s="81">
        <f>IFERROR(_xlfn.XLOOKUP(B33,'w11'!$B:$B,'w11'!$F:$F),1)</f>
        <v>0.35208333333333336</v>
      </c>
      <c r="BP33" s="80">
        <f>_xlfn.RANK.EQ(BO33,BO$3:BO$10000,1)</f>
        <v>66</v>
      </c>
      <c r="BQ33" s="80">
        <f>IFERROR(IF(_xlfn.XLOOKUP(B33,'w11'!$B:$B,'w11'!$G:$G)="--",0,_xlfn.XLOOKUP(B33,'w11'!$B:$B,'w11'!$G:$G)),0)</f>
        <v>558</v>
      </c>
      <c r="BR33" s="80">
        <f>_xlfn.RANK.EQ(BQ33,BQ$3:BQ$10000,0)</f>
        <v>15</v>
      </c>
      <c r="BS33" s="83">
        <f>IFERROR(_xlfn.XLOOKUP(B33,'w12'!$B:$B,'w12'!$C:$C),0)</f>
        <v>17.5</v>
      </c>
      <c r="BT33" s="86">
        <f>_xlfn.RANK.EQ(BS33,BS$3:BS$10000,0)</f>
        <v>43</v>
      </c>
      <c r="BU33" s="87">
        <f>IFERROR(_xlfn.XLOOKUP(B33,'w12'!$B:$B,'w12'!$F:$F),1)</f>
        <v>0.2673611111111111</v>
      </c>
      <c r="BV33" s="86">
        <f>_xlfn.RANK.EQ(BU33,BU$3:BU$10000,1)</f>
        <v>30</v>
      </c>
      <c r="BW33" s="86">
        <f>IFERROR(IF(_xlfn.XLOOKUP(B33,'w12'!$B:$B,'w12'!$G:$G)="--",0,_xlfn.XLOOKUP(B33,'w12'!$B:$B,'w12'!$G:$G)),0)</f>
        <v>69</v>
      </c>
      <c r="BX33" s="86">
        <f>_xlfn.RANK.EQ(BW33,BW$3:BW$10000,0)</f>
        <v>62</v>
      </c>
      <c r="BY33" s="89">
        <f>IFERROR(_xlfn.XLOOKUP(B33,'w13'!$B:$B,'w13'!$C:$C),0)</f>
        <v>38.200000000000003</v>
      </c>
      <c r="BZ33" s="92">
        <f>_xlfn.RANK.EQ(BY33,BY$3:BY$10000,0)</f>
        <v>16</v>
      </c>
      <c r="CA33" s="93">
        <f>IFERROR(_xlfn.XLOOKUP(B33,'w13'!$B:$B,'w13'!$F:$F),1)</f>
        <v>0.31111111111111112</v>
      </c>
      <c r="CB33" s="92">
        <f>_xlfn.RANK.EQ(CA33,CA$3:CA$10000,1)</f>
        <v>53</v>
      </c>
      <c r="CC33" s="92">
        <f>IFERROR(IF(_xlfn.XLOOKUP(B33,'w13'!$B:$B,'w13'!$G:$G)="--",0,_xlfn.XLOOKUP(B33,'w13'!$B:$B,'w13'!$G:$G)),0)</f>
        <v>532</v>
      </c>
      <c r="CD33" s="92">
        <f>_xlfn.RANK.EQ(CC33,CC$3:CC$10000,0)</f>
        <v>16</v>
      </c>
      <c r="CE33" s="95">
        <f>IFERROR(_xlfn.XLOOKUP(B33,'w14'!$B:$B,'w14'!$C:$C),0)</f>
        <v>46.2</v>
      </c>
      <c r="CF33" s="98">
        <f>_xlfn.RANK.EQ(CE33,CE$3:CE$10000,0)</f>
        <v>17</v>
      </c>
      <c r="CG33" s="99">
        <f>IFERROR(_xlfn.XLOOKUP(B33,'w14'!$B:$B,'w14'!$F:$F),1)</f>
        <v>0.31319444444444444</v>
      </c>
      <c r="CH33" s="98">
        <f>_xlfn.RANK.EQ(CG33,CG$3:CG$10000,1)</f>
        <v>43</v>
      </c>
      <c r="CI33" s="98">
        <f>IFERROR(IF(_xlfn.XLOOKUP(B33,'w14'!$B:$B,'w14'!$G:$G)="--",0,_xlfn.XLOOKUP(B33,'w14'!$B:$B,'w14'!$G:$G)),0)</f>
        <v>329</v>
      </c>
      <c r="CJ33" s="98">
        <f>_xlfn.RANK.EQ(CI33,CI$3:CI$10000,0)</f>
        <v>29</v>
      </c>
      <c r="CK33" s="9">
        <f>_xlfn.RANK.EQ(D33,D$3:D$10000,1)</f>
        <v>31</v>
      </c>
      <c r="CL33" s="26" t="s">
        <v>116</v>
      </c>
      <c r="CM33" s="8">
        <f>SUM(E33,K33,Q33,W33,AC33,AI33,AO33,AU33,BA33,BG33,BM33,BS33,BY33,CE33)</f>
        <v>372.6</v>
      </c>
      <c r="CN33" s="9">
        <f>_xlfn.RANK.EQ(CM33,CM$3:CM$10000)</f>
        <v>31</v>
      </c>
      <c r="CO33" s="15">
        <f>IFERROR(SUM(PRODUCT(E33,G33),PRODUCT(K33,M33),PRODUCT(Q33,S33),PRODUCT(W33,Y33),PRODUCT(AC33,AE33),PRODUCT(AI33,AK33),PRODUCT(AO33,AQ33),PRODUCT(AU33,AW33),PRODUCT(BA33,BC33),PRODUCT(BG33,BI33),PRODUCT(BM33,BO33),PRODUCT(BS33,BU33),PRODUCT(BY33,CA33),PRODUCT(CE33,CG33))/CM33,1)</f>
        <v>0.30193255352776283</v>
      </c>
      <c r="CP33" s="9">
        <f>_xlfn.RANK.EQ(CO33,CO$3:CO$10000,1)</f>
        <v>58</v>
      </c>
      <c r="CQ33" s="9">
        <f>SUM(I33,O33,U33,AA33,AG33,AM33,AS33,AY33,BE33,BK33,BQ33,BW33,CC33,CI33)</f>
        <v>4277</v>
      </c>
      <c r="CR33" s="9">
        <f>_xlfn.RANK.EQ(CQ33,CQ$3:CQ$10000)</f>
        <v>29</v>
      </c>
      <c r="CS33" s="23">
        <f t="shared" si="6"/>
        <v>20</v>
      </c>
      <c r="CT33" s="25">
        <f t="shared" si="7"/>
        <v>60.824999999999996</v>
      </c>
      <c r="CU33" s="24">
        <f>_xlfn.STDEV.S(F33,L33,R33,X33,AD33,AJ33,AP33,AV33,BB33,BH33,BN33,BT33,BZ33,CF33)</f>
        <v>15.886271632249848</v>
      </c>
      <c r="CV33" s="21">
        <f>_xlfn.RANK.EQ(CU33,CU$3:CU$10000,1)</f>
        <v>61</v>
      </c>
      <c r="CW33" s="24">
        <f>_xlfn.STDEV.S(H33,N33,T33,Z33,AF33,AL33,AR33,AX33,BD33,BJ33,BP33,BV33,CB33,CH33)</f>
        <v>14.865883945951737</v>
      </c>
      <c r="CX33" s="21">
        <f>_xlfn.RANK.EQ(CW33,CW$3:CW$10000,1)</f>
        <v>54</v>
      </c>
      <c r="CY33" s="24">
        <f>_xlfn.STDEV.S(J33,P33,V33,AB33,AH33,AN33,AT33,AZ33,BF33,BL33,BR33,BX33,CD33,CJ33)</f>
        <v>16.11428961109765</v>
      </c>
      <c r="CZ33" s="21">
        <f>_xlfn.RANK.EQ(CY33,CY$3:CY$10000,1)</f>
        <v>61</v>
      </c>
      <c r="DA33">
        <f>SUM(COUNTIF(E33,"&gt;0"),COUNTIF(K33,"&gt;0"),COUNTIF(Q33,"&gt;0"),COUNTIF(W33,"&gt;0"),COUNTIF(AC33,"&gt;0"),COUNTIF(AI33,"&gt;0"),COUNTIF(AO33,"&gt;0"),COUNTIF(AU33,"&gt;0"),COUNTIF(BA33,"&gt;0"),COUNTIF(BG33,"&gt;0"),COUNTIF(BM33,"&gt;0"),COUNTIF(BS33,"&gt;0"),COUNTIF(BY33,"&gt;0"),COUNTIF(CE33,"&gt;0"))</f>
        <v>13</v>
      </c>
    </row>
    <row r="34" spans="1:105" x14ac:dyDescent="0.3">
      <c r="B34" t="s">
        <v>17</v>
      </c>
      <c r="C34" s="18" t="s">
        <v>97</v>
      </c>
      <c r="D34" s="4">
        <f>CN34*$CN$1+CP34*$CP$1+CR34*$CR$1</f>
        <v>32.624999999999993</v>
      </c>
      <c r="E34" s="29">
        <f>IFERROR(_xlfn.XLOOKUP(B34,'w1'!$B:$B,'w1'!$C:$C),0)</f>
        <v>45.4</v>
      </c>
      <c r="F34" s="30">
        <f>_xlfn.RANK.EQ(E34,E$3:E$10000,0)</f>
        <v>14</v>
      </c>
      <c r="G34" s="31">
        <f>IFERROR(_xlfn.XLOOKUP(B34,'w1'!$B:$B,'w1'!$F:$F),1)</f>
        <v>0.37847222222222221</v>
      </c>
      <c r="H34" s="30">
        <f>_xlfn.RANK.EQ(G34,G$3:G$10000,1)</f>
        <v>73</v>
      </c>
      <c r="I34" s="30">
        <f>IFERROR(IF(_xlfn.XLOOKUP(B34,'w1'!$B:$B,'w1'!$G:$G)="--",0,_xlfn.XLOOKUP(B34,'w1'!$B:$B,'w1'!$G:$G)),0)</f>
        <v>1169</v>
      </c>
      <c r="J34" s="30">
        <f>_xlfn.RANK.EQ(I34,I$3:I$10000,0)</f>
        <v>8</v>
      </c>
      <c r="K34" s="34">
        <f>IFERROR(_xlfn.XLOOKUP(B34,'w2'!$B:$B,'w2'!$C:$C),0)</f>
        <v>20.399999999999999</v>
      </c>
      <c r="L34" s="35">
        <f>_xlfn.RANK.EQ(K34,K$3:K$10000,0)</f>
        <v>46</v>
      </c>
      <c r="M34" s="36">
        <f>IFERROR(_xlfn.XLOOKUP(B34,'w2'!$B:$B,'w2'!$F:$F),1)</f>
        <v>0.27708333333333335</v>
      </c>
      <c r="N34" s="35">
        <f>_xlfn.RANK.EQ(M34,M$3:M$10000,1)</f>
        <v>34</v>
      </c>
      <c r="O34" s="35">
        <f>IFERROR(IF(_xlfn.XLOOKUP(B34,'w2'!$B:$B,'w2'!$G:$G)="--",0,_xlfn.XLOOKUP(B34,'w2'!$B:$B,'w2'!$G:$G)),0)</f>
        <v>503</v>
      </c>
      <c r="P34" s="35">
        <f>_xlfn.RANK.EQ(O34,O$3:O$10000,0)</f>
        <v>18</v>
      </c>
      <c r="Q34" s="39">
        <f>IFERROR(_xlfn.XLOOKUP(B34,'w3'!$B:$B,'w3'!$C:$C),0)</f>
        <v>17.8</v>
      </c>
      <c r="R34" s="40">
        <f>_xlfn.RANK.EQ(Q34,Q$3:Q$10000,0)</f>
        <v>51</v>
      </c>
      <c r="S34" s="41">
        <f>IFERROR(_xlfn.XLOOKUP(B34,'w3'!$B:$B,'w3'!$F:$F),1)</f>
        <v>0.28333333333333333</v>
      </c>
      <c r="T34" s="40">
        <f>_xlfn.RANK.EQ(S34,S$3:S$10000,1)</f>
        <v>46</v>
      </c>
      <c r="U34" s="40">
        <f>IFERROR(IF(_xlfn.XLOOKUP(B34,'w3'!$B:$B,'w3'!$G:$G)="--",0,_xlfn.XLOOKUP(B34,'w3'!$B:$B,'w3'!$G:$G)),0)</f>
        <v>261</v>
      </c>
      <c r="V34" s="40">
        <f>_xlfn.RANK.EQ(U34,U$3:U$10000,0)</f>
        <v>30</v>
      </c>
      <c r="W34" s="44">
        <f>IFERROR(_xlfn.XLOOKUP(B34,'w4'!$B:$B,'w4'!$C:$C),0)</f>
        <v>15.5</v>
      </c>
      <c r="X34" s="45">
        <f>_xlfn.RANK.EQ(W34,W$3:W$10000,0)</f>
        <v>45</v>
      </c>
      <c r="Y34" s="46">
        <f>IFERROR(_xlfn.XLOOKUP(B34,'w4'!$B:$B,'w4'!$F:$F),1)</f>
        <v>0.31597222222222221</v>
      </c>
      <c r="Z34" s="45">
        <f>_xlfn.RANK.EQ(Y34,Y$3:Y$10000,1)</f>
        <v>53</v>
      </c>
      <c r="AA34" s="45">
        <f>IFERROR(IF(_xlfn.XLOOKUP(B34,'w4'!$B:$B,'w4'!$G:$G)="--",0,_xlfn.XLOOKUP(B34,'w4'!$B:$B,'w4'!$G:$G)),0)</f>
        <v>182</v>
      </c>
      <c r="AB34" s="45">
        <f>_xlfn.RANK.EQ(AA34,AA$3:AA$10000,0)</f>
        <v>36</v>
      </c>
      <c r="AC34" s="13">
        <f>IFERROR(_xlfn.XLOOKUP(B34,'w5'!$B:$B,'w5'!$C:$C),0)</f>
        <v>40.799999999999997</v>
      </c>
      <c r="AD34" s="12">
        <f>_xlfn.RANK.EQ(AC34,AC$3:AC$10000,0)</f>
        <v>24</v>
      </c>
      <c r="AE34" s="14">
        <f>IFERROR(_xlfn.XLOOKUP(B34,'w5'!$B:$B,'w5'!$F:$F),1)</f>
        <v>0.2902777777777778</v>
      </c>
      <c r="AF34" s="12">
        <f>_xlfn.RANK.EQ(AE34,AE$3:AE$10000,1)</f>
        <v>40</v>
      </c>
      <c r="AG34" s="12">
        <f>IFERROR(IF(_xlfn.XLOOKUP(B34,'w5'!$B:$B,'w5'!$G:$G)="--",0,_xlfn.XLOOKUP(B34,'w5'!$B:$B,'w5'!$G:$G)),0)</f>
        <v>607</v>
      </c>
      <c r="AH34" s="12">
        <f>_xlfn.RANK.EQ(AG34,AG$3:AG$10000,0)</f>
        <v>22</v>
      </c>
      <c r="AI34" s="51">
        <f>IFERROR(_xlfn.XLOOKUP(B34,'w6'!$B:$B,'w6'!$C:$C),0)</f>
        <v>10</v>
      </c>
      <c r="AJ34" s="50">
        <f>_xlfn.RANK.EQ(AI34,AI$3:AI$10000,0)</f>
        <v>51</v>
      </c>
      <c r="AK34" s="52">
        <f>IFERROR(_xlfn.XLOOKUP(B34,'w6'!$B:$B,'w6'!$F:$F),1)</f>
        <v>0.25208333333333333</v>
      </c>
      <c r="AL34" s="50">
        <f>_xlfn.RANK.EQ(AK34,AK$3:AK$10000,1)</f>
        <v>15</v>
      </c>
      <c r="AM34" s="50">
        <f>IFERROR(IF(_xlfn.XLOOKUP(B34,'w6'!$B:$B,'w6'!$G:$G)="--",0,_xlfn.XLOOKUP(B34,'w6'!$B:$B,'w6'!$G:$G)),0)</f>
        <v>73</v>
      </c>
      <c r="AN34" s="50">
        <f>_xlfn.RANK.EQ(AM34,AM$3:AM$10000,0)</f>
        <v>53</v>
      </c>
      <c r="AO34" s="56">
        <f>IFERROR(_xlfn.XLOOKUP(B34,'w7'!$B:$B,'w7'!$C:$C),0)</f>
        <v>18.3</v>
      </c>
      <c r="AP34" s="57">
        <f>_xlfn.RANK.EQ(AO34,AO$3:AO$10000,0)</f>
        <v>43</v>
      </c>
      <c r="AQ34" s="58">
        <f>IFERROR(_xlfn.XLOOKUP(B34,'w7'!$B:$B,'w7'!$F:$F),1)</f>
        <v>0.28402777777777777</v>
      </c>
      <c r="AR34" s="57">
        <f>_xlfn.RANK.EQ(AQ34,AQ$3:AQ$10000,1)</f>
        <v>36</v>
      </c>
      <c r="AS34" s="57">
        <f>IFERROR(IF(_xlfn.XLOOKUP(B34,'w7'!$B:$B,'w7'!$G:$G)="--",0,_xlfn.XLOOKUP(B34,'w7'!$B:$B,'w7'!$G:$G)),0)</f>
        <v>382</v>
      </c>
      <c r="AT34" s="57">
        <f>_xlfn.RANK.EQ(AS34,AS$3:AS$10000,0)</f>
        <v>23</v>
      </c>
      <c r="AU34" s="62">
        <f>IFERROR(_xlfn.XLOOKUP(B34,'w8'!$B:$B,'w8'!$C:$C),0)</f>
        <v>28.9</v>
      </c>
      <c r="AV34" s="61">
        <f>_xlfn.RANK.EQ(AU34,AU$3:AU$10000,0)</f>
        <v>33</v>
      </c>
      <c r="AW34" s="63">
        <f>IFERROR(_xlfn.XLOOKUP(B34,'w8'!$B:$B,'w8'!$F:$F),1)</f>
        <v>0.32708333333333334</v>
      </c>
      <c r="AX34" s="61">
        <f>_xlfn.RANK.EQ(AW34,AW$3:AW$10000,1)</f>
        <v>59</v>
      </c>
      <c r="AY34" s="61">
        <f>IFERROR(IF(_xlfn.XLOOKUP(B34,'w8'!$B:$B,'w8'!$G:$G)="--",0,_xlfn.XLOOKUP(B34,'w8'!$B:$B,'w8'!$G:$G)),0)</f>
        <v>560</v>
      </c>
      <c r="AZ34" s="61">
        <f>_xlfn.RANK.EQ(AY34,AY$3:AY$10000,0)</f>
        <v>19</v>
      </c>
      <c r="BA34" s="66">
        <f>IFERROR(_xlfn.XLOOKUP(C34,'w9'!$B:$B,'w9'!$C:$C),0)</f>
        <v>42.8</v>
      </c>
      <c r="BB34" s="67">
        <f>_xlfn.RANK.EQ(BA34,BA$3:BA$10000,0)</f>
        <v>20</v>
      </c>
      <c r="BC34" s="68">
        <f>IFERROR(_xlfn.XLOOKUP(C34,'w9'!$B:$B,'w9'!$F:$F),1)</f>
        <v>0.32916666666666666</v>
      </c>
      <c r="BD34" s="67">
        <f>_xlfn.RANK.EQ(BC34,BC$3:BC$10000,1)</f>
        <v>54</v>
      </c>
      <c r="BE34" s="67">
        <f>IFERROR(IF(_xlfn.XLOOKUP(C34,'w9'!$B:$B,'w9'!$G:$G)="--",0,_xlfn.XLOOKUP(C34,'w9'!$B:$B,'w9'!$G:$G)),0)</f>
        <v>903</v>
      </c>
      <c r="BF34" s="67">
        <f>_xlfn.RANK.EQ(BE34,BE$3:BE$10000,0)</f>
        <v>9</v>
      </c>
      <c r="BG34" s="72">
        <f>IFERROR(_xlfn.XLOOKUP(B34,'w10'!$B:$B,'w10'!$C:$C),0)</f>
        <v>19.399999999999999</v>
      </c>
      <c r="BH34" s="74">
        <f>_xlfn.RANK.EQ(BG34,BG$3:BG$10000,0)</f>
        <v>43</v>
      </c>
      <c r="BI34" s="75">
        <f>IFERROR(_xlfn.XLOOKUP(B34,'w10'!$B:$B,'w10'!$F:$F),1)</f>
        <v>0.31805555555555554</v>
      </c>
      <c r="BJ34" s="74">
        <f>_xlfn.RANK.EQ(BI34,BI$3:BI$10000,1)</f>
        <v>57</v>
      </c>
      <c r="BK34" s="74">
        <f>IFERROR(IF(_xlfn.XLOOKUP(B34,'w10'!$B:$B,'w10'!$G:$G)="--",0,_xlfn.XLOOKUP(B34,'w10'!$B:$B,'w10'!$G:$G)),0)</f>
        <v>321</v>
      </c>
      <c r="BL34" s="74">
        <f>_xlfn.RANK.EQ(BK34,BK$3:BK$10000,0)</f>
        <v>23</v>
      </c>
      <c r="BM34" s="78">
        <f>IFERROR(_xlfn.XLOOKUP(B34,'w11'!$B:$B,'w11'!$C:$C),0)</f>
        <v>30.5</v>
      </c>
      <c r="BN34" s="80">
        <f>_xlfn.RANK.EQ(BM34,BM$3:BM$10000,0)</f>
        <v>25</v>
      </c>
      <c r="BO34" s="81">
        <f>IFERROR(_xlfn.XLOOKUP(B34,'w11'!$B:$B,'w11'!$F:$F),1)</f>
        <v>0.34166666666666667</v>
      </c>
      <c r="BP34" s="80">
        <f>_xlfn.RANK.EQ(BO34,BO$3:BO$10000,1)</f>
        <v>60</v>
      </c>
      <c r="BQ34" s="80">
        <f>IFERROR(IF(_xlfn.XLOOKUP(B34,'w11'!$B:$B,'w11'!$G:$G)="--",0,_xlfn.XLOOKUP(B34,'w11'!$B:$B,'w11'!$G:$G)),0)</f>
        <v>807</v>
      </c>
      <c r="BR34" s="80">
        <f>_xlfn.RANK.EQ(BQ34,BQ$3:BQ$10000,0)</f>
        <v>8</v>
      </c>
      <c r="BS34" s="83">
        <f>IFERROR(_xlfn.XLOOKUP(B34,'w12'!$B:$B,'w12'!$C:$C),0)</f>
        <v>22.2</v>
      </c>
      <c r="BT34" s="86">
        <f>_xlfn.RANK.EQ(BS34,BS$3:BS$10000,0)</f>
        <v>30</v>
      </c>
      <c r="BU34" s="87">
        <f>IFERROR(_xlfn.XLOOKUP(B34,'w12'!$B:$B,'w12'!$F:$F),1)</f>
        <v>0.30069444444444443</v>
      </c>
      <c r="BV34" s="86">
        <f>_xlfn.RANK.EQ(BU34,BU$3:BU$10000,1)</f>
        <v>52</v>
      </c>
      <c r="BW34" s="86">
        <f>IFERROR(IF(_xlfn.XLOOKUP(B34,'w12'!$B:$B,'w12'!$G:$G)="--",0,_xlfn.XLOOKUP(B34,'w12'!$B:$B,'w12'!$G:$G)),0)</f>
        <v>521</v>
      </c>
      <c r="BX34" s="86">
        <f>_xlfn.RANK.EQ(BW34,BW$3:BW$10000,0)</f>
        <v>9</v>
      </c>
      <c r="BY34" s="89">
        <f>IFERROR(_xlfn.XLOOKUP(B34,'w13'!$B:$B,'w13'!$C:$C),0)</f>
        <v>35.9</v>
      </c>
      <c r="BZ34" s="92">
        <f>_xlfn.RANK.EQ(BY34,BY$3:BY$10000,0)</f>
        <v>18</v>
      </c>
      <c r="CA34" s="93">
        <f>IFERROR(_xlfn.XLOOKUP(B34,'w13'!$B:$B,'w13'!$F:$F),1)</f>
        <v>0.36458333333333331</v>
      </c>
      <c r="CB34" s="92">
        <f>_xlfn.RANK.EQ(CA34,CA$3:CA$10000,1)</f>
        <v>63</v>
      </c>
      <c r="CC34" s="92">
        <f>IFERROR(IF(_xlfn.XLOOKUP(B34,'w13'!$B:$B,'w13'!$G:$G)="--",0,_xlfn.XLOOKUP(B34,'w13'!$B:$B,'w13'!$G:$G)),0)</f>
        <v>1452</v>
      </c>
      <c r="CD34" s="92">
        <f>_xlfn.RANK.EQ(CC34,CC$3:CC$10000,0)</f>
        <v>6</v>
      </c>
      <c r="CE34" s="95">
        <f>IFERROR(_xlfn.XLOOKUP(B34,'w14'!$B:$B,'w14'!$C:$C),0)</f>
        <v>16.3</v>
      </c>
      <c r="CF34" s="98">
        <f>_xlfn.RANK.EQ(CE34,CE$3:CE$10000,0)</f>
        <v>48</v>
      </c>
      <c r="CG34" s="99">
        <f>IFERROR(_xlfn.XLOOKUP(B34,'w14'!$B:$B,'w14'!$F:$F),1)</f>
        <v>0.33819444444444446</v>
      </c>
      <c r="CH34" s="98">
        <f>_xlfn.RANK.EQ(CG34,CG$3:CG$10000,1)</f>
        <v>54</v>
      </c>
      <c r="CI34" s="98">
        <f>IFERROR(IF(_xlfn.XLOOKUP(B34,'w14'!$B:$B,'w14'!$G:$G)="--",0,_xlfn.XLOOKUP(B34,'w14'!$B:$B,'w14'!$G:$G)),0)</f>
        <v>349</v>
      </c>
      <c r="CJ34" s="98">
        <f>_xlfn.RANK.EQ(CI34,CI$3:CI$10000,0)</f>
        <v>24</v>
      </c>
      <c r="CK34" s="9">
        <f>_xlfn.RANK.EQ(D34,D$3:D$10000,1)</f>
        <v>32</v>
      </c>
      <c r="CL34" s="26" t="s">
        <v>97</v>
      </c>
      <c r="CM34" s="8">
        <f>SUM(E34,K34,Q34,W34,AC34,AI34,AO34,AU34,BA34,BG34,BM34,BS34,BY34,CE34)</f>
        <v>364.19999999999993</v>
      </c>
      <c r="CN34" s="9">
        <f>_xlfn.RANK.EQ(CM34,CM$3:CM$10000)</f>
        <v>32</v>
      </c>
      <c r="CO34" s="15">
        <f>IFERROR(SUM(PRODUCT(E34,G34),PRODUCT(K34,M34),PRODUCT(Q34,S34),PRODUCT(W34,Y34),PRODUCT(AC34,AE34),PRODUCT(AI34,AK34),PRODUCT(AO34,AQ34),PRODUCT(AU34,AW34),PRODUCT(BA34,BC34),PRODUCT(BG34,BI34),PRODUCT(BM34,BO34),PRODUCT(BS34,BU34),PRODUCT(BY34,CA34),PRODUCT(CE34,CG34))/CM34,1)</f>
        <v>0.32330202422356463</v>
      </c>
      <c r="CP34" s="9">
        <f>_xlfn.RANK.EQ(CO34,CO$3:CO$10000,1)</f>
        <v>72</v>
      </c>
      <c r="CQ34" s="9">
        <f>SUM(I34,O34,U34,AA34,AG34,AM34,AS34,AY34,BE34,BK34,BQ34,BW34,CC34,CI34)</f>
        <v>8090</v>
      </c>
      <c r="CR34" s="9">
        <f>_xlfn.RANK.EQ(CQ34,CQ$3:CQ$10000)</f>
        <v>17</v>
      </c>
      <c r="CS34" s="23">
        <f t="shared" si="6"/>
        <v>16</v>
      </c>
      <c r="CT34" s="25">
        <f t="shared" si="7"/>
        <v>47.1</v>
      </c>
      <c r="CU34" s="24">
        <f>_xlfn.STDEV.S(F34,L34,R34,X34,AD34,AJ34,AP34,AV34,BB34,BH34,BN34,BT34,BZ34,CF34)</f>
        <v>13.111734531235085</v>
      </c>
      <c r="CV34" s="21">
        <f>_xlfn.RANK.EQ(CU34,CU$3:CU$10000,1)</f>
        <v>47</v>
      </c>
      <c r="CW34" s="24">
        <f>_xlfn.STDEV.S(H34,N34,T34,Z34,AF34,AL34,AR34,AX34,BD34,BJ34,BP34,BV34,CB34,CH34)</f>
        <v>14.583597590489077</v>
      </c>
      <c r="CX34" s="21">
        <f>_xlfn.RANK.EQ(CW34,CW$3:CW$10000,1)</f>
        <v>53</v>
      </c>
      <c r="CY34" s="24">
        <f>_xlfn.STDEV.S(J34,P34,V34,AB34,AH34,AN34,AT34,AZ34,BF34,BL34,BR34,BX34,CD34,CJ34)</f>
        <v>13.036719064091393</v>
      </c>
      <c r="CZ34" s="21">
        <f>_xlfn.RANK.EQ(CY34,CY$3:CY$10000,1)</f>
        <v>45</v>
      </c>
      <c r="DA34">
        <f>SUM(COUNTIF(E34,"&gt;0"),COUNTIF(K34,"&gt;0"),COUNTIF(Q34,"&gt;0"),COUNTIF(W34,"&gt;0"),COUNTIF(AC34,"&gt;0"),COUNTIF(AI34,"&gt;0"),COUNTIF(AO34,"&gt;0"),COUNTIF(AU34,"&gt;0"),COUNTIF(BA34,"&gt;0"),COUNTIF(BG34,"&gt;0"),COUNTIF(BM34,"&gt;0"),COUNTIF(BS34,"&gt;0"),COUNTIF(BY34,"&gt;0"),COUNTIF(CE34,"&gt;0"))</f>
        <v>14</v>
      </c>
    </row>
    <row r="35" spans="1:105" x14ac:dyDescent="0.3">
      <c r="B35" t="s">
        <v>50</v>
      </c>
      <c r="C35" s="18" t="s">
        <v>455</v>
      </c>
      <c r="D35" s="4">
        <f>CN35*$CN$1+CP35*$CP$1+CR35*$CR$1</f>
        <v>33.774999999999999</v>
      </c>
      <c r="E35" s="29">
        <f>IFERROR(_xlfn.XLOOKUP(B35,'w1'!$B:$B,'w1'!$C:$C),0)</f>
        <v>17.5</v>
      </c>
      <c r="F35" s="30">
        <f>_xlfn.RANK.EQ(E35,E$3:E$10000,0)</f>
        <v>47</v>
      </c>
      <c r="G35" s="31">
        <f>IFERROR(_xlfn.XLOOKUP(B35,'w1'!$B:$B,'w1'!$F:$F),1)</f>
        <v>0.24652777777777779</v>
      </c>
      <c r="H35" s="30">
        <f>_xlfn.RANK.EQ(G35,G$3:G$10000,1)</f>
        <v>16</v>
      </c>
      <c r="I35" s="30">
        <f>IFERROR(IF(_xlfn.XLOOKUP(B35,'w1'!$B:$B,'w1'!$G:$G)="--",0,_xlfn.XLOOKUP(B35,'w1'!$B:$B,'w1'!$G:$G)),0)</f>
        <v>42</v>
      </c>
      <c r="J35" s="30">
        <f>_xlfn.RANK.EQ(I35,I$3:I$10000,0)</f>
        <v>69</v>
      </c>
      <c r="K35" s="34">
        <f>IFERROR(_xlfn.XLOOKUP(B35,'w2'!$B:$B,'w2'!$C:$C),0)</f>
        <v>19.8</v>
      </c>
      <c r="L35" s="35">
        <f>_xlfn.RANK.EQ(K35,K$3:K$10000,0)</f>
        <v>47</v>
      </c>
      <c r="M35" s="36">
        <f>IFERROR(_xlfn.XLOOKUP(B35,'w2'!$B:$B,'w2'!$F:$F),1)</f>
        <v>0.25624999999999998</v>
      </c>
      <c r="N35" s="35">
        <f>_xlfn.RANK.EQ(M35,M$3:M$10000,1)</f>
        <v>18</v>
      </c>
      <c r="O35" s="35">
        <f>IFERROR(IF(_xlfn.XLOOKUP(B35,'w2'!$B:$B,'w2'!$G:$G)="--",0,_xlfn.XLOOKUP(B35,'w2'!$B:$B,'w2'!$G:$G)),0)</f>
        <v>48</v>
      </c>
      <c r="P35" s="35">
        <f>_xlfn.RANK.EQ(O35,O$3:O$10000,0)</f>
        <v>66</v>
      </c>
      <c r="Q35" s="39">
        <f>IFERROR(_xlfn.XLOOKUP(B35,'w3'!$B:$B,'w3'!$C:$C),0)</f>
        <v>23.6</v>
      </c>
      <c r="R35" s="40">
        <f>_xlfn.RANK.EQ(Q35,Q$3:Q$10000,0)</f>
        <v>40</v>
      </c>
      <c r="S35" s="41">
        <f>IFERROR(_xlfn.XLOOKUP(B35,'w3'!$B:$B,'w3'!$F:$F),1)</f>
        <v>0.25138888888888888</v>
      </c>
      <c r="T35" s="40">
        <f>_xlfn.RANK.EQ(S35,S$3:S$10000,1)</f>
        <v>20</v>
      </c>
      <c r="U35" s="40">
        <f>IFERROR(IF(_xlfn.XLOOKUP(B35,'w3'!$B:$B,'w3'!$G:$G)="--",0,_xlfn.XLOOKUP(B35,'w3'!$B:$B,'w3'!$G:$G)),0)</f>
        <v>72</v>
      </c>
      <c r="V35" s="40">
        <f>_xlfn.RANK.EQ(U35,U$3:U$10000,0)</f>
        <v>67</v>
      </c>
      <c r="W35" s="44">
        <f>IFERROR(_xlfn.XLOOKUP(B35,'w4'!$B:$B,'w4'!$C:$C),0)</f>
        <v>39.5</v>
      </c>
      <c r="X35" s="45">
        <f>_xlfn.RANK.EQ(W35,W$3:W$10000,0)</f>
        <v>16</v>
      </c>
      <c r="Y35" s="46">
        <f>IFERROR(_xlfn.XLOOKUP(B35,'w4'!$B:$B,'w4'!$F:$F),1)</f>
        <v>0.24374999999999999</v>
      </c>
      <c r="Z35" s="45">
        <f>_xlfn.RANK.EQ(Y35,Y$3:Y$10000,1)</f>
        <v>17</v>
      </c>
      <c r="AA35" s="45">
        <f>IFERROR(IF(_xlfn.XLOOKUP(B35,'w4'!$B:$B,'w4'!$G:$G)="--",0,_xlfn.XLOOKUP(B35,'w4'!$B:$B,'w4'!$G:$G)),0)</f>
        <v>58</v>
      </c>
      <c r="AB35" s="45">
        <f>_xlfn.RANK.EQ(AA35,AA$3:AA$10000,0)</f>
        <v>54</v>
      </c>
      <c r="AC35" s="13">
        <f>IFERROR(_xlfn.XLOOKUP(B35,'w5'!$B:$B,'w5'!$C:$C),0)</f>
        <v>50</v>
      </c>
      <c r="AD35" s="12">
        <f>_xlfn.RANK.EQ(AC35,AC$3:AC$10000,0)</f>
        <v>9</v>
      </c>
      <c r="AE35" s="14">
        <f>IFERROR(_xlfn.XLOOKUP(B35,'w5'!$B:$B,'w5'!$F:$F),1)</f>
        <v>0.23958333333333334</v>
      </c>
      <c r="AF35" s="12">
        <f>_xlfn.RANK.EQ(AE35,AE$3:AE$10000,1)</f>
        <v>15</v>
      </c>
      <c r="AG35" s="12">
        <f>IFERROR(IF(_xlfn.XLOOKUP(B35,'w5'!$B:$B,'w5'!$G:$G)="--",0,_xlfn.XLOOKUP(B35,'w5'!$B:$B,'w5'!$G:$G)),0)</f>
        <v>94</v>
      </c>
      <c r="AH35" s="12">
        <f>_xlfn.RANK.EQ(AG35,AG$3:AG$10000,0)</f>
        <v>63</v>
      </c>
      <c r="AI35" s="51">
        <f>IFERROR(_xlfn.XLOOKUP(B35,'w6'!$B:$B,'w6'!$C:$C),0)</f>
        <v>14.4</v>
      </c>
      <c r="AJ35" s="50">
        <f>_xlfn.RANK.EQ(AI35,AI$3:AI$10000,0)</f>
        <v>36</v>
      </c>
      <c r="AK35" s="52">
        <f>IFERROR(_xlfn.XLOOKUP(B35,'w6'!$B:$B,'w6'!$F:$F),1)</f>
        <v>0.24930555555555556</v>
      </c>
      <c r="AL35" s="50">
        <f>_xlfn.RANK.EQ(AK35,AK$3:AK$10000,1)</f>
        <v>14</v>
      </c>
      <c r="AM35" s="50">
        <f>IFERROR(IF(_xlfn.XLOOKUP(B35,'w6'!$B:$B,'w6'!$G:$G)="--",0,_xlfn.XLOOKUP(B35,'w6'!$B:$B,'w6'!$G:$G)),0)</f>
        <v>0</v>
      </c>
      <c r="AN35" s="50">
        <f>_xlfn.RANK.EQ(AM35,AM$3:AM$10000,0)</f>
        <v>61</v>
      </c>
      <c r="AO35" s="56">
        <f>IFERROR(_xlfn.XLOOKUP(B35,'w7'!$B:$B,'w7'!$C:$C),0)</f>
        <v>13.5</v>
      </c>
      <c r="AP35" s="57">
        <f>_xlfn.RANK.EQ(AO35,AO$3:AO$10000,0)</f>
        <v>51</v>
      </c>
      <c r="AQ35" s="58">
        <f>IFERROR(_xlfn.XLOOKUP(B35,'w7'!$B:$B,'w7'!$F:$F),1)</f>
        <v>0.24583333333333332</v>
      </c>
      <c r="AR35" s="57">
        <f>_xlfn.RANK.EQ(AQ35,AQ$3:AQ$10000,1)</f>
        <v>17</v>
      </c>
      <c r="AS35" s="57">
        <f>IFERROR(IF(_xlfn.XLOOKUP(B35,'w7'!$B:$B,'w7'!$G:$G)="--",0,_xlfn.XLOOKUP(B35,'w7'!$B:$B,'w7'!$G:$G)),0)</f>
        <v>0</v>
      </c>
      <c r="AT35" s="57">
        <f>_xlfn.RANK.EQ(AS35,AS$3:AS$10000,0)</f>
        <v>69</v>
      </c>
      <c r="AU35" s="62">
        <f>IFERROR(_xlfn.XLOOKUP(B35,'w8'!$B:$B,'w8'!$C:$C),0)</f>
        <v>40.1</v>
      </c>
      <c r="AV35" s="61">
        <f>_xlfn.RANK.EQ(AU35,AU$3:AU$10000,0)</f>
        <v>21</v>
      </c>
      <c r="AW35" s="63">
        <f>IFERROR(_xlfn.XLOOKUP(B35,'w8'!$B:$B,'w8'!$F:$F),1)</f>
        <v>0.25</v>
      </c>
      <c r="AX35" s="61">
        <f>_xlfn.RANK.EQ(AW35,AW$3:AW$10000,1)</f>
        <v>14</v>
      </c>
      <c r="AY35" s="61">
        <f>IFERROR(IF(_xlfn.XLOOKUP(B35,'w8'!$B:$B,'w8'!$G:$G)="--",0,_xlfn.XLOOKUP(B35,'w8'!$B:$B,'w8'!$G:$G)),0)</f>
        <v>46</v>
      </c>
      <c r="AZ35" s="61">
        <f>_xlfn.RANK.EQ(AY35,AY$3:AY$10000,0)</f>
        <v>60</v>
      </c>
      <c r="BA35" s="66">
        <f>IFERROR(_xlfn.XLOOKUP(C35,'w9'!$B:$B,'w9'!$C:$C),0)</f>
        <v>39.6</v>
      </c>
      <c r="BB35" s="67">
        <f>_xlfn.RANK.EQ(BA35,BA$3:BA$10000,0)</f>
        <v>24</v>
      </c>
      <c r="BC35" s="68">
        <f>IFERROR(_xlfn.XLOOKUP(C35,'w9'!$B:$B,'w9'!$F:$F),1)</f>
        <v>0.24722222222222223</v>
      </c>
      <c r="BD35" s="67">
        <f>_xlfn.RANK.EQ(BC35,BC$3:BC$10000,1)</f>
        <v>14</v>
      </c>
      <c r="BE35" s="67">
        <f>IFERROR(IF(_xlfn.XLOOKUP(C35,'w9'!$B:$B,'w9'!$G:$G)="--",0,_xlfn.XLOOKUP(C35,'w9'!$B:$B,'w9'!$G:$G)),0)</f>
        <v>54</v>
      </c>
      <c r="BF35" s="67">
        <f>_xlfn.RANK.EQ(BE35,BE$3:BE$10000,0)</f>
        <v>63</v>
      </c>
      <c r="BG35" s="72">
        <f>IFERROR(_xlfn.XLOOKUP(B35,'w10'!$B:$B,'w10'!$C:$C),0)</f>
        <v>0</v>
      </c>
      <c r="BH35" s="74">
        <f>_xlfn.RANK.EQ(BG35,BG$3:BG$10000,0)</f>
        <v>77</v>
      </c>
      <c r="BI35" s="75">
        <f>IFERROR(_xlfn.XLOOKUP(B35,'w10'!$B:$B,'w10'!$F:$F),1)</f>
        <v>1</v>
      </c>
      <c r="BJ35" s="74">
        <f>_xlfn.RANK.EQ(BI35,BI$3:BI$10000,1)</f>
        <v>76</v>
      </c>
      <c r="BK35" s="74">
        <f>IFERROR(IF(_xlfn.XLOOKUP(B35,'w10'!$B:$B,'w10'!$G:$G)="--",0,_xlfn.XLOOKUP(B35,'w10'!$B:$B,'w10'!$G:$G)),0)</f>
        <v>0</v>
      </c>
      <c r="BL35" s="74">
        <f>_xlfn.RANK.EQ(BK35,BK$3:BK$10000,0)</f>
        <v>76</v>
      </c>
      <c r="BM35" s="78">
        <f>IFERROR(_xlfn.XLOOKUP(B35,'w11'!$B:$B,'w11'!$C:$C),0)</f>
        <v>0</v>
      </c>
      <c r="BN35" s="80">
        <f>_xlfn.RANK.EQ(BM35,BM$3:BM$10000,0)</f>
        <v>76</v>
      </c>
      <c r="BO35" s="81">
        <f>IFERROR(_xlfn.XLOOKUP(B35,'w11'!$B:$B,'w11'!$F:$F),1)</f>
        <v>1</v>
      </c>
      <c r="BP35" s="80">
        <f>_xlfn.RANK.EQ(BO35,BO$3:BO$10000,1)</f>
        <v>76</v>
      </c>
      <c r="BQ35" s="80">
        <f>IFERROR(IF(_xlfn.XLOOKUP(B35,'w11'!$B:$B,'w11'!$G:$G)="--",0,_xlfn.XLOOKUP(B35,'w11'!$B:$B,'w11'!$G:$G)),0)</f>
        <v>0</v>
      </c>
      <c r="BR35" s="80">
        <f>_xlfn.RANK.EQ(BQ35,BQ$3:BQ$10000,0)</f>
        <v>75</v>
      </c>
      <c r="BS35" s="83">
        <f>IFERROR(_xlfn.XLOOKUP(B35,'w12'!$B:$B,'w12'!$C:$C),0)</f>
        <v>18.100000000000001</v>
      </c>
      <c r="BT35" s="86">
        <f>_xlfn.RANK.EQ(BS35,BS$3:BS$10000,0)</f>
        <v>40</v>
      </c>
      <c r="BU35" s="87">
        <f>IFERROR(_xlfn.XLOOKUP(B35,'w12'!$B:$B,'w12'!$F:$F),1)</f>
        <v>0.25555555555555554</v>
      </c>
      <c r="BV35" s="86">
        <f>_xlfn.RANK.EQ(BU35,BU$3:BU$10000,1)</f>
        <v>20</v>
      </c>
      <c r="BW35" s="86">
        <f>IFERROR(IF(_xlfn.XLOOKUP(B35,'w12'!$B:$B,'w12'!$G:$G)="--",0,_xlfn.XLOOKUP(B35,'w12'!$B:$B,'w12'!$G:$G)),0)</f>
        <v>20</v>
      </c>
      <c r="BX35" s="86">
        <f>_xlfn.RANK.EQ(BW35,BW$3:BW$10000,0)</f>
        <v>69</v>
      </c>
      <c r="BY35" s="89">
        <f>IFERROR(_xlfn.XLOOKUP(B35,'w13'!$B:$B,'w13'!$C:$C),0)</f>
        <v>50.9</v>
      </c>
      <c r="BZ35" s="92">
        <f>_xlfn.RANK.EQ(BY35,BY$3:BY$10000,0)</f>
        <v>8</v>
      </c>
      <c r="CA35" s="93">
        <f>IFERROR(_xlfn.XLOOKUP(B35,'w13'!$B:$B,'w13'!$F:$F),1)</f>
        <v>0.24444444444444444</v>
      </c>
      <c r="CB35" s="92">
        <f>_xlfn.RANK.EQ(CA35,CA$3:CA$10000,1)</f>
        <v>20</v>
      </c>
      <c r="CC35" s="92">
        <f>IFERROR(IF(_xlfn.XLOOKUP(B35,'w13'!$B:$B,'w13'!$G:$G)="--",0,_xlfn.XLOOKUP(B35,'w13'!$B:$B,'w13'!$G:$G)),0)</f>
        <v>80</v>
      </c>
      <c r="CD35" s="92">
        <f>_xlfn.RANK.EQ(CC35,CC$3:CC$10000,0)</f>
        <v>57</v>
      </c>
      <c r="CE35" s="95">
        <f>IFERROR(_xlfn.XLOOKUP(B35,'w14'!$B:$B,'w14'!$C:$C),0)</f>
        <v>31.8</v>
      </c>
      <c r="CF35" s="98">
        <f>_xlfn.RANK.EQ(CE35,CE$3:CE$10000,0)</f>
        <v>33</v>
      </c>
      <c r="CG35" s="99">
        <f>IFERROR(_xlfn.XLOOKUP(B35,'w14'!$B:$B,'w14'!$F:$F),1)</f>
        <v>0.2326388888888889</v>
      </c>
      <c r="CH35" s="98">
        <f>_xlfn.RANK.EQ(CG35,CG$3:CG$10000,1)</f>
        <v>7</v>
      </c>
      <c r="CI35" s="98">
        <f>IFERROR(IF(_xlfn.XLOOKUP(B35,'w14'!$B:$B,'w14'!$G:$G)="--",0,_xlfn.XLOOKUP(B35,'w14'!$B:$B,'w14'!$G:$G)),0)</f>
        <v>100</v>
      </c>
      <c r="CJ35" s="98">
        <f>_xlfn.RANK.EQ(CI35,CI$3:CI$10000,0)</f>
        <v>51</v>
      </c>
      <c r="CK35" s="9">
        <f>_xlfn.RANK.EQ(D35,D$3:D$10000,1)</f>
        <v>33</v>
      </c>
      <c r="CL35" s="26" t="s">
        <v>162</v>
      </c>
      <c r="CM35" s="8">
        <f>SUM(E35,K35,Q35,W35,AC35,AI35,AO35,AU35,BA35,BG35,BM35,BS35,BY35,CE35)</f>
        <v>358.8</v>
      </c>
      <c r="CN35" s="9">
        <f>_xlfn.RANK.EQ(CM35,CM$3:CM$10000)</f>
        <v>33</v>
      </c>
      <c r="CO35" s="15">
        <f>IFERROR(SUM(PRODUCT(E35,G35),PRODUCT(K35,M35),PRODUCT(Q35,S35),PRODUCT(W35,Y35),PRODUCT(AC35,AE35),PRODUCT(AI35,AK35),PRODUCT(AO35,AQ35),PRODUCT(AU35,AW35),PRODUCT(BA35,BC35),PRODUCT(BG35,BI35),PRODUCT(BM35,BO35),PRODUCT(BS35,BU35),PRODUCT(BY35,CA35),PRODUCT(CE35,CG35))/CM35,1)</f>
        <v>0.24558946488294314</v>
      </c>
      <c r="CP35" s="9">
        <f>_xlfn.RANK.EQ(CO35,CO$3:CO$10000,1)</f>
        <v>14</v>
      </c>
      <c r="CQ35" s="9">
        <f>SUM(I35,O35,U35,AA35,AG35,AM35,AS35,AY35,BE35,BK35,BQ35,BW35,CC35,CI35)</f>
        <v>614</v>
      </c>
      <c r="CR35" s="9">
        <f>_xlfn.RANK.EQ(CQ35,CQ$3:CQ$10000)</f>
        <v>83</v>
      </c>
      <c r="CS35" s="23"/>
      <c r="CT35" s="25"/>
      <c r="CU35" s="24">
        <f>_xlfn.STDEV.S(F35,L35,R35,X35,AD35,AJ35,AP35,AV35,BB35,BH35,BN35,BT35,BZ35,CF35)</f>
        <v>21.554046559217671</v>
      </c>
      <c r="CV35" s="21">
        <f>_xlfn.RANK.EQ(CU35,CU$3:CU$10000,1)</f>
        <v>93</v>
      </c>
      <c r="CW35" s="24">
        <f>_xlfn.STDEV.S(H35,N35,T35,Z35,AF35,AL35,AR35,AX35,BD35,BJ35,BP35,BV35,CB35,CH35)</f>
        <v>22.047899902482552</v>
      </c>
      <c r="CX35" s="21">
        <f>_xlfn.RANK.EQ(CW35,CW$3:CW$10000,1)</f>
        <v>81</v>
      </c>
      <c r="CY35" s="24">
        <f>_xlfn.STDEV.S(J35,P35,V35,AB35,AH35,AN35,AT35,AZ35,BF35,BL35,BR35,BX35,CD35,CJ35)</f>
        <v>7.3215022778385972</v>
      </c>
      <c r="CZ35" s="21">
        <f>_xlfn.RANK.EQ(CY35,CY$3:CY$10000,1)</f>
        <v>15</v>
      </c>
      <c r="DA35">
        <f>SUM(COUNTIF(E35,"&gt;0"),COUNTIF(K35,"&gt;0"),COUNTIF(Q35,"&gt;0"),COUNTIF(W35,"&gt;0"),COUNTIF(AC35,"&gt;0"),COUNTIF(AI35,"&gt;0"),COUNTIF(AO35,"&gt;0"),COUNTIF(AU35,"&gt;0"),COUNTIF(BA35,"&gt;0"),COUNTIF(BG35,"&gt;0"),COUNTIF(BM35,"&gt;0"),COUNTIF(BS35,"&gt;0"),COUNTIF(BY35,"&gt;0"),COUNTIF(CE35,"&gt;0"))</f>
        <v>12</v>
      </c>
    </row>
    <row r="36" spans="1:105" x14ac:dyDescent="0.3">
      <c r="B36" t="s">
        <v>56</v>
      </c>
      <c r="C36" s="18" t="s">
        <v>457</v>
      </c>
      <c r="D36" s="4">
        <f>CN36*$CN$1+CP36*$CP$1+CR36*$CR$1</f>
        <v>34.65</v>
      </c>
      <c r="E36" s="29">
        <f>IFERROR(_xlfn.XLOOKUP(B36,'w1'!$B:$B,'w1'!$C:$C),0)</f>
        <v>14.7</v>
      </c>
      <c r="F36" s="30">
        <f>_xlfn.RANK.EQ(E36,E$3:E$10000,0)</f>
        <v>53</v>
      </c>
      <c r="G36" s="31">
        <f>IFERROR(_xlfn.XLOOKUP(B36,'w1'!$B:$B,'w1'!$F:$F),1)</f>
        <v>0.37986111111111109</v>
      </c>
      <c r="H36" s="30">
        <f>_xlfn.RANK.EQ(G36,G$3:G$10000,1)</f>
        <v>74</v>
      </c>
      <c r="I36" s="30">
        <f>IFERROR(IF(_xlfn.XLOOKUP(B36,'w1'!$B:$B,'w1'!$G:$G)="--",0,_xlfn.XLOOKUP(B36,'w1'!$B:$B,'w1'!$G:$G)),0)</f>
        <v>502</v>
      </c>
      <c r="J36" s="30">
        <f>_xlfn.RANK.EQ(I36,I$3:I$10000,0)</f>
        <v>21</v>
      </c>
      <c r="K36" s="34">
        <f>IFERROR(_xlfn.XLOOKUP(B36,'w2'!$B:$B,'w2'!$C:$C),0)</f>
        <v>10.7</v>
      </c>
      <c r="L36" s="35">
        <f>_xlfn.RANK.EQ(K36,K$3:K$10000,0)</f>
        <v>56</v>
      </c>
      <c r="M36" s="36">
        <f>IFERROR(_xlfn.XLOOKUP(B36,'w2'!$B:$B,'w2'!$F:$F),1)</f>
        <v>0.35972222222222222</v>
      </c>
      <c r="N36" s="35">
        <f>_xlfn.RANK.EQ(M36,M$3:M$10000,1)</f>
        <v>65</v>
      </c>
      <c r="O36" s="35">
        <f>IFERROR(IF(_xlfn.XLOOKUP(B36,'w2'!$B:$B,'w2'!$G:$G)="--",0,_xlfn.XLOOKUP(B36,'w2'!$B:$B,'w2'!$G:$G)),0)</f>
        <v>143</v>
      </c>
      <c r="P36" s="35">
        <f>_xlfn.RANK.EQ(O36,O$3:O$10000,0)</f>
        <v>49</v>
      </c>
      <c r="Q36" s="39">
        <f>IFERROR(_xlfn.XLOOKUP(B36,'w3'!$B:$B,'w3'!$C:$C),0)</f>
        <v>12.7</v>
      </c>
      <c r="R36" s="40">
        <f>_xlfn.RANK.EQ(Q36,Q$3:Q$10000,0)</f>
        <v>59</v>
      </c>
      <c r="S36" s="41">
        <f>IFERROR(_xlfn.XLOOKUP(B36,'w3'!$B:$B,'w3'!$F:$F),1)</f>
        <v>0.34166666666666667</v>
      </c>
      <c r="T36" s="40">
        <f>_xlfn.RANK.EQ(S36,S$3:S$10000,1)</f>
        <v>68</v>
      </c>
      <c r="U36" s="40">
        <f>IFERROR(IF(_xlfn.XLOOKUP(B36,'w3'!$B:$B,'w3'!$G:$G)="--",0,_xlfn.XLOOKUP(B36,'w3'!$B:$B,'w3'!$G:$G)),0)</f>
        <v>521</v>
      </c>
      <c r="V36" s="40">
        <f>_xlfn.RANK.EQ(U36,U$3:U$10000,0)</f>
        <v>19</v>
      </c>
      <c r="W36" s="44">
        <f>IFERROR(_xlfn.XLOOKUP(B36,'w4'!$B:$B,'w4'!$C:$C),0)</f>
        <v>39.9</v>
      </c>
      <c r="X36" s="45">
        <f>_xlfn.RANK.EQ(W36,W$3:W$10000,0)</f>
        <v>15</v>
      </c>
      <c r="Y36" s="46">
        <f>IFERROR(_xlfn.XLOOKUP(B36,'w4'!$B:$B,'w4'!$F:$F),1)</f>
        <v>0.36805555555555558</v>
      </c>
      <c r="Z36" s="45">
        <f>_xlfn.RANK.EQ(Y36,Y$3:Y$10000,1)</f>
        <v>68</v>
      </c>
      <c r="AA36" s="45">
        <f>IFERROR(IF(_xlfn.XLOOKUP(B36,'w4'!$B:$B,'w4'!$G:$G)="--",0,_xlfn.XLOOKUP(B36,'w4'!$B:$B,'w4'!$G:$G)),0)</f>
        <v>1466</v>
      </c>
      <c r="AB36" s="45">
        <f>_xlfn.RANK.EQ(AA36,AA$3:AA$10000,0)</f>
        <v>9</v>
      </c>
      <c r="AC36" s="13">
        <f>IFERROR(_xlfn.XLOOKUP(B36,'w5'!$B:$B,'w5'!$C:$C),0)</f>
        <v>77.099999999999994</v>
      </c>
      <c r="AD36" s="12">
        <f>_xlfn.RANK.EQ(AC36,AC$3:AC$10000,0)</f>
        <v>3</v>
      </c>
      <c r="AE36" s="14">
        <f>IFERROR(_xlfn.XLOOKUP(B36,'w5'!$B:$B,'w5'!$F:$F),1)</f>
        <v>0.34652777777777777</v>
      </c>
      <c r="AF36" s="12">
        <f>_xlfn.RANK.EQ(AE36,AE$3:AE$10000,1)</f>
        <v>55</v>
      </c>
      <c r="AG36" s="12">
        <f>IFERROR(IF(_xlfn.XLOOKUP(B36,'w5'!$B:$B,'w5'!$G:$G)="--",0,_xlfn.XLOOKUP(B36,'w5'!$B:$B,'w5'!$G:$G)),0)</f>
        <v>2415</v>
      </c>
      <c r="AH36" s="12">
        <f>_xlfn.RANK.EQ(AG36,AG$3:AG$10000,0)</f>
        <v>1</v>
      </c>
      <c r="AI36" s="51">
        <f>IFERROR(_xlfn.XLOOKUP(B36,'w6'!$B:$B,'w6'!$C:$C),0)</f>
        <v>10.7</v>
      </c>
      <c r="AJ36" s="50">
        <f>_xlfn.RANK.EQ(AI36,AI$3:AI$10000,0)</f>
        <v>41</v>
      </c>
      <c r="AK36" s="52">
        <f>IFERROR(_xlfn.XLOOKUP(B36,'w6'!$B:$B,'w6'!$F:$F),1)</f>
        <v>0.33263888888888887</v>
      </c>
      <c r="AL36" s="50">
        <f>_xlfn.RANK.EQ(AK36,AK$3:AK$10000,1)</f>
        <v>47</v>
      </c>
      <c r="AM36" s="50">
        <f>IFERROR(IF(_xlfn.XLOOKUP(B36,'w6'!$B:$B,'w6'!$G:$G)="--",0,_xlfn.XLOOKUP(B36,'w6'!$B:$B,'w6'!$G:$G)),0)</f>
        <v>312</v>
      </c>
      <c r="AN36" s="50">
        <f>_xlfn.RANK.EQ(AM36,AM$3:AM$10000,0)</f>
        <v>20</v>
      </c>
      <c r="AO36" s="56">
        <f>IFERROR(_xlfn.XLOOKUP(B36,'w7'!$B:$B,'w7'!$C:$C),0)</f>
        <v>28.5</v>
      </c>
      <c r="AP36" s="57">
        <f>_xlfn.RANK.EQ(AO36,AO$3:AO$10000,0)</f>
        <v>28</v>
      </c>
      <c r="AQ36" s="58">
        <f>IFERROR(_xlfn.XLOOKUP(B36,'w7'!$B:$B,'w7'!$F:$F),1)</f>
        <v>0.2986111111111111</v>
      </c>
      <c r="AR36" s="57">
        <f>_xlfn.RANK.EQ(AQ36,AQ$3:AQ$10000,1)</f>
        <v>42</v>
      </c>
      <c r="AS36" s="57">
        <f>IFERROR(IF(_xlfn.XLOOKUP(B36,'w7'!$B:$B,'w7'!$G:$G)="--",0,_xlfn.XLOOKUP(B36,'w7'!$B:$B,'w7'!$G:$G)),0)</f>
        <v>296</v>
      </c>
      <c r="AT36" s="57">
        <f>_xlfn.RANK.EQ(AS36,AS$3:AS$10000,0)</f>
        <v>31</v>
      </c>
      <c r="AU36" s="62">
        <f>IFERROR(_xlfn.XLOOKUP(B36,'w8'!$B:$B,'w8'!$C:$C),0)</f>
        <v>11.4</v>
      </c>
      <c r="AV36" s="61">
        <f>_xlfn.RANK.EQ(AU36,AU$3:AU$10000,0)</f>
        <v>60</v>
      </c>
      <c r="AW36" s="63">
        <f>IFERROR(_xlfn.XLOOKUP(B36,'w8'!$B:$B,'w8'!$F:$F),1)</f>
        <v>0.32430555555555557</v>
      </c>
      <c r="AX36" s="61">
        <f>_xlfn.RANK.EQ(AW36,AW$3:AW$10000,1)</f>
        <v>57</v>
      </c>
      <c r="AY36" s="61">
        <f>IFERROR(IF(_xlfn.XLOOKUP(B36,'w8'!$B:$B,'w8'!$G:$G)="--",0,_xlfn.XLOOKUP(B36,'w8'!$B:$B,'w8'!$G:$G)),0)</f>
        <v>236</v>
      </c>
      <c r="AZ36" s="61">
        <f>_xlfn.RANK.EQ(AY36,AY$3:AY$10000,0)</f>
        <v>36</v>
      </c>
      <c r="BA36" s="66">
        <f>IFERROR(_xlfn.XLOOKUP(C36,'w9'!$B:$B,'w9'!$C:$C),0)</f>
        <v>34.299999999999997</v>
      </c>
      <c r="BB36" s="67">
        <f>_xlfn.RANK.EQ(BA36,BA$3:BA$10000,0)</f>
        <v>31</v>
      </c>
      <c r="BC36" s="68">
        <f>IFERROR(_xlfn.XLOOKUP(C36,'w9'!$B:$B,'w9'!$F:$F),1)</f>
        <v>0.36319444444444443</v>
      </c>
      <c r="BD36" s="67">
        <f>_xlfn.RANK.EQ(BC36,BC$3:BC$10000,1)</f>
        <v>66</v>
      </c>
      <c r="BE36" s="67">
        <f>IFERROR(IF(_xlfn.XLOOKUP(C36,'w9'!$B:$B,'w9'!$G:$G)="--",0,_xlfn.XLOOKUP(C36,'w9'!$B:$B,'w9'!$G:$G)),0)</f>
        <v>465</v>
      </c>
      <c r="BF36" s="67">
        <f>_xlfn.RANK.EQ(BE36,BE$3:BE$10000,0)</f>
        <v>31</v>
      </c>
      <c r="BG36" s="72">
        <f>IFERROR(_xlfn.XLOOKUP(B36,'w10'!$B:$B,'w10'!$C:$C),0)</f>
        <v>24.7</v>
      </c>
      <c r="BH36" s="74">
        <f>_xlfn.RANK.EQ(BG36,BG$3:BG$10000,0)</f>
        <v>33</v>
      </c>
      <c r="BI36" s="75">
        <f>IFERROR(_xlfn.XLOOKUP(B36,'w10'!$B:$B,'w10'!$F:$F),1)</f>
        <v>0.28263888888888888</v>
      </c>
      <c r="BJ36" s="74">
        <f>_xlfn.RANK.EQ(BI36,BI$3:BI$10000,1)</f>
        <v>42</v>
      </c>
      <c r="BK36" s="74">
        <f>IFERROR(IF(_xlfn.XLOOKUP(B36,'w10'!$B:$B,'w10'!$G:$G)="--",0,_xlfn.XLOOKUP(B36,'w10'!$B:$B,'w10'!$G:$G)),0)</f>
        <v>772</v>
      </c>
      <c r="BL36" s="74">
        <f>_xlfn.RANK.EQ(BK36,BK$3:BK$10000,0)</f>
        <v>14</v>
      </c>
      <c r="BM36" s="78">
        <f>IFERROR(_xlfn.XLOOKUP(B36,'w11'!$B:$B,'w11'!$C:$C),0)</f>
        <v>22.8</v>
      </c>
      <c r="BN36" s="80">
        <f>_xlfn.RANK.EQ(BM36,BM$3:BM$10000,0)</f>
        <v>38</v>
      </c>
      <c r="BO36" s="81">
        <f>IFERROR(_xlfn.XLOOKUP(B36,'w11'!$B:$B,'w11'!$F:$F),1)</f>
        <v>0.34652777777777777</v>
      </c>
      <c r="BP36" s="80">
        <f>_xlfn.RANK.EQ(BO36,BO$3:BO$10000,1)</f>
        <v>64</v>
      </c>
      <c r="BQ36" s="80">
        <f>IFERROR(IF(_xlfn.XLOOKUP(B36,'w11'!$B:$B,'w11'!$G:$G)="--",0,_xlfn.XLOOKUP(B36,'w11'!$B:$B,'w11'!$G:$G)),0)</f>
        <v>590</v>
      </c>
      <c r="BR36" s="80">
        <f>_xlfn.RANK.EQ(BQ36,BQ$3:BQ$10000,0)</f>
        <v>14</v>
      </c>
      <c r="BS36" s="83">
        <f>IFERROR(_xlfn.XLOOKUP(B36,'w12'!$B:$B,'w12'!$C:$C),0)</f>
        <v>10.1</v>
      </c>
      <c r="BT36" s="86">
        <f>_xlfn.RANK.EQ(BS36,BS$3:BS$10000,0)</f>
        <v>58</v>
      </c>
      <c r="BU36" s="87">
        <f>IFERROR(_xlfn.XLOOKUP(B36,'w12'!$B:$B,'w12'!$F:$F),1)</f>
        <v>0.26458333333333334</v>
      </c>
      <c r="BV36" s="86">
        <f>_xlfn.RANK.EQ(BU36,BU$3:BU$10000,1)</f>
        <v>29</v>
      </c>
      <c r="BW36" s="86">
        <f>IFERROR(IF(_xlfn.XLOOKUP(B36,'w12'!$B:$B,'w12'!$G:$G)="--",0,_xlfn.XLOOKUP(B36,'w12'!$B:$B,'w12'!$G:$G)),0)</f>
        <v>62</v>
      </c>
      <c r="BX36" s="86">
        <f>_xlfn.RANK.EQ(BW36,BW$3:BW$10000,0)</f>
        <v>64</v>
      </c>
      <c r="BY36" s="89">
        <f>IFERROR(_xlfn.XLOOKUP(B36,'w13'!$B:$B,'w13'!$C:$C),0)</f>
        <v>15.1</v>
      </c>
      <c r="BZ36" s="92">
        <f>_xlfn.RANK.EQ(BY36,BY$3:BY$10000,0)</f>
        <v>56</v>
      </c>
      <c r="CA36" s="93">
        <f>IFERROR(_xlfn.XLOOKUP(B36,'w13'!$B:$B,'w13'!$F:$F),1)</f>
        <v>0.18888888888888888</v>
      </c>
      <c r="CB36" s="92">
        <f>_xlfn.RANK.EQ(CA36,CA$3:CA$10000,1)</f>
        <v>1</v>
      </c>
      <c r="CC36" s="92">
        <f>IFERROR(IF(_xlfn.XLOOKUP(B36,'w13'!$B:$B,'w13'!$G:$G)="--",0,_xlfn.XLOOKUP(B36,'w13'!$B:$B,'w13'!$G:$G)),0)</f>
        <v>124</v>
      </c>
      <c r="CD36" s="92">
        <f>_xlfn.RANK.EQ(CC36,CC$3:CC$10000,0)</f>
        <v>47</v>
      </c>
      <c r="CE36" s="95">
        <f>IFERROR(_xlfn.XLOOKUP(B36,'w14'!$B:$B,'w14'!$C:$C),0)</f>
        <v>40.200000000000003</v>
      </c>
      <c r="CF36" s="98">
        <f>_xlfn.RANK.EQ(CE36,CE$3:CE$10000,0)</f>
        <v>19</v>
      </c>
      <c r="CG36" s="99">
        <f>IFERROR(_xlfn.XLOOKUP(B36,'w14'!$B:$B,'w14'!$F:$F),1)</f>
        <v>0.37986111111111109</v>
      </c>
      <c r="CH36" s="98">
        <f>_xlfn.RANK.EQ(CG36,CG$3:CG$10000,1)</f>
        <v>61</v>
      </c>
      <c r="CI36" s="98">
        <f>IFERROR(IF(_xlfn.XLOOKUP(B36,'w14'!$B:$B,'w14'!$G:$G)="--",0,_xlfn.XLOOKUP(B36,'w14'!$B:$B,'w14'!$G:$G)),0)</f>
        <v>1658</v>
      </c>
      <c r="CJ36" s="98">
        <f>_xlfn.RANK.EQ(CI36,CI$3:CI$10000,0)</f>
        <v>6</v>
      </c>
      <c r="CK36" s="9">
        <f>_xlfn.RANK.EQ(D36,D$3:D$10000,1)</f>
        <v>34</v>
      </c>
      <c r="CL36" s="26" t="s">
        <v>160</v>
      </c>
      <c r="CM36" s="8">
        <f>SUM(E36,K36,Q36,W36,AC36,AI36,AO36,AU36,BA36,BG36,BM36,BS36,BY36,CE36)</f>
        <v>352.90000000000003</v>
      </c>
      <c r="CN36" s="9">
        <f>_xlfn.RANK.EQ(CM36,CM$3:CM$10000)</f>
        <v>34</v>
      </c>
      <c r="CO36" s="15">
        <f>IFERROR(SUM(PRODUCT(E36,G36),PRODUCT(K36,M36),PRODUCT(Q36,S36),PRODUCT(W36,Y36),PRODUCT(AC36,AE36),PRODUCT(AI36,AK36),PRODUCT(AO36,AQ36),PRODUCT(AU36,AW36),PRODUCT(BA36,BC36),PRODUCT(BG36,BI36),PRODUCT(BM36,BO36),PRODUCT(BS36,BU36),PRODUCT(BY36,CA36),PRODUCT(CE36,CG36))/CM36,1)</f>
        <v>0.33742168067756051</v>
      </c>
      <c r="CP36" s="9">
        <f>_xlfn.RANK.EQ(CO36,CO$3:CO$10000,1)</f>
        <v>80</v>
      </c>
      <c r="CQ36" s="9">
        <f>SUM(I36,O36,U36,AA36,AG36,AM36,AS36,AY36,BE36,BK36,BQ36,BW36,CC36,CI36)</f>
        <v>9562</v>
      </c>
      <c r="CR36" s="9">
        <f>_xlfn.RANK.EQ(CQ36,CQ$3:CQ$10000)</f>
        <v>14</v>
      </c>
      <c r="CS36" s="23">
        <f t="shared" ref="CS36:CS39" si="8">_xlfn.RANK.EQ(CT36,CT$3:CT$10000,1)</f>
        <v>29</v>
      </c>
      <c r="CT36" s="25">
        <f t="shared" ref="CT36:CT39" si="9">CV36*$CN$1+CX36*$CP$1+CZ36*$CR$1</f>
        <v>84.55</v>
      </c>
      <c r="CU36" s="24">
        <f>_xlfn.STDEV.S(F36,L36,R36,X36,AD36,AJ36,AP36,AV36,BB36,BH36,BN36,BT36,BZ36,CF36)</f>
        <v>18.549014369123064</v>
      </c>
      <c r="CV36" s="21">
        <f>_xlfn.RANK.EQ(CU36,CU$3:CU$10000,1)</f>
        <v>85</v>
      </c>
      <c r="CW36" s="24">
        <f>_xlfn.STDEV.S(H36,N36,T36,Z36,AF36,AL36,AR36,AX36,BD36,BJ36,BP36,BV36,CB36,CH36)</f>
        <v>19.545523081449439</v>
      </c>
      <c r="CX36" s="21">
        <f>_xlfn.RANK.EQ(CW36,CW$3:CW$10000,1)</f>
        <v>77</v>
      </c>
      <c r="CY36" s="24">
        <f>_xlfn.STDEV.S(J36,P36,V36,AB36,AH36,AN36,AT36,AZ36,BF36,BL36,BR36,BX36,CD36,CJ36)</f>
        <v>18.135630645254633</v>
      </c>
      <c r="CZ36" s="21">
        <f>_xlfn.RANK.EQ(CY36,CY$3:CY$10000,1)</f>
        <v>75</v>
      </c>
      <c r="DA36">
        <f>SUM(COUNTIF(E36,"&gt;0"),COUNTIF(K36,"&gt;0"),COUNTIF(Q36,"&gt;0"),COUNTIF(W36,"&gt;0"),COUNTIF(AC36,"&gt;0"),COUNTIF(AI36,"&gt;0"),COUNTIF(AO36,"&gt;0"),COUNTIF(AU36,"&gt;0"),COUNTIF(BA36,"&gt;0"),COUNTIF(BG36,"&gt;0"),COUNTIF(BM36,"&gt;0"),COUNTIF(BS36,"&gt;0"),COUNTIF(BY36,"&gt;0"),COUNTIF(CE36,"&gt;0"))</f>
        <v>14</v>
      </c>
    </row>
    <row r="37" spans="1:105" x14ac:dyDescent="0.3">
      <c r="A37" t="s">
        <v>171</v>
      </c>
      <c r="B37" t="s">
        <v>30</v>
      </c>
      <c r="C37" s="18" t="s">
        <v>150</v>
      </c>
      <c r="D37" s="4">
        <f>CN37*$CN$1+CP37*$CP$1+CR37*$CR$1</f>
        <v>35.099999999999994</v>
      </c>
      <c r="E37" s="29">
        <f>IFERROR(_xlfn.XLOOKUP(B37,'w1'!$B:$B,'w1'!$C:$C),0)</f>
        <v>30.6</v>
      </c>
      <c r="F37" s="30">
        <f>_xlfn.RANK.EQ(E37,E$3:E$10000,0)</f>
        <v>27</v>
      </c>
      <c r="G37" s="31">
        <f>IFERROR(_xlfn.XLOOKUP(B37,'w1'!$B:$B,'w1'!$F:$F),1)</f>
        <v>0.27361111111111114</v>
      </c>
      <c r="H37" s="30">
        <f>_xlfn.RANK.EQ(G37,G$3:G$10000,1)</f>
        <v>41</v>
      </c>
      <c r="I37" s="30">
        <f>IFERROR(IF(_xlfn.XLOOKUP(B37,'w1'!$B:$B,'w1'!$G:$G)="--",0,_xlfn.XLOOKUP(B37,'w1'!$B:$B,'w1'!$G:$G)),0)</f>
        <v>216</v>
      </c>
      <c r="J37" s="30">
        <f>_xlfn.RANK.EQ(I37,I$3:I$10000,0)</f>
        <v>43</v>
      </c>
      <c r="K37" s="34">
        <f>IFERROR(_xlfn.XLOOKUP(B37,'w2'!$B:$B,'w2'!$C:$C),0)</f>
        <v>35.4</v>
      </c>
      <c r="L37" s="35">
        <f>_xlfn.RANK.EQ(K37,K$3:K$10000,0)</f>
        <v>20</v>
      </c>
      <c r="M37" s="36">
        <f>IFERROR(_xlfn.XLOOKUP(B37,'w2'!$B:$B,'w2'!$F:$F),1)</f>
        <v>0.27013888888888887</v>
      </c>
      <c r="N37" s="35">
        <f>_xlfn.RANK.EQ(M37,M$3:M$10000,1)</f>
        <v>28</v>
      </c>
      <c r="O37" s="35">
        <f>IFERROR(IF(_xlfn.XLOOKUP(B37,'w2'!$B:$B,'w2'!$G:$G)="--",0,_xlfn.XLOOKUP(B37,'w2'!$B:$B,'w2'!$G:$G)),0)</f>
        <v>285</v>
      </c>
      <c r="P37" s="35">
        <f>_xlfn.RANK.EQ(O37,O$3:O$10000,0)</f>
        <v>32</v>
      </c>
      <c r="Q37" s="39">
        <f>IFERROR(_xlfn.XLOOKUP(B37,'w3'!$B:$B,'w3'!$C:$C),0)</f>
        <v>25.2</v>
      </c>
      <c r="R37" s="40">
        <f>_xlfn.RANK.EQ(Q37,Q$3:Q$10000,0)</f>
        <v>37</v>
      </c>
      <c r="S37" s="41">
        <f>IFERROR(_xlfn.XLOOKUP(B37,'w3'!$B:$B,'w3'!$F:$F),1)</f>
        <v>0.27430555555555558</v>
      </c>
      <c r="T37" s="40">
        <f>_xlfn.RANK.EQ(S37,S$3:S$10000,1)</f>
        <v>42</v>
      </c>
      <c r="U37" s="40">
        <f>IFERROR(IF(_xlfn.XLOOKUP(B37,'w3'!$B:$B,'w3'!$G:$G)="--",0,_xlfn.XLOOKUP(B37,'w3'!$B:$B,'w3'!$G:$G)),0)</f>
        <v>133</v>
      </c>
      <c r="V37" s="40">
        <f>_xlfn.RANK.EQ(U37,U$3:U$10000,0)</f>
        <v>48</v>
      </c>
      <c r="W37" s="44">
        <f>IFERROR(_xlfn.XLOOKUP(B37,'w4'!$B:$B,'w4'!$C:$C),0)</f>
        <v>30.5</v>
      </c>
      <c r="X37" s="45">
        <f>_xlfn.RANK.EQ(W37,W$3:W$10000,0)</f>
        <v>24</v>
      </c>
      <c r="Y37" s="46">
        <f>IFERROR(_xlfn.XLOOKUP(B37,'w4'!$B:$B,'w4'!$F:$F),1)</f>
        <v>0.25694444444444442</v>
      </c>
      <c r="Z37" s="45">
        <f>_xlfn.RANK.EQ(Y37,Y$3:Y$10000,1)</f>
        <v>29</v>
      </c>
      <c r="AA37" s="45">
        <f>IFERROR(IF(_xlfn.XLOOKUP(B37,'w4'!$B:$B,'w4'!$G:$G)="--",0,_xlfn.XLOOKUP(B37,'w4'!$B:$B,'w4'!$G:$G)),0)</f>
        <v>170</v>
      </c>
      <c r="AB37" s="45">
        <f>_xlfn.RANK.EQ(AA37,AA$3:AA$10000,0)</f>
        <v>37</v>
      </c>
      <c r="AC37" s="13">
        <f>IFERROR(_xlfn.XLOOKUP(B37,'w5'!$B:$B,'w5'!$C:$C),0)</f>
        <v>30.8</v>
      </c>
      <c r="AD37" s="12">
        <f>_xlfn.RANK.EQ(AC37,AC$3:AC$10000,0)</f>
        <v>34</v>
      </c>
      <c r="AE37" s="14">
        <f>IFERROR(_xlfn.XLOOKUP(B37,'w5'!$B:$B,'w5'!$F:$F),1)</f>
        <v>0.27291666666666664</v>
      </c>
      <c r="AF37" s="12">
        <f>_xlfn.RANK.EQ(AE37,AE$3:AE$10000,1)</f>
        <v>32</v>
      </c>
      <c r="AG37" s="12">
        <f>IFERROR(IF(_xlfn.XLOOKUP(B37,'w5'!$B:$B,'w5'!$G:$G)="--",0,_xlfn.XLOOKUP(B37,'w5'!$B:$B,'w5'!$G:$G)),0)</f>
        <v>285</v>
      </c>
      <c r="AH37" s="12">
        <f>_xlfn.RANK.EQ(AG37,AG$3:AG$10000,0)</f>
        <v>33</v>
      </c>
      <c r="AI37" s="51">
        <f>IFERROR(_xlfn.XLOOKUP(B37,'w6'!$B:$B,'w6'!$C:$C),0)</f>
        <v>29.4</v>
      </c>
      <c r="AJ37" s="50">
        <f>_xlfn.RANK.EQ(AI37,AI$3:AI$10000,0)</f>
        <v>19</v>
      </c>
      <c r="AK37" s="52">
        <f>IFERROR(_xlfn.XLOOKUP(B37,'w6'!$B:$B,'w6'!$F:$F),1)</f>
        <v>0.27430555555555558</v>
      </c>
      <c r="AL37" s="50">
        <f>_xlfn.RANK.EQ(AK37,AK$3:AK$10000,1)</f>
        <v>27</v>
      </c>
      <c r="AM37" s="50">
        <f>IFERROR(IF(_xlfn.XLOOKUP(B37,'w6'!$B:$B,'w6'!$G:$G)="--",0,_xlfn.XLOOKUP(B37,'w6'!$B:$B,'w6'!$G:$G)),0)</f>
        <v>589</v>
      </c>
      <c r="AN37" s="50">
        <f>_xlfn.RANK.EQ(AM37,AM$3:AM$10000,0)</f>
        <v>13</v>
      </c>
      <c r="AO37" s="56">
        <f>IFERROR(_xlfn.XLOOKUP(B37,'w7'!$B:$B,'w7'!$C:$C),0)</f>
        <v>23.9</v>
      </c>
      <c r="AP37" s="57">
        <f>_xlfn.RANK.EQ(AO37,AO$3:AO$10000,0)</f>
        <v>34</v>
      </c>
      <c r="AQ37" s="58">
        <f>IFERROR(_xlfn.XLOOKUP(B37,'w7'!$B:$B,'w7'!$F:$F),1)</f>
        <v>0.25277777777777777</v>
      </c>
      <c r="AR37" s="57">
        <f>_xlfn.RANK.EQ(AQ37,AQ$3:AQ$10000,1)</f>
        <v>21</v>
      </c>
      <c r="AS37" s="57">
        <f>IFERROR(IF(_xlfn.XLOOKUP(B37,'w7'!$B:$B,'w7'!$G:$G)="--",0,_xlfn.XLOOKUP(B37,'w7'!$B:$B,'w7'!$G:$G)),0)</f>
        <v>315</v>
      </c>
      <c r="AT37" s="57">
        <f>_xlfn.RANK.EQ(AS37,AS$3:AS$10000,0)</f>
        <v>28</v>
      </c>
      <c r="AU37" s="62">
        <f>IFERROR(_xlfn.XLOOKUP(B37,'w8'!$B:$B,'w8'!$C:$C),0)</f>
        <v>5.5</v>
      </c>
      <c r="AV37" s="61">
        <f>_xlfn.RANK.EQ(AU37,AU$3:AU$10000,0)</f>
        <v>68</v>
      </c>
      <c r="AW37" s="63">
        <f>IFERROR(_xlfn.XLOOKUP(B37,'w8'!$B:$B,'w8'!$F:$F),1)</f>
        <v>0.27361111111111114</v>
      </c>
      <c r="AX37" s="61">
        <f>_xlfn.RANK.EQ(AW37,AW$3:AW$10000,1)</f>
        <v>34</v>
      </c>
      <c r="AY37" s="61">
        <f>IFERROR(IF(_xlfn.XLOOKUP(B37,'w8'!$B:$B,'w8'!$G:$G)="--",0,_xlfn.XLOOKUP(B37,'w8'!$B:$B,'w8'!$G:$G)),0)</f>
        <v>100</v>
      </c>
      <c r="AZ37" s="61">
        <f>_xlfn.RANK.EQ(AY37,AY$3:AY$10000,0)</f>
        <v>53</v>
      </c>
      <c r="BA37" s="66">
        <f>IFERROR(_xlfn.XLOOKUP(C37,'w9'!$B:$B,'w9'!$C:$C),0)</f>
        <v>23.6</v>
      </c>
      <c r="BB37" s="67">
        <f>_xlfn.RANK.EQ(BA37,BA$3:BA$10000,0)</f>
        <v>47</v>
      </c>
      <c r="BC37" s="68">
        <f>IFERROR(_xlfn.XLOOKUP(C37,'w9'!$B:$B,'w9'!$F:$F),1)</f>
        <v>0.2673611111111111</v>
      </c>
      <c r="BD37" s="67">
        <f>_xlfn.RANK.EQ(BC37,BC$3:BC$10000,1)</f>
        <v>23</v>
      </c>
      <c r="BE37" s="67">
        <f>IFERROR(IF(_xlfn.XLOOKUP(C37,'w9'!$B:$B,'w9'!$G:$G)="--",0,_xlfn.XLOOKUP(C37,'w9'!$B:$B,'w9'!$G:$G)),0)</f>
        <v>85</v>
      </c>
      <c r="BF37" s="67">
        <f>_xlfn.RANK.EQ(BE37,BE$3:BE$10000,0)</f>
        <v>61</v>
      </c>
      <c r="BG37" s="72">
        <f>IFERROR(_xlfn.XLOOKUP(B37,'w10'!$B:$B,'w10'!$C:$C),0)</f>
        <v>24.1</v>
      </c>
      <c r="BH37" s="74">
        <f>_xlfn.RANK.EQ(BG37,BG$3:BG$10000,0)</f>
        <v>34</v>
      </c>
      <c r="BI37" s="75">
        <f>IFERROR(_xlfn.XLOOKUP(B37,'w10'!$B:$B,'w10'!$F:$F),1)</f>
        <v>0.33541666666666664</v>
      </c>
      <c r="BJ37" s="74">
        <f>_xlfn.RANK.EQ(BI37,BI$3:BI$10000,1)</f>
        <v>64</v>
      </c>
      <c r="BK37" s="74">
        <f>IFERROR(IF(_xlfn.XLOOKUP(B37,'w10'!$B:$B,'w10'!$G:$G)="--",0,_xlfn.XLOOKUP(B37,'w10'!$B:$B,'w10'!$G:$G)),0)</f>
        <v>909</v>
      </c>
      <c r="BL37" s="74">
        <f>_xlfn.RANK.EQ(BK37,BK$3:BK$10000,0)</f>
        <v>11</v>
      </c>
      <c r="BM37" s="78">
        <f>IFERROR(_xlfn.XLOOKUP(B37,'w11'!$B:$B,'w11'!$C:$C),0)</f>
        <v>6.9</v>
      </c>
      <c r="BN37" s="80">
        <f>_xlfn.RANK.EQ(BM37,BM$3:BM$10000,0)</f>
        <v>71</v>
      </c>
      <c r="BO37" s="81">
        <f>IFERROR(_xlfn.XLOOKUP(B37,'w11'!$B:$B,'w11'!$F:$F),1)</f>
        <v>0.26458333333333334</v>
      </c>
      <c r="BP37" s="80">
        <f>_xlfn.RANK.EQ(BO37,BO$3:BO$10000,1)</f>
        <v>31</v>
      </c>
      <c r="BQ37" s="80">
        <f>IFERROR(IF(_xlfn.XLOOKUP(B37,'w11'!$B:$B,'w11'!$G:$G)="--",0,_xlfn.XLOOKUP(B37,'w11'!$B:$B,'w11'!$G:$G)),0)</f>
        <v>69</v>
      </c>
      <c r="BR37" s="80">
        <f>_xlfn.RANK.EQ(BQ37,BQ$3:BQ$10000,0)</f>
        <v>66</v>
      </c>
      <c r="BS37" s="83">
        <f>IFERROR(_xlfn.XLOOKUP(B37,'w12'!$B:$B,'w12'!$C:$C),0)</f>
        <v>24.9</v>
      </c>
      <c r="BT37" s="86">
        <f>_xlfn.RANK.EQ(BS37,BS$3:BS$10000,0)</f>
        <v>21</v>
      </c>
      <c r="BU37" s="87">
        <f>IFERROR(_xlfn.XLOOKUP(B37,'w12'!$B:$B,'w12'!$F:$F),1)</f>
        <v>0.30138888888888887</v>
      </c>
      <c r="BV37" s="86">
        <f>_xlfn.RANK.EQ(BU37,BU$3:BU$10000,1)</f>
        <v>53</v>
      </c>
      <c r="BW37" s="86">
        <f>IFERROR(IF(_xlfn.XLOOKUP(B37,'w12'!$B:$B,'w12'!$G:$G)="--",0,_xlfn.XLOOKUP(B37,'w12'!$B:$B,'w12'!$G:$G)),0)</f>
        <v>323</v>
      </c>
      <c r="BX37" s="86">
        <f>_xlfn.RANK.EQ(BW37,BW$3:BW$10000,0)</f>
        <v>19</v>
      </c>
      <c r="BY37" s="89">
        <f>IFERROR(_xlfn.XLOOKUP(B37,'w13'!$B:$B,'w13'!$C:$C),0)</f>
        <v>28.3</v>
      </c>
      <c r="BZ37" s="92">
        <f>_xlfn.RANK.EQ(BY37,BY$3:BY$10000,0)</f>
        <v>25</v>
      </c>
      <c r="CA37" s="93">
        <f>IFERROR(_xlfn.XLOOKUP(B37,'w13'!$B:$B,'w13'!$F:$F),1)</f>
        <v>0.29236111111111113</v>
      </c>
      <c r="CB37" s="92">
        <f>_xlfn.RANK.EQ(CA37,CA$3:CA$10000,1)</f>
        <v>46</v>
      </c>
      <c r="CC37" s="92">
        <f>IFERROR(IF(_xlfn.XLOOKUP(B37,'w13'!$B:$B,'w13'!$G:$G)="--",0,_xlfn.XLOOKUP(B37,'w13'!$B:$B,'w13'!$G:$G)),0)</f>
        <v>257</v>
      </c>
      <c r="CD37" s="92">
        <f>_xlfn.RANK.EQ(CC37,CC$3:CC$10000,0)</f>
        <v>28</v>
      </c>
      <c r="CE37" s="95">
        <f>IFERROR(_xlfn.XLOOKUP(B37,'w14'!$B:$B,'w14'!$C:$C),0)</f>
        <v>18</v>
      </c>
      <c r="CF37" s="98">
        <f>_xlfn.RANK.EQ(CE37,CE$3:CE$10000,0)</f>
        <v>46</v>
      </c>
      <c r="CG37" s="99">
        <f>IFERROR(_xlfn.XLOOKUP(B37,'w14'!$B:$B,'w14'!$F:$F),1)</f>
        <v>0.25555555555555554</v>
      </c>
      <c r="CH37" s="98">
        <f>_xlfn.RANK.EQ(CG37,CG$3:CG$10000,1)</f>
        <v>18</v>
      </c>
      <c r="CI37" s="98">
        <f>IFERROR(IF(_xlfn.XLOOKUP(B37,'w14'!$B:$B,'w14'!$G:$G)="--",0,_xlfn.XLOOKUP(B37,'w14'!$B:$B,'w14'!$G:$G)),0)</f>
        <v>115</v>
      </c>
      <c r="CJ37" s="98">
        <f>_xlfn.RANK.EQ(CI37,CI$3:CI$10000,0)</f>
        <v>48</v>
      </c>
      <c r="CK37" s="9">
        <f>_xlfn.RANK.EQ(D37,D$3:D$10000,1)</f>
        <v>35</v>
      </c>
      <c r="CL37" s="26" t="s">
        <v>150</v>
      </c>
      <c r="CM37" s="8">
        <f>SUM(E37,K37,Q37,W37,AC37,AI37,AO37,AU37,BA37,BG37,BM37,BS37,BY37,CE37)</f>
        <v>337.09999999999997</v>
      </c>
      <c r="CN37" s="9">
        <f>_xlfn.RANK.EQ(CM37,CM$3:CM$10000)</f>
        <v>35</v>
      </c>
      <c r="CO37" s="15">
        <f>IFERROR(SUM(PRODUCT(E37,G37),PRODUCT(K37,M37),PRODUCT(Q37,S37),PRODUCT(W37,Y37),PRODUCT(AC37,AE37),PRODUCT(AI37,AK37),PRODUCT(AO37,AQ37),PRODUCT(AU37,AW37),PRODUCT(BA37,BC37),PRODUCT(BG37,BI37),PRODUCT(BM37,BO37),PRODUCT(BS37,BU37),PRODUCT(BY37,CA37),PRODUCT(CE37,CG37))/CM37,1)</f>
        <v>0.27676855697287323</v>
      </c>
      <c r="CP37" s="9">
        <f>_xlfn.RANK.EQ(CO37,CO$3:CO$10000,1)</f>
        <v>42</v>
      </c>
      <c r="CQ37" s="9">
        <f>SUM(I37,O37,U37,AA37,AG37,AM37,AS37,AY37,BE37,BK37,BQ37,BW37,CC37,CI37)</f>
        <v>3851</v>
      </c>
      <c r="CR37" s="9">
        <f>_xlfn.RANK.EQ(CQ37,CQ$3:CQ$10000)</f>
        <v>32</v>
      </c>
      <c r="CS37" s="23">
        <f t="shared" si="8"/>
        <v>24</v>
      </c>
      <c r="CT37" s="25">
        <f t="shared" si="9"/>
        <v>66.400000000000006</v>
      </c>
      <c r="CU37" s="24">
        <f>_xlfn.STDEV.S(F37,L37,R37,X37,AD37,AJ37,AP37,AV37,BB37,BH37,BN37,BT37,BZ37,CF37)</f>
        <v>16.63720839854761</v>
      </c>
      <c r="CV37" s="21">
        <f>_xlfn.RANK.EQ(CU37,CU$3:CU$10000,1)</f>
        <v>67</v>
      </c>
      <c r="CW37" s="24">
        <f>_xlfn.STDEV.S(H37,N37,T37,Z37,AF37,AL37,AR37,AX37,BD37,BJ37,BP37,BV37,CB37,CH37)</f>
        <v>12.934535082568599</v>
      </c>
      <c r="CX37" s="21">
        <f>_xlfn.RANK.EQ(CW37,CW$3:CW$10000,1)</f>
        <v>44</v>
      </c>
      <c r="CY37" s="24">
        <f>_xlfn.STDEV.S(J37,P37,V37,AB37,AH37,AN37,AT37,AZ37,BF37,BL37,BR37,BX37,CD37,CJ37)</f>
        <v>16.938155120942152</v>
      </c>
      <c r="CZ37" s="21">
        <f>_xlfn.RANK.EQ(CY37,CY$3:CY$10000,1)</f>
        <v>66</v>
      </c>
      <c r="DA37">
        <f>SUM(COUNTIF(E37,"&gt;0"),COUNTIF(K37,"&gt;0"),COUNTIF(Q37,"&gt;0"),COUNTIF(W37,"&gt;0"),COUNTIF(AC37,"&gt;0"),COUNTIF(AI37,"&gt;0"),COUNTIF(AO37,"&gt;0"),COUNTIF(AU37,"&gt;0"),COUNTIF(BA37,"&gt;0"),COUNTIF(BG37,"&gt;0"),COUNTIF(BM37,"&gt;0"),COUNTIF(BS37,"&gt;0"),COUNTIF(BY37,"&gt;0"),COUNTIF(CE37,"&gt;0"))</f>
        <v>14</v>
      </c>
    </row>
    <row r="38" spans="1:105" x14ac:dyDescent="0.3">
      <c r="B38" t="s">
        <v>65</v>
      </c>
      <c r="C38" s="18" t="s">
        <v>463</v>
      </c>
      <c r="D38" s="4">
        <f>CN38*$CN$1+CP38*$CP$1+CR38*$CR$1</f>
        <v>36.074999999999996</v>
      </c>
      <c r="E38" s="29">
        <f>IFERROR(_xlfn.XLOOKUP(B38,'w1'!$B:$B,'w1'!$C:$C),0)</f>
        <v>11.3</v>
      </c>
      <c r="F38" s="30">
        <f>_xlfn.RANK.EQ(E38,E$3:E$10000,0)</f>
        <v>62</v>
      </c>
      <c r="G38" s="31">
        <f>IFERROR(_xlfn.XLOOKUP(B38,'w1'!$B:$B,'w1'!$F:$F),1)</f>
        <v>0.25555555555555554</v>
      </c>
      <c r="H38" s="30">
        <f>_xlfn.RANK.EQ(G38,G$3:G$10000,1)</f>
        <v>25</v>
      </c>
      <c r="I38" s="30">
        <f>IFERROR(IF(_xlfn.XLOOKUP(B38,'w1'!$B:$B,'w1'!$G:$G)="--",0,_xlfn.XLOOKUP(B38,'w1'!$B:$B,'w1'!$G:$G)),0)</f>
        <v>86</v>
      </c>
      <c r="J38" s="30">
        <f>_xlfn.RANK.EQ(I38,I$3:I$10000,0)</f>
        <v>56</v>
      </c>
      <c r="K38" s="34">
        <f>IFERROR(_xlfn.XLOOKUP(B38,'w2'!$B:$B,'w2'!$C:$C),0)</f>
        <v>31.1</v>
      </c>
      <c r="L38" s="35">
        <f>_xlfn.RANK.EQ(K38,K$3:K$10000,0)</f>
        <v>27</v>
      </c>
      <c r="M38" s="36">
        <f>IFERROR(_xlfn.XLOOKUP(B38,'w2'!$B:$B,'w2'!$F:$F),1)</f>
        <v>0.23472222222222222</v>
      </c>
      <c r="N38" s="35">
        <f>_xlfn.RANK.EQ(M38,M$3:M$10000,1)</f>
        <v>7</v>
      </c>
      <c r="O38" s="35">
        <f>IFERROR(IF(_xlfn.XLOOKUP(B38,'w2'!$B:$B,'w2'!$G:$G)="--",0,_xlfn.XLOOKUP(B38,'w2'!$B:$B,'w2'!$G:$G)),0)</f>
        <v>192</v>
      </c>
      <c r="P38" s="35">
        <f>_xlfn.RANK.EQ(O38,O$3:O$10000,0)</f>
        <v>39</v>
      </c>
      <c r="Q38" s="39">
        <f>IFERROR(_xlfn.XLOOKUP(B38,'w3'!$B:$B,'w3'!$C:$C),0)</f>
        <v>21.7</v>
      </c>
      <c r="R38" s="40">
        <f>_xlfn.RANK.EQ(Q38,Q$3:Q$10000,0)</f>
        <v>43</v>
      </c>
      <c r="S38" s="41">
        <f>IFERROR(_xlfn.XLOOKUP(B38,'w3'!$B:$B,'w3'!$F:$F),1)</f>
        <v>0.24791666666666667</v>
      </c>
      <c r="T38" s="40">
        <f>_xlfn.RANK.EQ(S38,S$3:S$10000,1)</f>
        <v>18</v>
      </c>
      <c r="U38" s="40">
        <f>IFERROR(IF(_xlfn.XLOOKUP(B38,'w3'!$B:$B,'w3'!$G:$G)="--",0,_xlfn.XLOOKUP(B38,'w3'!$B:$B,'w3'!$G:$G)),0)</f>
        <v>122</v>
      </c>
      <c r="V38" s="40">
        <f>_xlfn.RANK.EQ(U38,U$3:U$10000,0)</f>
        <v>51</v>
      </c>
      <c r="W38" s="44">
        <f>IFERROR(_xlfn.XLOOKUP(B38,'w4'!$B:$B,'w4'!$C:$C),0)</f>
        <v>22.3</v>
      </c>
      <c r="X38" s="45">
        <f>_xlfn.RANK.EQ(W38,W$3:W$10000,0)</f>
        <v>38</v>
      </c>
      <c r="Y38" s="46">
        <f>IFERROR(_xlfn.XLOOKUP(B38,'w4'!$B:$B,'w4'!$F:$F),1)</f>
        <v>0.23680555555555555</v>
      </c>
      <c r="Z38" s="45">
        <f>_xlfn.RANK.EQ(Y38,Y$3:Y$10000,1)</f>
        <v>10</v>
      </c>
      <c r="AA38" s="45">
        <f>IFERROR(IF(_xlfn.XLOOKUP(B38,'w4'!$B:$B,'w4'!$G:$G)="--",0,_xlfn.XLOOKUP(B38,'w4'!$B:$B,'w4'!$G:$G)),0)</f>
        <v>152</v>
      </c>
      <c r="AB38" s="45">
        <f>_xlfn.RANK.EQ(AA38,AA$3:AA$10000,0)</f>
        <v>39</v>
      </c>
      <c r="AC38" s="13">
        <f>IFERROR(_xlfn.XLOOKUP(B38,'w5'!$B:$B,'w5'!$C:$C),0)</f>
        <v>41.5</v>
      </c>
      <c r="AD38" s="12">
        <f>_xlfn.RANK.EQ(AC38,AC$3:AC$10000,0)</f>
        <v>23</v>
      </c>
      <c r="AE38" s="14">
        <f>IFERROR(_xlfn.XLOOKUP(B38,'w5'!$B:$B,'w5'!$F:$F),1)</f>
        <v>0.23958333333333334</v>
      </c>
      <c r="AF38" s="12">
        <f>_xlfn.RANK.EQ(AE38,AE$3:AE$10000,1)</f>
        <v>15</v>
      </c>
      <c r="AG38" s="12">
        <f>IFERROR(IF(_xlfn.XLOOKUP(B38,'w5'!$B:$B,'w5'!$G:$G)="--",0,_xlfn.XLOOKUP(B38,'w5'!$B:$B,'w5'!$G:$G)),0)</f>
        <v>255</v>
      </c>
      <c r="AH38" s="12">
        <f>_xlfn.RANK.EQ(AG38,AG$3:AG$10000,0)</f>
        <v>40</v>
      </c>
      <c r="AI38" s="51">
        <f>IFERROR(_xlfn.XLOOKUP(B38,'w6'!$B:$B,'w6'!$C:$C),0)</f>
        <v>24.3</v>
      </c>
      <c r="AJ38" s="50">
        <f>_xlfn.RANK.EQ(AI38,AI$3:AI$10000,0)</f>
        <v>24</v>
      </c>
      <c r="AK38" s="52">
        <f>IFERROR(_xlfn.XLOOKUP(B38,'w6'!$B:$B,'w6'!$F:$F),1)</f>
        <v>0.28125</v>
      </c>
      <c r="AL38" s="50">
        <f>_xlfn.RANK.EQ(AK38,AK$3:AK$10000,1)</f>
        <v>32</v>
      </c>
      <c r="AM38" s="50">
        <f>IFERROR(IF(_xlfn.XLOOKUP(B38,'w6'!$B:$B,'w6'!$G:$G)="--",0,_xlfn.XLOOKUP(B38,'w6'!$B:$B,'w6'!$G:$G)),0)</f>
        <v>128</v>
      </c>
      <c r="AN38" s="50">
        <f>_xlfn.RANK.EQ(AM38,AM$3:AM$10000,0)</f>
        <v>47</v>
      </c>
      <c r="AO38" s="56">
        <f>IFERROR(_xlfn.XLOOKUP(B38,'w7'!$B:$B,'w7'!$C:$C),0)</f>
        <v>27.9</v>
      </c>
      <c r="AP38" s="57">
        <f>_xlfn.RANK.EQ(AO38,AO$3:AO$10000,0)</f>
        <v>30</v>
      </c>
      <c r="AQ38" s="58">
        <f>IFERROR(_xlfn.XLOOKUP(B38,'w7'!$B:$B,'w7'!$F:$F),1)</f>
        <v>0.24097222222222223</v>
      </c>
      <c r="AR38" s="57">
        <f>_xlfn.RANK.EQ(AQ38,AQ$3:AQ$10000,1)</f>
        <v>12</v>
      </c>
      <c r="AS38" s="57">
        <f>IFERROR(IF(_xlfn.XLOOKUP(B38,'w7'!$B:$B,'w7'!$G:$G)="--",0,_xlfn.XLOOKUP(B38,'w7'!$B:$B,'w7'!$G:$G)),0)</f>
        <v>126</v>
      </c>
      <c r="AT38" s="57">
        <f>_xlfn.RANK.EQ(AS38,AS$3:AS$10000,0)</f>
        <v>46</v>
      </c>
      <c r="AU38" s="62">
        <f>IFERROR(_xlfn.XLOOKUP(B38,'w8'!$B:$B,'w8'!$C:$C),0)</f>
        <v>29.2</v>
      </c>
      <c r="AV38" s="61">
        <f>_xlfn.RANK.EQ(AU38,AU$3:AU$10000,0)</f>
        <v>32</v>
      </c>
      <c r="AW38" s="63">
        <f>IFERROR(_xlfn.XLOOKUP(B38,'w8'!$B:$B,'w8'!$F:$F),1)</f>
        <v>0.23472222222222222</v>
      </c>
      <c r="AX38" s="61">
        <f>_xlfn.RANK.EQ(AW38,AW$3:AW$10000,1)</f>
        <v>9</v>
      </c>
      <c r="AY38" s="61">
        <f>IFERROR(IF(_xlfn.XLOOKUP(B38,'w8'!$B:$B,'w8'!$G:$G)="--",0,_xlfn.XLOOKUP(B38,'w8'!$B:$B,'w8'!$G:$G)),0)</f>
        <v>83</v>
      </c>
      <c r="AZ38" s="61">
        <f>_xlfn.RANK.EQ(AY38,AY$3:AY$10000,0)</f>
        <v>55</v>
      </c>
      <c r="BA38" s="66">
        <f>IFERROR(_xlfn.XLOOKUP(C38,'w9'!$B:$B,'w9'!$C:$C),0)</f>
        <v>18.7</v>
      </c>
      <c r="BB38" s="67">
        <f>_xlfn.RANK.EQ(BA38,BA$3:BA$10000,0)</f>
        <v>56</v>
      </c>
      <c r="BC38" s="68">
        <f>IFERROR(_xlfn.XLOOKUP(C38,'w9'!$B:$B,'w9'!$F:$F),1)</f>
        <v>0.26319444444444445</v>
      </c>
      <c r="BD38" s="67">
        <f>_xlfn.RANK.EQ(BC38,BC$3:BC$10000,1)</f>
        <v>21</v>
      </c>
      <c r="BE38" s="67">
        <f>IFERROR(IF(_xlfn.XLOOKUP(C38,'w9'!$B:$B,'w9'!$G:$G)="--",0,_xlfn.XLOOKUP(C38,'w9'!$B:$B,'w9'!$G:$G)),0)</f>
        <v>199</v>
      </c>
      <c r="BF38" s="67">
        <f>_xlfn.RANK.EQ(BE38,BE$3:BE$10000,0)</f>
        <v>53</v>
      </c>
      <c r="BG38" s="72">
        <f>IFERROR(_xlfn.XLOOKUP(B38,'w10'!$B:$B,'w10'!$C:$C),0)</f>
        <v>43</v>
      </c>
      <c r="BH38" s="74">
        <f>_xlfn.RANK.EQ(BG38,BG$3:BG$10000,0)</f>
        <v>20</v>
      </c>
      <c r="BI38" s="75">
        <f>IFERROR(_xlfn.XLOOKUP(B38,'w10'!$B:$B,'w10'!$F:$F),1)</f>
        <v>0.23680555555555555</v>
      </c>
      <c r="BJ38" s="74">
        <f>_xlfn.RANK.EQ(BI38,BI$3:BI$10000,1)</f>
        <v>15</v>
      </c>
      <c r="BK38" s="74">
        <f>IFERROR(IF(_xlfn.XLOOKUP(B38,'w10'!$B:$B,'w10'!$G:$G)="--",0,_xlfn.XLOOKUP(B38,'w10'!$B:$B,'w10'!$G:$G)),0)</f>
        <v>234</v>
      </c>
      <c r="BL38" s="74">
        <f>_xlfn.RANK.EQ(BK38,BK$3:BK$10000,0)</f>
        <v>30</v>
      </c>
      <c r="BM38" s="78">
        <f>IFERROR(_xlfn.XLOOKUP(B38,'w11'!$B:$B,'w11'!$C:$C),0)</f>
        <v>19.3</v>
      </c>
      <c r="BN38" s="80">
        <f>_xlfn.RANK.EQ(BM38,BM$3:BM$10000,0)</f>
        <v>47</v>
      </c>
      <c r="BO38" s="81">
        <f>IFERROR(_xlfn.XLOOKUP(B38,'w11'!$B:$B,'w11'!$F:$F),1)</f>
        <v>0.25624999999999998</v>
      </c>
      <c r="BP38" s="80">
        <f>_xlfn.RANK.EQ(BO38,BO$3:BO$10000,1)</f>
        <v>25</v>
      </c>
      <c r="BQ38" s="80">
        <f>IFERROR(IF(_xlfn.XLOOKUP(B38,'w11'!$B:$B,'w11'!$G:$G)="--",0,_xlfn.XLOOKUP(B38,'w11'!$B:$B,'w11'!$G:$G)),0)</f>
        <v>164</v>
      </c>
      <c r="BR38" s="80">
        <f>_xlfn.RANK.EQ(BQ38,BQ$3:BQ$10000,0)</f>
        <v>44</v>
      </c>
      <c r="BS38" s="83">
        <f>IFERROR(_xlfn.XLOOKUP(B38,'w12'!$B:$B,'w12'!$C:$C),0)</f>
        <v>9.1</v>
      </c>
      <c r="BT38" s="86">
        <f>_xlfn.RANK.EQ(BS38,BS$3:BS$10000,0)</f>
        <v>64</v>
      </c>
      <c r="BU38" s="87">
        <f>IFERROR(_xlfn.XLOOKUP(B38,'w12'!$B:$B,'w12'!$F:$F),1)</f>
        <v>0.25694444444444442</v>
      </c>
      <c r="BV38" s="86">
        <f>_xlfn.RANK.EQ(BU38,BU$3:BU$10000,1)</f>
        <v>21</v>
      </c>
      <c r="BW38" s="86">
        <f>IFERROR(IF(_xlfn.XLOOKUP(B38,'w12'!$B:$B,'w12'!$G:$G)="--",0,_xlfn.XLOOKUP(B38,'w12'!$B:$B,'w12'!$G:$G)),0)</f>
        <v>78</v>
      </c>
      <c r="BX38" s="86">
        <f>_xlfn.RANK.EQ(BW38,BW$3:BW$10000,0)</f>
        <v>60</v>
      </c>
      <c r="BY38" s="89">
        <f>IFERROR(_xlfn.XLOOKUP(B38,'w13'!$B:$B,'w13'!$C:$C),0)</f>
        <v>5.0999999999999996</v>
      </c>
      <c r="BZ38" s="92">
        <f>_xlfn.RANK.EQ(BY38,BY$3:BY$10000,0)</f>
        <v>72</v>
      </c>
      <c r="CA38" s="93">
        <f>IFERROR(_xlfn.XLOOKUP(B38,'w13'!$B:$B,'w13'!$F:$F),1)</f>
        <v>0.22569444444444445</v>
      </c>
      <c r="CB38" s="92">
        <f>_xlfn.RANK.EQ(CA38,CA$3:CA$10000,1)</f>
        <v>9</v>
      </c>
      <c r="CC38" s="92">
        <f>IFERROR(IF(_xlfn.XLOOKUP(B38,'w13'!$B:$B,'w13'!$G:$G)="--",0,_xlfn.XLOOKUP(B38,'w13'!$B:$B,'w13'!$G:$G)),0)</f>
        <v>15</v>
      </c>
      <c r="CD38" s="92">
        <f>_xlfn.RANK.EQ(CC38,CC$3:CC$10000,0)</f>
        <v>71</v>
      </c>
      <c r="CE38" s="95">
        <f>IFERROR(_xlfn.XLOOKUP(B38,'w14'!$B:$B,'w14'!$C:$C),0)</f>
        <v>17.5</v>
      </c>
      <c r="CF38" s="98">
        <f>_xlfn.RANK.EQ(CE38,CE$3:CE$10000,0)</f>
        <v>47</v>
      </c>
      <c r="CG38" s="99">
        <f>IFERROR(_xlfn.XLOOKUP(B38,'w14'!$B:$B,'w14'!$F:$F),1)</f>
        <v>0.29305555555555557</v>
      </c>
      <c r="CH38" s="98">
        <f>_xlfn.RANK.EQ(CG38,CG$3:CG$10000,1)</f>
        <v>41</v>
      </c>
      <c r="CI38" s="98">
        <f>IFERROR(IF(_xlfn.XLOOKUP(B38,'w14'!$B:$B,'w14'!$G:$G)="--",0,_xlfn.XLOOKUP(B38,'w14'!$B:$B,'w14'!$G:$G)),0)</f>
        <v>68</v>
      </c>
      <c r="CJ38" s="98">
        <f>_xlfn.RANK.EQ(CI38,CI$3:CI$10000,0)</f>
        <v>54</v>
      </c>
      <c r="CK38" s="9">
        <f>_xlfn.RANK.EQ(D38,D$3:D$10000,1)</f>
        <v>36</v>
      </c>
      <c r="CL38" s="26" t="s">
        <v>132</v>
      </c>
      <c r="CM38" s="8">
        <f>SUM(E38,K38,Q38,W38,AC38,AI38,AO38,AU38,BA38,BG38,BM38,BS38,BY38,CE38)</f>
        <v>322.00000000000006</v>
      </c>
      <c r="CN38" s="9">
        <f>_xlfn.RANK.EQ(CM38,CM$3:CM$10000)</f>
        <v>36</v>
      </c>
      <c r="CO38" s="15">
        <f>IFERROR(SUM(PRODUCT(E38,G38),PRODUCT(K38,M38),PRODUCT(Q38,S38),PRODUCT(W38,Y38),PRODUCT(AC38,AE38),PRODUCT(AI38,AK38),PRODUCT(AO38,AQ38),PRODUCT(AU38,AW38),PRODUCT(BA38,BC38),PRODUCT(BG38,BI38),PRODUCT(BM38,BO38),PRODUCT(BS38,BU38),PRODUCT(BY38,CA38),PRODUCT(CE38,CG38))/CM38,1)</f>
        <v>0.24804347826086959</v>
      </c>
      <c r="CP38" s="9">
        <f>_xlfn.RANK.EQ(CO38,CO$3:CO$10000,1)</f>
        <v>18</v>
      </c>
      <c r="CQ38" s="9">
        <f>SUM(I38,O38,U38,AA38,AG38,AM38,AS38,AY38,BE38,BK38,BQ38,BW38,CC38,CI38)</f>
        <v>1902</v>
      </c>
      <c r="CR38" s="9">
        <f>_xlfn.RANK.EQ(CQ38,CQ$3:CQ$10000)</f>
        <v>57</v>
      </c>
      <c r="CS38" s="23">
        <f t="shared" si="8"/>
        <v>25</v>
      </c>
      <c r="CT38" s="25">
        <f t="shared" si="9"/>
        <v>67.849999999999994</v>
      </c>
      <c r="CU38" s="24">
        <f>_xlfn.STDEV.S(F38,L38,R38,X38,AD38,AJ38,AP38,AV38,BB38,BH38,BN38,BT38,BZ38,CF38)</f>
        <v>16.834847427645069</v>
      </c>
      <c r="CV38" s="21">
        <f>_xlfn.RANK.EQ(CU38,CU$3:CU$10000,1)</f>
        <v>70</v>
      </c>
      <c r="CW38" s="24">
        <f>_xlfn.STDEV.S(H38,N38,T38,Z38,AF38,AL38,AR38,AX38,BD38,BJ38,BP38,BV38,CB38,CH38)</f>
        <v>9.7563729524251581</v>
      </c>
      <c r="CX38" s="21">
        <f>_xlfn.RANK.EQ(CW38,CW$3:CW$10000,1)</f>
        <v>25</v>
      </c>
      <c r="CY38" s="24">
        <f>_xlfn.STDEV.S(J38,P38,V38,AB38,AH38,AN38,AT38,AZ38,BF38,BL38,BR38,BX38,CD38,CJ38)</f>
        <v>10.432672684439947</v>
      </c>
      <c r="CZ38" s="21">
        <f>_xlfn.RANK.EQ(CY38,CY$3:CY$10000,1)</f>
        <v>29</v>
      </c>
      <c r="DA38">
        <f>SUM(COUNTIF(E38,"&gt;0"),COUNTIF(K38,"&gt;0"),COUNTIF(Q38,"&gt;0"),COUNTIF(W38,"&gt;0"),COUNTIF(AC38,"&gt;0"),COUNTIF(AI38,"&gt;0"),COUNTIF(AO38,"&gt;0"),COUNTIF(AU38,"&gt;0"),COUNTIF(BA38,"&gt;0"),COUNTIF(BG38,"&gt;0"),COUNTIF(BM38,"&gt;0"),COUNTIF(BS38,"&gt;0"),COUNTIF(BY38,"&gt;0"),COUNTIF(CE38,"&gt;0"))</f>
        <v>14</v>
      </c>
    </row>
    <row r="39" spans="1:105" x14ac:dyDescent="0.3">
      <c r="A39" t="s">
        <v>171</v>
      </c>
      <c r="B39" t="s">
        <v>35</v>
      </c>
      <c r="C39" s="18" t="s">
        <v>114</v>
      </c>
      <c r="D39" s="4">
        <f>CN39*$CN$1+CP39*$CP$1+CR39*$CR$1</f>
        <v>37.150000000000006</v>
      </c>
      <c r="E39" s="29">
        <f>IFERROR(_xlfn.XLOOKUP(B39,'w1'!$B:$B,'w1'!$C:$C),0)</f>
        <v>25</v>
      </c>
      <c r="F39" s="30">
        <f>_xlfn.RANK.EQ(E39,E$3:E$10000,0)</f>
        <v>32</v>
      </c>
      <c r="G39" s="31">
        <f>IFERROR(_xlfn.XLOOKUP(B39,'w1'!$B:$B,'w1'!$F:$F),1)</f>
        <v>0.20277777777777778</v>
      </c>
      <c r="H39" s="30">
        <f>_xlfn.RANK.EQ(G39,G$3:G$10000,1)</f>
        <v>2</v>
      </c>
      <c r="I39" s="30">
        <f>IFERROR(IF(_xlfn.XLOOKUP(B39,'w1'!$B:$B,'w1'!$G:$G)="--",0,_xlfn.XLOOKUP(B39,'w1'!$B:$B,'w1'!$G:$G)),0)</f>
        <v>262</v>
      </c>
      <c r="J39" s="30">
        <f>_xlfn.RANK.EQ(I39,I$3:I$10000,0)</f>
        <v>36</v>
      </c>
      <c r="K39" s="34">
        <f>IFERROR(_xlfn.XLOOKUP(B39,'w2'!$B:$B,'w2'!$C:$C),0)</f>
        <v>32.1</v>
      </c>
      <c r="L39" s="35">
        <f>_xlfn.RANK.EQ(K39,K$3:K$10000,0)</f>
        <v>24</v>
      </c>
      <c r="M39" s="36">
        <f>IFERROR(_xlfn.XLOOKUP(B39,'w2'!$B:$B,'w2'!$F:$F),1)</f>
        <v>0.22708333333333333</v>
      </c>
      <c r="N39" s="35">
        <f>_xlfn.RANK.EQ(M39,M$3:M$10000,1)</f>
        <v>3</v>
      </c>
      <c r="O39" s="35">
        <f>IFERROR(IF(_xlfn.XLOOKUP(B39,'w2'!$B:$B,'w2'!$G:$G)="--",0,_xlfn.XLOOKUP(B39,'w2'!$B:$B,'w2'!$G:$G)),0)</f>
        <v>379</v>
      </c>
      <c r="P39" s="35">
        <f>_xlfn.RANK.EQ(O39,O$3:O$10000,0)</f>
        <v>28</v>
      </c>
      <c r="Q39" s="39">
        <f>IFERROR(_xlfn.XLOOKUP(B39,'w3'!$B:$B,'w3'!$C:$C),0)</f>
        <v>15</v>
      </c>
      <c r="R39" s="40">
        <f>_xlfn.RANK.EQ(Q39,Q$3:Q$10000,0)</f>
        <v>56</v>
      </c>
      <c r="S39" s="41">
        <f>IFERROR(_xlfn.XLOOKUP(B39,'w3'!$B:$B,'w3'!$F:$F),1)</f>
        <v>0.23402777777777778</v>
      </c>
      <c r="T39" s="40">
        <f>_xlfn.RANK.EQ(S39,S$3:S$10000,1)</f>
        <v>7</v>
      </c>
      <c r="U39" s="40">
        <f>IFERROR(IF(_xlfn.XLOOKUP(B39,'w3'!$B:$B,'w3'!$G:$G)="--",0,_xlfn.XLOOKUP(B39,'w3'!$B:$B,'w3'!$G:$G)),0)</f>
        <v>176</v>
      </c>
      <c r="V39" s="40">
        <f>_xlfn.RANK.EQ(U39,U$3:U$10000,0)</f>
        <v>38</v>
      </c>
      <c r="W39" s="44">
        <f>IFERROR(_xlfn.XLOOKUP(B39,'w4'!$B:$B,'w4'!$C:$C),0)</f>
        <v>26</v>
      </c>
      <c r="X39" s="45">
        <f>_xlfn.RANK.EQ(W39,W$3:W$10000,0)</f>
        <v>31</v>
      </c>
      <c r="Y39" s="46">
        <f>IFERROR(_xlfn.XLOOKUP(B39,'w4'!$B:$B,'w4'!$F:$F),1)</f>
        <v>0.21666666666666667</v>
      </c>
      <c r="Z39" s="45">
        <f>_xlfn.RANK.EQ(Y39,Y$3:Y$10000,1)</f>
        <v>5</v>
      </c>
      <c r="AA39" s="45">
        <f>IFERROR(IF(_xlfn.XLOOKUP(B39,'w4'!$B:$B,'w4'!$G:$G)="--",0,_xlfn.XLOOKUP(B39,'w4'!$B:$B,'w4'!$G:$G)),0)</f>
        <v>268</v>
      </c>
      <c r="AB39" s="45">
        <f>_xlfn.RANK.EQ(AA39,AA$3:AA$10000,0)</f>
        <v>32</v>
      </c>
      <c r="AC39" s="13">
        <f>IFERROR(_xlfn.XLOOKUP(B39,'w5'!$B:$B,'w5'!$C:$C),0)</f>
        <v>18</v>
      </c>
      <c r="AD39" s="12">
        <f>_xlfn.RANK.EQ(AC39,AC$3:AC$10000,0)</f>
        <v>54</v>
      </c>
      <c r="AE39" s="14">
        <f>IFERROR(_xlfn.XLOOKUP(B39,'w5'!$B:$B,'w5'!$F:$F),1)</f>
        <v>0.20833333333333334</v>
      </c>
      <c r="AF39" s="12">
        <f>_xlfn.RANK.EQ(AE39,AE$3:AE$10000,1)</f>
        <v>2</v>
      </c>
      <c r="AG39" s="12">
        <f>IFERROR(IF(_xlfn.XLOOKUP(B39,'w5'!$B:$B,'w5'!$G:$G)="--",0,_xlfn.XLOOKUP(B39,'w5'!$B:$B,'w5'!$G:$G)),0)</f>
        <v>204</v>
      </c>
      <c r="AH39" s="12">
        <f>_xlfn.RANK.EQ(AG39,AG$3:AG$10000,0)</f>
        <v>43</v>
      </c>
      <c r="AI39" s="51">
        <f>IFERROR(_xlfn.XLOOKUP(B39,'w6'!$B:$B,'w6'!$C:$C),0)</f>
        <v>8</v>
      </c>
      <c r="AJ39" s="50">
        <f>_xlfn.RANK.EQ(AI39,AI$3:AI$10000,0)</f>
        <v>59</v>
      </c>
      <c r="AK39" s="52">
        <f>IFERROR(_xlfn.XLOOKUP(B39,'w6'!$B:$B,'w6'!$F:$F),1)</f>
        <v>0.2013888888888889</v>
      </c>
      <c r="AL39" s="50">
        <f>_xlfn.RANK.EQ(AK39,AK$3:AK$10000,1)</f>
        <v>2</v>
      </c>
      <c r="AM39" s="50">
        <f>IFERROR(IF(_xlfn.XLOOKUP(B39,'w6'!$B:$B,'w6'!$G:$G)="--",0,_xlfn.XLOOKUP(B39,'w6'!$B:$B,'w6'!$G:$G)),0)</f>
        <v>88</v>
      </c>
      <c r="AN39" s="50">
        <f>_xlfn.RANK.EQ(AM39,AM$3:AM$10000,0)</f>
        <v>50</v>
      </c>
      <c r="AO39" s="56">
        <f>IFERROR(_xlfn.XLOOKUP(B39,'w7'!$B:$B,'w7'!$C:$C),0)</f>
        <v>18</v>
      </c>
      <c r="AP39" s="57">
        <f>_xlfn.RANK.EQ(AO39,AO$3:AO$10000,0)</f>
        <v>45</v>
      </c>
      <c r="AQ39" s="58">
        <f>IFERROR(_xlfn.XLOOKUP(B39,'w7'!$B:$B,'w7'!$F:$F),1)</f>
        <v>0.21458333333333332</v>
      </c>
      <c r="AR39" s="57">
        <f>_xlfn.RANK.EQ(AQ39,AQ$3:AQ$10000,1)</f>
        <v>4</v>
      </c>
      <c r="AS39" s="57">
        <f>IFERROR(IF(_xlfn.XLOOKUP(B39,'w7'!$B:$B,'w7'!$G:$G)="--",0,_xlfn.XLOOKUP(B39,'w7'!$B:$B,'w7'!$G:$G)),0)</f>
        <v>204</v>
      </c>
      <c r="AT39" s="57">
        <f>_xlfn.RANK.EQ(AS39,AS$3:AS$10000,0)</f>
        <v>34</v>
      </c>
      <c r="AU39" s="62">
        <f>IFERROR(_xlfn.XLOOKUP(B39,'w8'!$B:$B,'w8'!$C:$C),0)</f>
        <v>22</v>
      </c>
      <c r="AV39" s="61">
        <f>_xlfn.RANK.EQ(AU39,AU$3:AU$10000,0)</f>
        <v>46</v>
      </c>
      <c r="AW39" s="63">
        <f>IFERROR(_xlfn.XLOOKUP(B39,'w8'!$B:$B,'w8'!$F:$F),1)</f>
        <v>0.21597222222222223</v>
      </c>
      <c r="AX39" s="61">
        <f>_xlfn.RANK.EQ(AW39,AW$3:AW$10000,1)</f>
        <v>3</v>
      </c>
      <c r="AY39" s="61">
        <f>IFERROR(IF(_xlfn.XLOOKUP(B39,'w8'!$B:$B,'w8'!$G:$G)="--",0,_xlfn.XLOOKUP(B39,'w8'!$B:$B,'w8'!$G:$G)),0)</f>
        <v>255</v>
      </c>
      <c r="AZ39" s="61">
        <f>_xlfn.RANK.EQ(AY39,AY$3:AY$10000,0)</f>
        <v>35</v>
      </c>
      <c r="BA39" s="66">
        <f>IFERROR(_xlfn.XLOOKUP(C39,'w9'!$B:$B,'w9'!$C:$C),0)</f>
        <v>30</v>
      </c>
      <c r="BB39" s="67">
        <f>_xlfn.RANK.EQ(BA39,BA$3:BA$10000,0)</f>
        <v>36</v>
      </c>
      <c r="BC39" s="68">
        <f>IFERROR(_xlfn.XLOOKUP(C39,'w9'!$B:$B,'w9'!$F:$F),1)</f>
        <v>0.22708333333333333</v>
      </c>
      <c r="BD39" s="67">
        <f>_xlfn.RANK.EQ(BC39,BC$3:BC$10000,1)</f>
        <v>6</v>
      </c>
      <c r="BE39" s="67">
        <f>IFERROR(IF(_xlfn.XLOOKUP(C39,'w9'!$B:$B,'w9'!$G:$G)="--",0,_xlfn.XLOOKUP(C39,'w9'!$B:$B,'w9'!$G:$G)),0)</f>
        <v>289</v>
      </c>
      <c r="BF39" s="67">
        <f>_xlfn.RANK.EQ(BE39,BE$3:BE$10000,0)</f>
        <v>46</v>
      </c>
      <c r="BG39" s="72">
        <f>IFERROR(_xlfn.XLOOKUP(B39,'w10'!$B:$B,'w10'!$C:$C),0)</f>
        <v>14</v>
      </c>
      <c r="BH39" s="74">
        <f>_xlfn.RANK.EQ(BG39,BG$3:BG$10000,0)</f>
        <v>54</v>
      </c>
      <c r="BI39" s="75">
        <f>IFERROR(_xlfn.XLOOKUP(B39,'w10'!$B:$B,'w10'!$F:$F),1)</f>
        <v>0.22083333333333333</v>
      </c>
      <c r="BJ39" s="74">
        <f>_xlfn.RANK.EQ(BI39,BI$3:BI$10000,1)</f>
        <v>5</v>
      </c>
      <c r="BK39" s="74">
        <f>IFERROR(IF(_xlfn.XLOOKUP(B39,'w10'!$B:$B,'w10'!$G:$G)="--",0,_xlfn.XLOOKUP(B39,'w10'!$B:$B,'w10'!$G:$G)),0)</f>
        <v>146</v>
      </c>
      <c r="BL39" s="74">
        <f>_xlfn.RANK.EQ(BK39,BK$3:BK$10000,0)</f>
        <v>42</v>
      </c>
      <c r="BM39" s="78">
        <f>IFERROR(_xlfn.XLOOKUP(B39,'w11'!$B:$B,'w11'!$C:$C),0)</f>
        <v>25</v>
      </c>
      <c r="BN39" s="80">
        <f>_xlfn.RANK.EQ(BM39,BM$3:BM$10000,0)</f>
        <v>33</v>
      </c>
      <c r="BO39" s="81">
        <f>IFERROR(_xlfn.XLOOKUP(B39,'w11'!$B:$B,'w11'!$F:$F),1)</f>
        <v>0.22430555555555556</v>
      </c>
      <c r="BP39" s="80">
        <f>_xlfn.RANK.EQ(BO39,BO$3:BO$10000,1)</f>
        <v>7</v>
      </c>
      <c r="BQ39" s="80">
        <f>IFERROR(IF(_xlfn.XLOOKUP(B39,'w11'!$B:$B,'w11'!$G:$G)="--",0,_xlfn.XLOOKUP(B39,'w11'!$B:$B,'w11'!$G:$G)),0)</f>
        <v>273</v>
      </c>
      <c r="BR39" s="80">
        <f>_xlfn.RANK.EQ(BQ39,BQ$3:BQ$10000,0)</f>
        <v>32</v>
      </c>
      <c r="BS39" s="83">
        <f>IFERROR(_xlfn.XLOOKUP(B39,'w12'!$B:$B,'w12'!$C:$C),0)</f>
        <v>8</v>
      </c>
      <c r="BT39" s="86">
        <f>_xlfn.RANK.EQ(BS39,BS$3:BS$10000,0)</f>
        <v>67</v>
      </c>
      <c r="BU39" s="87">
        <f>IFERROR(_xlfn.XLOOKUP(B39,'w12'!$B:$B,'w12'!$F:$F),1)</f>
        <v>0.22916666666666666</v>
      </c>
      <c r="BV39" s="86">
        <f>_xlfn.RANK.EQ(BU39,BU$3:BU$10000,1)</f>
        <v>9</v>
      </c>
      <c r="BW39" s="86">
        <f>IFERROR(IF(_xlfn.XLOOKUP(B39,'w12'!$B:$B,'w12'!$G:$G)="--",0,_xlfn.XLOOKUP(B39,'w12'!$B:$B,'w12'!$G:$G)),0)</f>
        <v>99</v>
      </c>
      <c r="BX39" s="86">
        <f>_xlfn.RANK.EQ(BW39,BW$3:BW$10000,0)</f>
        <v>54</v>
      </c>
      <c r="BY39" s="89">
        <f>IFERROR(_xlfn.XLOOKUP(B39,'w13'!$B:$B,'w13'!$C:$C),0)</f>
        <v>27</v>
      </c>
      <c r="BZ39" s="92">
        <f>_xlfn.RANK.EQ(BY39,BY$3:BY$10000,0)</f>
        <v>30</v>
      </c>
      <c r="CA39" s="93">
        <f>IFERROR(_xlfn.XLOOKUP(B39,'w13'!$B:$B,'w13'!$F:$F),1)</f>
        <v>0.23125000000000001</v>
      </c>
      <c r="CB39" s="92">
        <f>_xlfn.RANK.EQ(CA39,CA$3:CA$10000,1)</f>
        <v>13</v>
      </c>
      <c r="CC39" s="92">
        <f>IFERROR(IF(_xlfn.XLOOKUP(B39,'w13'!$B:$B,'w13'!$G:$G)="--",0,_xlfn.XLOOKUP(B39,'w13'!$B:$B,'w13'!$G:$G)),0)</f>
        <v>287</v>
      </c>
      <c r="CD39" s="92">
        <f>_xlfn.RANK.EQ(CC39,CC$3:CC$10000,0)</f>
        <v>26</v>
      </c>
      <c r="CE39" s="95">
        <f>IFERROR(_xlfn.XLOOKUP(B39,'w14'!$B:$B,'w14'!$C:$C),0)</f>
        <v>46.5</v>
      </c>
      <c r="CF39" s="98">
        <f>_xlfn.RANK.EQ(CE39,CE$3:CE$10000,0)</f>
        <v>16</v>
      </c>
      <c r="CG39" s="99">
        <f>IFERROR(_xlfn.XLOOKUP(B39,'w14'!$B:$B,'w14'!$F:$F),1)</f>
        <v>0.22638888888888889</v>
      </c>
      <c r="CH39" s="98">
        <f>_xlfn.RANK.EQ(CG39,CG$3:CG$10000,1)</f>
        <v>6</v>
      </c>
      <c r="CI39" s="98">
        <f>IFERROR(IF(_xlfn.XLOOKUP(B39,'w14'!$B:$B,'w14'!$G:$G)="--",0,_xlfn.XLOOKUP(B39,'w14'!$B:$B,'w14'!$G:$G)),0)</f>
        <v>521</v>
      </c>
      <c r="CJ39" s="98">
        <f>_xlfn.RANK.EQ(CI39,CI$3:CI$10000,0)</f>
        <v>21</v>
      </c>
      <c r="CK39" s="9">
        <f>_xlfn.RANK.EQ(D39,D$3:D$10000,1)</f>
        <v>37</v>
      </c>
      <c r="CL39" s="26" t="s">
        <v>114</v>
      </c>
      <c r="CM39" s="8">
        <f>SUM(E39,K39,Q39,W39,AC39,AI39,AO39,AU39,BA39,BG39,BM39,BS39,BY39,CE39)</f>
        <v>314.60000000000002</v>
      </c>
      <c r="CN39" s="9">
        <f>_xlfn.RANK.EQ(CM39,CM$3:CM$10000)</f>
        <v>38</v>
      </c>
      <c r="CO39" s="15">
        <f>IFERROR(SUM(PRODUCT(E39,G39),PRODUCT(K39,M39),PRODUCT(Q39,S39),PRODUCT(W39,Y39),PRODUCT(AC39,AE39),PRODUCT(AI39,AK39),PRODUCT(AO39,AQ39),PRODUCT(AU39,AW39),PRODUCT(BA39,BC39),PRODUCT(BG39,BI39),PRODUCT(BM39,BO39),PRODUCT(BS39,BU39),PRODUCT(BY39,CA39),PRODUCT(CE39,CG39))/CM39,1)</f>
        <v>0.22121278342869255</v>
      </c>
      <c r="CP39" s="9">
        <f>_xlfn.RANK.EQ(CO39,CO$3:CO$10000,1)</f>
        <v>4</v>
      </c>
      <c r="CQ39" s="9">
        <f>SUM(I39,O39,U39,AA39,AG39,AM39,AS39,AY39,BE39,BK39,BQ39,BW39,CC39,CI39)</f>
        <v>3451</v>
      </c>
      <c r="CR39" s="9">
        <f>_xlfn.RANK.EQ(CQ39,CQ$3:CQ$10000)</f>
        <v>38</v>
      </c>
      <c r="CS39" s="23">
        <f t="shared" si="8"/>
        <v>19</v>
      </c>
      <c r="CT39" s="25">
        <f t="shared" si="9"/>
        <v>53.79999999999999</v>
      </c>
      <c r="CU39" s="24">
        <f>_xlfn.STDEV.S(F39,L39,R39,X39,AD39,AJ39,AP39,AV39,BB39,BH39,BN39,BT39,BZ39,CF39)</f>
        <v>14.944034790650612</v>
      </c>
      <c r="CV39" s="21">
        <f>_xlfn.RANK.EQ(CU39,CU$3:CU$10000,1)</f>
        <v>56</v>
      </c>
      <c r="CW39" s="24">
        <f>_xlfn.STDEV.S(H39,N39,T39,Z39,AF39,AL39,AR39,AX39,BD39,BJ39,BP39,BV39,CB39,CH39)</f>
        <v>3.0990959333966419</v>
      </c>
      <c r="CX39" s="21">
        <f>_xlfn.RANK.EQ(CW39,CW$3:CW$10000,1)</f>
        <v>2</v>
      </c>
      <c r="CY39" s="24">
        <f>_xlfn.STDEV.S(J39,P39,V39,AB39,AH39,AN39,AT39,AZ39,BF39,BL39,BR39,BX39,CD39,CJ39)</f>
        <v>9.2940368451561977</v>
      </c>
      <c r="CZ39" s="21">
        <f>_xlfn.RANK.EQ(CY39,CY$3:CY$10000,1)</f>
        <v>22</v>
      </c>
      <c r="DA39">
        <f>SUM(COUNTIF(E39,"&gt;0"),COUNTIF(K39,"&gt;0"),COUNTIF(Q39,"&gt;0"),COUNTIF(W39,"&gt;0"),COUNTIF(AC39,"&gt;0"),COUNTIF(AI39,"&gt;0"),COUNTIF(AO39,"&gt;0"),COUNTIF(AU39,"&gt;0"),COUNTIF(BA39,"&gt;0"),COUNTIF(BG39,"&gt;0"),COUNTIF(BM39,"&gt;0"),COUNTIF(BS39,"&gt;0"),COUNTIF(BY39,"&gt;0"),COUNTIF(CE39,"&gt;0"))</f>
        <v>14</v>
      </c>
    </row>
    <row r="40" spans="1:105" x14ac:dyDescent="0.3">
      <c r="B40" t="s">
        <v>33</v>
      </c>
      <c r="C40" s="18" t="s">
        <v>112</v>
      </c>
      <c r="D40" s="4">
        <f>CN40*$CN$1+CP40*$CP$1+CR40*$CR$1</f>
        <v>38.199999999999996</v>
      </c>
      <c r="E40" s="29">
        <f>IFERROR(_xlfn.XLOOKUP(B40,'w1'!$B:$B,'w1'!$C:$C),0)</f>
        <v>25.9</v>
      </c>
      <c r="F40" s="30">
        <f>_xlfn.RANK.EQ(E40,E$3:E$10000,0)</f>
        <v>30</v>
      </c>
      <c r="G40" s="31">
        <f>IFERROR(_xlfn.XLOOKUP(B40,'w1'!$B:$B,'w1'!$F:$F),1)</f>
        <v>0.28402777777777777</v>
      </c>
      <c r="H40" s="30">
        <f>_xlfn.RANK.EQ(G40,G$3:G$10000,1)</f>
        <v>48</v>
      </c>
      <c r="I40" s="30">
        <f>IFERROR(IF(_xlfn.XLOOKUP(B40,'w1'!$B:$B,'w1'!$G:$G)="--",0,_xlfn.XLOOKUP(B40,'w1'!$B:$B,'w1'!$G:$G)),0)</f>
        <v>310</v>
      </c>
      <c r="J40" s="30">
        <f>_xlfn.RANK.EQ(I40,I$3:I$10000,0)</f>
        <v>31</v>
      </c>
      <c r="K40" s="34">
        <f>IFERROR(_xlfn.XLOOKUP(B40,'w2'!$B:$B,'w2'!$C:$C),0)</f>
        <v>31.9</v>
      </c>
      <c r="L40" s="35">
        <f>_xlfn.RANK.EQ(K40,K$3:K$10000,0)</f>
        <v>25</v>
      </c>
      <c r="M40" s="36">
        <f>IFERROR(_xlfn.XLOOKUP(B40,'w2'!$B:$B,'w2'!$F:$F),1)</f>
        <v>0.27430555555555558</v>
      </c>
      <c r="N40" s="35">
        <f>_xlfn.RANK.EQ(M40,M$3:M$10000,1)</f>
        <v>31</v>
      </c>
      <c r="O40" s="35">
        <f>IFERROR(IF(_xlfn.XLOOKUP(B40,'w2'!$B:$B,'w2'!$G:$G)="--",0,_xlfn.XLOOKUP(B40,'w2'!$B:$B,'w2'!$G:$G)),0)</f>
        <v>169</v>
      </c>
      <c r="P40" s="35">
        <f>_xlfn.RANK.EQ(O40,O$3:O$10000,0)</f>
        <v>43</v>
      </c>
      <c r="Q40" s="39">
        <f>IFERROR(_xlfn.XLOOKUP(B40,'w3'!$B:$B,'w3'!$C:$C),0)</f>
        <v>10.8</v>
      </c>
      <c r="R40" s="40">
        <f>_xlfn.RANK.EQ(Q40,Q$3:Q$10000,0)</f>
        <v>62</v>
      </c>
      <c r="S40" s="41">
        <f>IFERROR(_xlfn.XLOOKUP(B40,'w3'!$B:$B,'w3'!$F:$F),1)</f>
        <v>0.37986111111111109</v>
      </c>
      <c r="T40" s="40">
        <f>_xlfn.RANK.EQ(S40,S$3:S$10000,1)</f>
        <v>75</v>
      </c>
      <c r="U40" s="40">
        <f>IFERROR(IF(_xlfn.XLOOKUP(B40,'w3'!$B:$B,'w3'!$G:$G)="--",0,_xlfn.XLOOKUP(B40,'w3'!$B:$B,'w3'!$G:$G)),0)</f>
        <v>0</v>
      </c>
      <c r="V40" s="40">
        <f>_xlfn.RANK.EQ(U40,U$3:U$10000,0)</f>
        <v>80</v>
      </c>
      <c r="W40" s="44">
        <f>IFERROR(_xlfn.XLOOKUP(B40,'w4'!$B:$B,'w4'!$C:$C),0)</f>
        <v>17.3</v>
      </c>
      <c r="X40" s="45">
        <f>_xlfn.RANK.EQ(W40,W$3:W$10000,0)</f>
        <v>41</v>
      </c>
      <c r="Y40" s="46">
        <f>IFERROR(_xlfn.XLOOKUP(B40,'w4'!$B:$B,'w4'!$F:$F),1)</f>
        <v>0.2951388888888889</v>
      </c>
      <c r="Z40" s="45">
        <f>_xlfn.RANK.EQ(Y40,Y$3:Y$10000,1)</f>
        <v>46</v>
      </c>
      <c r="AA40" s="45">
        <f>IFERROR(IF(_xlfn.XLOOKUP(B40,'w4'!$B:$B,'w4'!$G:$G)="--",0,_xlfn.XLOOKUP(B40,'w4'!$B:$B,'w4'!$G:$G)),0)</f>
        <v>0</v>
      </c>
      <c r="AB40" s="45">
        <f>_xlfn.RANK.EQ(AA40,AA$3:AA$10000,0)</f>
        <v>68</v>
      </c>
      <c r="AC40" s="13">
        <f>IFERROR(_xlfn.XLOOKUP(B40,'w5'!$B:$B,'w5'!$C:$C),0)</f>
        <v>19.399999999999999</v>
      </c>
      <c r="AD40" s="12">
        <f>_xlfn.RANK.EQ(AC40,AC$3:AC$10000,0)</f>
        <v>51</v>
      </c>
      <c r="AE40" s="14">
        <f>IFERROR(_xlfn.XLOOKUP(B40,'w5'!$B:$B,'w5'!$F:$F),1)</f>
        <v>0.30694444444444446</v>
      </c>
      <c r="AF40" s="12">
        <f>_xlfn.RANK.EQ(AE40,AE$3:AE$10000,1)</f>
        <v>46</v>
      </c>
      <c r="AG40" s="12">
        <f>IFERROR(IF(_xlfn.XLOOKUP(B40,'w5'!$B:$B,'w5'!$G:$G)="--",0,_xlfn.XLOOKUP(B40,'w5'!$B:$B,'w5'!$G:$G)),0)</f>
        <v>80</v>
      </c>
      <c r="AH40" s="12">
        <f>_xlfn.RANK.EQ(AG40,AG$3:AG$10000,0)</f>
        <v>66</v>
      </c>
      <c r="AI40" s="51">
        <f>IFERROR(_xlfn.XLOOKUP(B40,'w6'!$B:$B,'w6'!$C:$C),0)</f>
        <v>6.9</v>
      </c>
      <c r="AJ40" s="50">
        <f>_xlfn.RANK.EQ(AI40,AI$3:AI$10000,0)</f>
        <v>60</v>
      </c>
      <c r="AK40" s="52">
        <f>IFERROR(_xlfn.XLOOKUP(B40,'w6'!$B:$B,'w6'!$F:$F),1)</f>
        <v>0.40972222222222221</v>
      </c>
      <c r="AL40" s="50">
        <f>_xlfn.RANK.EQ(AK40,AK$3:AK$10000,1)</f>
        <v>59</v>
      </c>
      <c r="AM40" s="50">
        <f>IFERROR(IF(_xlfn.XLOOKUP(B40,'w6'!$B:$B,'w6'!$G:$G)="--",0,_xlfn.XLOOKUP(B40,'w6'!$B:$B,'w6'!$G:$G)),0)</f>
        <v>0</v>
      </c>
      <c r="AN40" s="50">
        <f>_xlfn.RANK.EQ(AM40,AM$3:AM$10000,0)</f>
        <v>61</v>
      </c>
      <c r="AO40" s="56">
        <f>IFERROR(_xlfn.XLOOKUP(B40,'w7'!$B:$B,'w7'!$C:$C),0)</f>
        <v>41.4</v>
      </c>
      <c r="AP40" s="57">
        <f>_xlfn.RANK.EQ(AO40,AO$3:AO$10000,0)</f>
        <v>17</v>
      </c>
      <c r="AQ40" s="58">
        <f>IFERROR(_xlfn.XLOOKUP(B40,'w7'!$B:$B,'w7'!$F:$F),1)</f>
        <v>0.32569444444444445</v>
      </c>
      <c r="AR40" s="57">
        <f>_xlfn.RANK.EQ(AQ40,AQ$3:AQ$10000,1)</f>
        <v>51</v>
      </c>
      <c r="AS40" s="57">
        <f>IFERROR(IF(_xlfn.XLOOKUP(B40,'w7'!$B:$B,'w7'!$G:$G)="--",0,_xlfn.XLOOKUP(B40,'w7'!$B:$B,'w7'!$G:$G)),0)</f>
        <v>412</v>
      </c>
      <c r="AT40" s="57">
        <f>_xlfn.RANK.EQ(AS40,AS$3:AS$10000,0)</f>
        <v>21</v>
      </c>
      <c r="AU40" s="62">
        <f>IFERROR(_xlfn.XLOOKUP(B40,'w8'!$B:$B,'w8'!$C:$C),0)</f>
        <v>0</v>
      </c>
      <c r="AV40" s="61">
        <f>_xlfn.RANK.EQ(AU40,AU$3:AU$10000,0)</f>
        <v>73</v>
      </c>
      <c r="AW40" s="63">
        <f>IFERROR(_xlfn.XLOOKUP(B40,'w8'!$B:$B,'w8'!$F:$F),1)</f>
        <v>1</v>
      </c>
      <c r="AX40" s="61">
        <f>_xlfn.RANK.EQ(AW40,AW$3:AW$10000,1)</f>
        <v>73</v>
      </c>
      <c r="AY40" s="61">
        <f>IFERROR(IF(_xlfn.XLOOKUP(B40,'w8'!$B:$B,'w8'!$G:$G)="--",0,_xlfn.XLOOKUP(B40,'w8'!$B:$B,'w8'!$G:$G)),0)</f>
        <v>0</v>
      </c>
      <c r="AZ40" s="61">
        <f>_xlfn.RANK.EQ(AY40,AY$3:AY$10000,0)</f>
        <v>70</v>
      </c>
      <c r="BA40" s="66">
        <f>IFERROR(_xlfn.XLOOKUP(C40,'w9'!$B:$B,'w9'!$C:$C),0)</f>
        <v>49.7</v>
      </c>
      <c r="BB40" s="67">
        <f>_xlfn.RANK.EQ(BA40,BA$3:BA$10000,0)</f>
        <v>16</v>
      </c>
      <c r="BC40" s="68">
        <f>IFERROR(_xlfn.XLOOKUP(C40,'w9'!$B:$B,'w9'!$F:$F),1)</f>
        <v>0.34583333333333333</v>
      </c>
      <c r="BD40" s="67">
        <f>_xlfn.RANK.EQ(BC40,BC$3:BC$10000,1)</f>
        <v>62</v>
      </c>
      <c r="BE40" s="67">
        <f>IFERROR(IF(_xlfn.XLOOKUP(C40,'w9'!$B:$B,'w9'!$G:$G)="--",0,_xlfn.XLOOKUP(C40,'w9'!$B:$B,'w9'!$G:$G)),0)</f>
        <v>511</v>
      </c>
      <c r="BF40" s="67">
        <f>_xlfn.RANK.EQ(BE40,BE$3:BE$10000,0)</f>
        <v>26</v>
      </c>
      <c r="BG40" s="72">
        <f>IFERROR(_xlfn.XLOOKUP(B40,'w10'!$B:$B,'w10'!$C:$C),0)</f>
        <v>30.5</v>
      </c>
      <c r="BH40" s="74">
        <f>_xlfn.RANK.EQ(BG40,BG$3:BG$10000,0)</f>
        <v>29</v>
      </c>
      <c r="BI40" s="75">
        <f>IFERROR(_xlfn.XLOOKUP(B40,'w10'!$B:$B,'w10'!$F:$F),1)</f>
        <v>0.31458333333333333</v>
      </c>
      <c r="BJ40" s="74">
        <f>_xlfn.RANK.EQ(BI40,BI$3:BI$10000,1)</f>
        <v>56</v>
      </c>
      <c r="BK40" s="74">
        <f>IFERROR(IF(_xlfn.XLOOKUP(B40,'w10'!$B:$B,'w10'!$G:$G)="--",0,_xlfn.XLOOKUP(B40,'w10'!$B:$B,'w10'!$G:$G)),0)</f>
        <v>150</v>
      </c>
      <c r="BL40" s="74">
        <f>_xlfn.RANK.EQ(BK40,BK$3:BK$10000,0)</f>
        <v>40</v>
      </c>
      <c r="BM40" s="78">
        <f>IFERROR(_xlfn.XLOOKUP(B40,'w11'!$B:$B,'w11'!$C:$C),0)</f>
        <v>49</v>
      </c>
      <c r="BN40" s="80">
        <f>_xlfn.RANK.EQ(BM40,BM$3:BM$10000,0)</f>
        <v>9</v>
      </c>
      <c r="BO40" s="81">
        <f>IFERROR(_xlfn.XLOOKUP(B40,'w11'!$B:$B,'w11'!$F:$F),1)</f>
        <v>0.30763888888888891</v>
      </c>
      <c r="BP40" s="80">
        <f>_xlfn.RANK.EQ(BO40,BO$3:BO$10000,1)</f>
        <v>53</v>
      </c>
      <c r="BQ40" s="80">
        <f>IFERROR(IF(_xlfn.XLOOKUP(B40,'w11'!$B:$B,'w11'!$G:$G)="--",0,_xlfn.XLOOKUP(B40,'w11'!$B:$B,'w11'!$G:$G)),0)</f>
        <v>87</v>
      </c>
      <c r="BR40" s="80">
        <f>_xlfn.RANK.EQ(BQ40,BQ$3:BQ$10000,0)</f>
        <v>60</v>
      </c>
      <c r="BS40" s="83">
        <f>IFERROR(_xlfn.XLOOKUP(B40,'w12'!$B:$B,'w12'!$C:$C),0)</f>
        <v>2.8</v>
      </c>
      <c r="BT40" s="86">
        <f>_xlfn.RANK.EQ(BS40,BS$3:BS$10000,0)</f>
        <v>74</v>
      </c>
      <c r="BU40" s="87">
        <f>IFERROR(_xlfn.XLOOKUP(B40,'w12'!$B:$B,'w12'!$F:$F),1)</f>
        <v>0.46805555555555556</v>
      </c>
      <c r="BV40" s="86">
        <f>_xlfn.RANK.EQ(BU40,BU$3:BU$10000,1)</f>
        <v>73</v>
      </c>
      <c r="BW40" s="86">
        <f>IFERROR(IF(_xlfn.XLOOKUP(B40,'w12'!$B:$B,'w12'!$G:$G)="--",0,_xlfn.XLOOKUP(B40,'w12'!$B:$B,'w12'!$G:$G)),0)</f>
        <v>0</v>
      </c>
      <c r="BX40" s="86">
        <f>_xlfn.RANK.EQ(BW40,BW$3:BW$10000,0)</f>
        <v>73</v>
      </c>
      <c r="BY40" s="89">
        <f>IFERROR(_xlfn.XLOOKUP(B40,'w13'!$B:$B,'w13'!$C:$C),0)</f>
        <v>29.2</v>
      </c>
      <c r="BZ40" s="92">
        <f>_xlfn.RANK.EQ(BY40,BY$3:BY$10000,0)</f>
        <v>23</v>
      </c>
      <c r="CA40" s="93">
        <f>IFERROR(_xlfn.XLOOKUP(B40,'w13'!$B:$B,'w13'!$F:$F),1)</f>
        <v>0.29722222222222222</v>
      </c>
      <c r="CB40" s="92">
        <f>_xlfn.RANK.EQ(CA40,CA$3:CA$10000,1)</f>
        <v>49</v>
      </c>
      <c r="CC40" s="92">
        <f>IFERROR(IF(_xlfn.XLOOKUP(B40,'w13'!$B:$B,'w13'!$G:$G)="--",0,_xlfn.XLOOKUP(B40,'w13'!$B:$B,'w13'!$G:$G)),0)</f>
        <v>198</v>
      </c>
      <c r="CD40" s="92">
        <f>_xlfn.RANK.EQ(CC40,CC$3:CC$10000,0)</f>
        <v>38</v>
      </c>
      <c r="CE40" s="95">
        <f>IFERROR(_xlfn.XLOOKUP(B40,'w14'!$B:$B,'w14'!$C:$C),0)</f>
        <v>0</v>
      </c>
      <c r="CF40" s="98">
        <f>_xlfn.RANK.EQ(CE40,CE$3:CE$10000,0)</f>
        <v>69</v>
      </c>
      <c r="CG40" s="99">
        <f>IFERROR(_xlfn.XLOOKUP(B40,'w14'!$B:$B,'w14'!$F:$F),1)</f>
        <v>1</v>
      </c>
      <c r="CH40" s="98">
        <f>_xlfn.RANK.EQ(CG40,CG$3:CG$10000,1)</f>
        <v>69</v>
      </c>
      <c r="CI40" s="98">
        <f>IFERROR(IF(_xlfn.XLOOKUP(B40,'w14'!$B:$B,'w14'!$G:$G)="--",0,_xlfn.XLOOKUP(B40,'w14'!$B:$B,'w14'!$G:$G)),0)</f>
        <v>0</v>
      </c>
      <c r="CJ40" s="98">
        <f>_xlfn.RANK.EQ(CI40,CI$3:CI$10000,0)</f>
        <v>69</v>
      </c>
      <c r="CK40" s="9">
        <f>_xlfn.RANK.EQ(D40,D$3:D$10000,1)</f>
        <v>38</v>
      </c>
      <c r="CL40" s="26" t="s">
        <v>112</v>
      </c>
      <c r="CM40" s="8">
        <f>SUM(E40,K40,Q40,W40,AC40,AI40,AO40,AU40,BA40,BG40,BM40,BS40,BY40,CE40)</f>
        <v>314.8</v>
      </c>
      <c r="CN40" s="9">
        <f>_xlfn.RANK.EQ(CM40,CM$3:CM$10000)</f>
        <v>37</v>
      </c>
      <c r="CO40" s="15">
        <f>IFERROR(SUM(PRODUCT(E40,G40),PRODUCT(K40,M40),PRODUCT(Q40,S40),PRODUCT(W40,Y40),PRODUCT(AC40,AE40),PRODUCT(AI40,AK40),PRODUCT(AO40,AQ40),PRODUCT(AU40,AW40),PRODUCT(BA40,BC40),PRODUCT(BG40,BI40),PRODUCT(BM40,BO40),PRODUCT(BS40,BU40),PRODUCT(BY40,CA40),PRODUCT(CE40,CG40))/CM40,1)</f>
        <v>0.31584206903854295</v>
      </c>
      <c r="CP40" s="9">
        <f>_xlfn.RANK.EQ(CO40,CO$3:CO$10000,1)</f>
        <v>67</v>
      </c>
      <c r="CQ40" s="9">
        <f>SUM(I40,O40,U40,AA40,AG40,AM40,AS40,AY40,BE40,BK40,BQ40,BW40,CC40,CI40)</f>
        <v>1917</v>
      </c>
      <c r="CR40" s="9">
        <f>_xlfn.RANK.EQ(CQ40,CQ$3:CQ$10000)</f>
        <v>55</v>
      </c>
      <c r="CS40" s="23"/>
      <c r="CT40" s="25"/>
      <c r="CU40" s="24">
        <f>_xlfn.STDEV.S(F40,L40,R40,X40,AD40,AJ40,AP40,AV40,BB40,BH40,BN40,BT40,BZ40,CF40)</f>
        <v>22.983630103777184</v>
      </c>
      <c r="CV40" s="21">
        <f>_xlfn.RANK.EQ(CU40,CU$3:CU$10000,1)</f>
        <v>96</v>
      </c>
      <c r="CW40" s="24">
        <f>_xlfn.STDEV.S(H40,N40,T40,Z40,AF40,AL40,AR40,AX40,BD40,BJ40,BP40,BV40,CB40,CH40)</f>
        <v>12.774674465218583</v>
      </c>
      <c r="CX40" s="21">
        <f>_xlfn.RANK.EQ(CW40,CW$3:CW$10000,1)</f>
        <v>40</v>
      </c>
      <c r="CY40" s="24">
        <f>_xlfn.STDEV.S(J40,P40,V40,AB40,AH40,AN40,AT40,AZ40,BF40,BL40,BR40,BX40,CD40,CJ40)</f>
        <v>19.436003749697157</v>
      </c>
      <c r="CZ40" s="21">
        <f>_xlfn.RANK.EQ(CY40,CY$3:CY$10000,1)</f>
        <v>82</v>
      </c>
      <c r="DA40">
        <f>SUM(COUNTIF(E40,"&gt;0"),COUNTIF(K40,"&gt;0"),COUNTIF(Q40,"&gt;0"),COUNTIF(W40,"&gt;0"),COUNTIF(AC40,"&gt;0"),COUNTIF(AI40,"&gt;0"),COUNTIF(AO40,"&gt;0"),COUNTIF(AU40,"&gt;0"),COUNTIF(BA40,"&gt;0"),COUNTIF(BG40,"&gt;0"),COUNTIF(BM40,"&gt;0"),COUNTIF(BS40,"&gt;0"),COUNTIF(BY40,"&gt;0"),COUNTIF(CE40,"&gt;0"))</f>
        <v>12</v>
      </c>
    </row>
    <row r="41" spans="1:105" x14ac:dyDescent="0.3">
      <c r="B41" t="s">
        <v>61</v>
      </c>
      <c r="C41" s="18" t="s">
        <v>461</v>
      </c>
      <c r="D41" s="4">
        <f>CN41*$CN$1+CP41*$CP$1+CR41*$CR$1</f>
        <v>39.674999999999997</v>
      </c>
      <c r="E41" s="29">
        <f>IFERROR(_xlfn.XLOOKUP(B41,'w1'!$B:$B,'w1'!$C:$C),0)</f>
        <v>12.1</v>
      </c>
      <c r="F41" s="30">
        <f>_xlfn.RANK.EQ(E41,E$3:E$10000,0)</f>
        <v>58</v>
      </c>
      <c r="G41" s="31">
        <f>IFERROR(_xlfn.XLOOKUP(B41,'w1'!$B:$B,'w1'!$F:$F),1)</f>
        <v>0.33958333333333335</v>
      </c>
      <c r="H41" s="30">
        <f>_xlfn.RANK.EQ(G41,G$3:G$10000,1)</f>
        <v>67</v>
      </c>
      <c r="I41" s="30">
        <f>IFERROR(IF(_xlfn.XLOOKUP(B41,'w1'!$B:$B,'w1'!$G:$G)="--",0,_xlfn.XLOOKUP(B41,'w1'!$B:$B,'w1'!$G:$G)),0)</f>
        <v>402</v>
      </c>
      <c r="J41" s="30">
        <f>_xlfn.RANK.EQ(I41,I$3:I$10000,0)</f>
        <v>23</v>
      </c>
      <c r="K41" s="34">
        <f>IFERROR(_xlfn.XLOOKUP(B41,'w2'!$B:$B,'w2'!$C:$C),0)</f>
        <v>19.600000000000001</v>
      </c>
      <c r="L41" s="35">
        <f>_xlfn.RANK.EQ(K41,K$3:K$10000,0)</f>
        <v>48</v>
      </c>
      <c r="M41" s="36">
        <f>IFERROR(_xlfn.XLOOKUP(B41,'w2'!$B:$B,'w2'!$F:$F),1)</f>
        <v>0.32569444444444445</v>
      </c>
      <c r="N41" s="35">
        <f>_xlfn.RANK.EQ(M41,M$3:M$10000,1)</f>
        <v>55</v>
      </c>
      <c r="O41" s="35">
        <f>IFERROR(IF(_xlfn.XLOOKUP(B41,'w2'!$B:$B,'w2'!$G:$G)="--",0,_xlfn.XLOOKUP(B41,'w2'!$B:$B,'w2'!$G:$G)),0)</f>
        <v>453</v>
      </c>
      <c r="P41" s="35">
        <f>_xlfn.RANK.EQ(O41,O$3:O$10000,0)</f>
        <v>20</v>
      </c>
      <c r="Q41" s="39">
        <f>IFERROR(_xlfn.XLOOKUP(B41,'w3'!$B:$B,'w3'!$C:$C),0)</f>
        <v>33.4</v>
      </c>
      <c r="R41" s="40">
        <f>_xlfn.RANK.EQ(Q41,Q$3:Q$10000,0)</f>
        <v>26</v>
      </c>
      <c r="S41" s="41">
        <f>IFERROR(_xlfn.XLOOKUP(B41,'w3'!$B:$B,'w3'!$F:$F),1)</f>
        <v>0.32430555555555557</v>
      </c>
      <c r="T41" s="40">
        <f>_xlfn.RANK.EQ(S41,S$3:S$10000,1)</f>
        <v>66</v>
      </c>
      <c r="U41" s="40">
        <f>IFERROR(IF(_xlfn.XLOOKUP(B41,'w3'!$B:$B,'w3'!$G:$G)="--",0,_xlfn.XLOOKUP(B41,'w3'!$B:$B,'w3'!$G:$G)),0)</f>
        <v>424</v>
      </c>
      <c r="V41" s="40">
        <f>_xlfn.RANK.EQ(U41,U$3:U$10000,0)</f>
        <v>22</v>
      </c>
      <c r="W41" s="44">
        <f>IFERROR(_xlfn.XLOOKUP(B41,'w4'!$B:$B,'w4'!$C:$C),0)</f>
        <v>16</v>
      </c>
      <c r="X41" s="45">
        <f>_xlfn.RANK.EQ(W41,W$3:W$10000,0)</f>
        <v>43</v>
      </c>
      <c r="Y41" s="46">
        <f>IFERROR(_xlfn.XLOOKUP(B41,'w4'!$B:$B,'w4'!$F:$F),1)</f>
        <v>0.38680555555555557</v>
      </c>
      <c r="Z41" s="45">
        <f>_xlfn.RANK.EQ(Y41,Y$3:Y$10000,1)</f>
        <v>70</v>
      </c>
      <c r="AA41" s="45">
        <f>IFERROR(IF(_xlfn.XLOOKUP(B41,'w4'!$B:$B,'w4'!$G:$G)="--",0,_xlfn.XLOOKUP(B41,'w4'!$B:$B,'w4'!$G:$G)),0)</f>
        <v>472</v>
      </c>
      <c r="AB41" s="45">
        <f>_xlfn.RANK.EQ(AA41,AA$3:AA$10000,0)</f>
        <v>16</v>
      </c>
      <c r="AC41" s="13">
        <f>IFERROR(_xlfn.XLOOKUP(B41,'w5'!$B:$B,'w5'!$C:$C),0)</f>
        <v>29.5</v>
      </c>
      <c r="AD41" s="12">
        <f>_xlfn.RANK.EQ(AC41,AC$3:AC$10000,0)</f>
        <v>38</v>
      </c>
      <c r="AE41" s="14">
        <f>IFERROR(_xlfn.XLOOKUP(B41,'w5'!$B:$B,'w5'!$F:$F),1)</f>
        <v>0.38680555555555557</v>
      </c>
      <c r="AF41" s="12">
        <f>_xlfn.RANK.EQ(AE41,AE$3:AE$10000,1)</f>
        <v>63</v>
      </c>
      <c r="AG41" s="12">
        <f>IFERROR(IF(_xlfn.XLOOKUP(B41,'w5'!$B:$B,'w5'!$G:$G)="--",0,_xlfn.XLOOKUP(B41,'w5'!$B:$B,'w5'!$G:$G)),0)</f>
        <v>864</v>
      </c>
      <c r="AH41" s="12">
        <f>_xlfn.RANK.EQ(AG41,AG$3:AG$10000,0)</f>
        <v>17</v>
      </c>
      <c r="AI41" s="51">
        <f>IFERROR(_xlfn.XLOOKUP(B41,'w6'!$B:$B,'w6'!$C:$C),0)</f>
        <v>10.199999999999999</v>
      </c>
      <c r="AJ41" s="50">
        <f>_xlfn.RANK.EQ(AI41,AI$3:AI$10000,0)</f>
        <v>48</v>
      </c>
      <c r="AK41" s="52">
        <f>IFERROR(_xlfn.XLOOKUP(B41,'w6'!$B:$B,'w6'!$F:$F),1)</f>
        <v>0.3347222222222222</v>
      </c>
      <c r="AL41" s="50">
        <f>_xlfn.RANK.EQ(AK41,AK$3:AK$10000,1)</f>
        <v>48</v>
      </c>
      <c r="AM41" s="50">
        <f>IFERROR(IF(_xlfn.XLOOKUP(B41,'w6'!$B:$B,'w6'!$G:$G)="--",0,_xlfn.XLOOKUP(B41,'w6'!$B:$B,'w6'!$G:$G)),0)</f>
        <v>235</v>
      </c>
      <c r="AN41" s="50">
        <f>_xlfn.RANK.EQ(AM41,AM$3:AM$10000,0)</f>
        <v>33</v>
      </c>
      <c r="AO41" s="56">
        <f>IFERROR(_xlfn.XLOOKUP(B41,'w7'!$B:$B,'w7'!$C:$C),0)</f>
        <v>28.2</v>
      </c>
      <c r="AP41" s="57">
        <f>_xlfn.RANK.EQ(AO41,AO$3:AO$10000,0)</f>
        <v>29</v>
      </c>
      <c r="AQ41" s="58">
        <f>IFERROR(_xlfn.XLOOKUP(B41,'w7'!$B:$B,'w7'!$F:$F),1)</f>
        <v>0.37708333333333333</v>
      </c>
      <c r="AR41" s="57">
        <f>_xlfn.RANK.EQ(AQ41,AQ$3:AQ$10000,1)</f>
        <v>58</v>
      </c>
      <c r="AS41" s="57">
        <f>IFERROR(IF(_xlfn.XLOOKUP(B41,'w7'!$B:$B,'w7'!$G:$G)="--",0,_xlfn.XLOOKUP(B41,'w7'!$B:$B,'w7'!$G:$G)),0)</f>
        <v>1154</v>
      </c>
      <c r="AT41" s="57">
        <f>_xlfn.RANK.EQ(AS41,AS$3:AS$10000,0)</f>
        <v>14</v>
      </c>
      <c r="AU41" s="62">
        <f>IFERROR(_xlfn.XLOOKUP(B41,'w8'!$B:$B,'w8'!$C:$C),0)</f>
        <v>27.5</v>
      </c>
      <c r="AV41" s="61">
        <f>_xlfn.RANK.EQ(AU41,AU$3:AU$10000,0)</f>
        <v>36</v>
      </c>
      <c r="AW41" s="63">
        <f>IFERROR(_xlfn.XLOOKUP(B41,'w8'!$B:$B,'w8'!$F:$F),1)</f>
        <v>0.32500000000000001</v>
      </c>
      <c r="AX41" s="61">
        <f>_xlfn.RANK.EQ(AW41,AW$3:AW$10000,1)</f>
        <v>58</v>
      </c>
      <c r="AY41" s="61">
        <f>IFERROR(IF(_xlfn.XLOOKUP(B41,'w8'!$B:$B,'w8'!$G:$G)="--",0,_xlfn.XLOOKUP(B41,'w8'!$B:$B,'w8'!$G:$G)),0)</f>
        <v>457</v>
      </c>
      <c r="AZ41" s="61">
        <f>_xlfn.RANK.EQ(AY41,AY$3:AY$10000,0)</f>
        <v>25</v>
      </c>
      <c r="BA41" s="66">
        <f>IFERROR(_xlfn.XLOOKUP(C41,'w9'!$B:$B,'w9'!$C:$C),0)</f>
        <v>21.8</v>
      </c>
      <c r="BB41" s="67">
        <f>_xlfn.RANK.EQ(BA41,BA$3:BA$10000,0)</f>
        <v>53</v>
      </c>
      <c r="BC41" s="68">
        <f>IFERROR(_xlfn.XLOOKUP(C41,'w9'!$B:$B,'w9'!$F:$F),1)</f>
        <v>0.33958333333333335</v>
      </c>
      <c r="BD41" s="67">
        <f>_xlfn.RANK.EQ(BC41,BC$3:BC$10000,1)</f>
        <v>60</v>
      </c>
      <c r="BE41" s="67">
        <f>IFERROR(IF(_xlfn.XLOOKUP(C41,'w9'!$B:$B,'w9'!$G:$G)="--",0,_xlfn.XLOOKUP(C41,'w9'!$B:$B,'w9'!$G:$G)),0)</f>
        <v>400</v>
      </c>
      <c r="BF41" s="67">
        <f>_xlfn.RANK.EQ(BE41,BE$3:BE$10000,0)</f>
        <v>36</v>
      </c>
      <c r="BG41" s="72">
        <f>IFERROR(_xlfn.XLOOKUP(B41,'w10'!$B:$B,'w10'!$C:$C),0)</f>
        <v>21.7</v>
      </c>
      <c r="BH41" s="74">
        <f>_xlfn.RANK.EQ(BG41,BG$3:BG$10000,0)</f>
        <v>38</v>
      </c>
      <c r="BI41" s="75">
        <f>IFERROR(_xlfn.XLOOKUP(B41,'w10'!$B:$B,'w10'!$F:$F),1)</f>
        <v>0.2951388888888889</v>
      </c>
      <c r="BJ41" s="74">
        <f>_xlfn.RANK.EQ(BI41,BI$3:BI$10000,1)</f>
        <v>49</v>
      </c>
      <c r="BK41" s="74">
        <f>IFERROR(IF(_xlfn.XLOOKUP(B41,'w10'!$B:$B,'w10'!$G:$G)="--",0,_xlfn.XLOOKUP(B41,'w10'!$B:$B,'w10'!$G:$G)),0)</f>
        <v>270</v>
      </c>
      <c r="BL41" s="74">
        <f>_xlfn.RANK.EQ(BK41,BK$3:BK$10000,0)</f>
        <v>26</v>
      </c>
      <c r="BM41" s="78">
        <f>IFERROR(_xlfn.XLOOKUP(B41,'w11'!$B:$B,'w11'!$C:$C),0)</f>
        <v>7.9</v>
      </c>
      <c r="BN41" s="80">
        <f>_xlfn.RANK.EQ(BM41,BM$3:BM$10000,0)</f>
        <v>67</v>
      </c>
      <c r="BO41" s="81">
        <f>IFERROR(_xlfn.XLOOKUP(B41,'w11'!$B:$B,'w11'!$F:$F),1)</f>
        <v>0.27986111111111112</v>
      </c>
      <c r="BP41" s="80">
        <f>_xlfn.RANK.EQ(BO41,BO$3:BO$10000,1)</f>
        <v>39</v>
      </c>
      <c r="BQ41" s="80">
        <f>IFERROR(IF(_xlfn.XLOOKUP(B41,'w11'!$B:$B,'w11'!$G:$G)="--",0,_xlfn.XLOOKUP(B41,'w11'!$B:$B,'w11'!$G:$G)),0)</f>
        <v>85</v>
      </c>
      <c r="BR41" s="80">
        <f>_xlfn.RANK.EQ(BQ41,BQ$3:BQ$10000,0)</f>
        <v>62</v>
      </c>
      <c r="BS41" s="83">
        <f>IFERROR(_xlfn.XLOOKUP(B41,'w12'!$B:$B,'w12'!$C:$C),0)</f>
        <v>22.6</v>
      </c>
      <c r="BT41" s="86">
        <f>_xlfn.RANK.EQ(BS41,BS$3:BS$10000,0)</f>
        <v>25</v>
      </c>
      <c r="BU41" s="87">
        <f>IFERROR(_xlfn.XLOOKUP(B41,'w12'!$B:$B,'w12'!$F:$F),1)</f>
        <v>0.29583333333333334</v>
      </c>
      <c r="BV41" s="86">
        <f>_xlfn.RANK.EQ(BU41,BU$3:BU$10000,1)</f>
        <v>48</v>
      </c>
      <c r="BW41" s="86">
        <f>IFERROR(IF(_xlfn.XLOOKUP(B41,'w12'!$B:$B,'w12'!$G:$G)="--",0,_xlfn.XLOOKUP(B41,'w12'!$B:$B,'w12'!$G:$G)),0)</f>
        <v>272</v>
      </c>
      <c r="BX41" s="86">
        <f>_xlfn.RANK.EQ(BW41,BW$3:BW$10000,0)</f>
        <v>25</v>
      </c>
      <c r="BY41" s="89">
        <f>IFERROR(_xlfn.XLOOKUP(B41,'w13'!$B:$B,'w13'!$C:$C),0)</f>
        <v>27.3</v>
      </c>
      <c r="BZ41" s="92">
        <f>_xlfn.RANK.EQ(BY41,BY$3:BY$10000,0)</f>
        <v>28</v>
      </c>
      <c r="CA41" s="93">
        <f>IFERROR(_xlfn.XLOOKUP(B41,'w13'!$B:$B,'w13'!$F:$F),1)</f>
        <v>0.40208333333333335</v>
      </c>
      <c r="CB41" s="92">
        <f>_xlfn.RANK.EQ(CA41,CA$3:CA$10000,1)</f>
        <v>68</v>
      </c>
      <c r="CC41" s="92">
        <f>IFERROR(IF(_xlfn.XLOOKUP(B41,'w13'!$B:$B,'w13'!$G:$G)="--",0,_xlfn.XLOOKUP(B41,'w13'!$B:$B,'w13'!$G:$G)),0)</f>
        <v>681</v>
      </c>
      <c r="CD41" s="92">
        <f>_xlfn.RANK.EQ(CC41,CC$3:CC$10000,0)</f>
        <v>14</v>
      </c>
      <c r="CE41" s="95">
        <f>IFERROR(_xlfn.XLOOKUP(B41,'w14'!$B:$B,'w14'!$C:$C),0)</f>
        <v>35.6</v>
      </c>
      <c r="CF41" s="98">
        <f>_xlfn.RANK.EQ(CE41,CE$3:CE$10000,0)</f>
        <v>26</v>
      </c>
      <c r="CG41" s="99">
        <f>IFERROR(_xlfn.XLOOKUP(B41,'w14'!$B:$B,'w14'!$F:$F),1)</f>
        <v>0.34375</v>
      </c>
      <c r="CH41" s="98">
        <f>_xlfn.RANK.EQ(CG41,CG$3:CG$10000,1)</f>
        <v>55</v>
      </c>
      <c r="CI41" s="98">
        <f>IFERROR(IF(_xlfn.XLOOKUP(B41,'w14'!$B:$B,'w14'!$G:$G)="--",0,_xlfn.XLOOKUP(B41,'w14'!$B:$B,'w14'!$G:$G)),0)</f>
        <v>753</v>
      </c>
      <c r="CJ41" s="98">
        <f>_xlfn.RANK.EQ(CI41,CI$3:CI$10000,0)</f>
        <v>13</v>
      </c>
      <c r="CK41" s="9">
        <f>_xlfn.RANK.EQ(D41,D$3:D$10000,1)</f>
        <v>39</v>
      </c>
      <c r="CL41" s="26" t="s">
        <v>143</v>
      </c>
      <c r="CM41" s="8">
        <f>SUM(E41,K41,Q41,W41,AC41,AI41,AO41,AU41,BA41,BG41,BM41,BS41,BY41,CE41)</f>
        <v>313.40000000000003</v>
      </c>
      <c r="CN41" s="9">
        <f>_xlfn.RANK.EQ(CM41,CM$3:CM$10000)</f>
        <v>39</v>
      </c>
      <c r="CO41" s="15">
        <f>IFERROR(SUM(PRODUCT(E41,G41),PRODUCT(K41,M41),PRODUCT(Q41,S41),PRODUCT(W41,Y41),PRODUCT(AC41,AE41),PRODUCT(AI41,AK41),PRODUCT(AO41,AQ41),PRODUCT(AU41,AW41),PRODUCT(BA41,BC41),PRODUCT(BG41,BI41),PRODUCT(BM41,BO41),PRODUCT(BS41,BU41),PRODUCT(BY41,CA41),PRODUCT(CE41,CG41))/CM41,1)</f>
        <v>0.34405866659575973</v>
      </c>
      <c r="CP41" s="9">
        <f>_xlfn.RANK.EQ(CO41,CO$3:CO$10000,1)</f>
        <v>83</v>
      </c>
      <c r="CQ41" s="9">
        <f>SUM(I41,O41,U41,AA41,AG41,AM41,AS41,AY41,BE41,BK41,BQ41,BW41,CC41,CI41)</f>
        <v>6922</v>
      </c>
      <c r="CR41" s="9">
        <f>_xlfn.RANK.EQ(CQ41,CQ$3:CQ$10000)</f>
        <v>22</v>
      </c>
      <c r="CS41" s="23">
        <f>_xlfn.RANK.EQ(CT41,CT$3:CT$10000,1)</f>
        <v>17</v>
      </c>
      <c r="CT41" s="25">
        <f>CV41*$CN$1+CX41*$CP$1+CZ41*$CR$1</f>
        <v>47.224999999999994</v>
      </c>
      <c r="CU41" s="24">
        <f>_xlfn.STDEV.S(F41,L41,R41,X41,AD41,AJ41,AP41,AV41,BB41,BH41,BN41,BT41,BZ41,CF41)</f>
        <v>13.197777035596509</v>
      </c>
      <c r="CV41" s="21">
        <f>_xlfn.RANK.EQ(CU41,CU$3:CU$10000,1)</f>
        <v>48</v>
      </c>
      <c r="CW41" s="24">
        <f>_xlfn.STDEV.S(H41,N41,T41,Z41,AF41,AL41,AR41,AX41,BD41,BJ41,BP41,BV41,CB41,CH41)</f>
        <v>9.0868822250224337</v>
      </c>
      <c r="CX41" s="21">
        <f>_xlfn.RANK.EQ(CW41,CW$3:CW$10000,1)</f>
        <v>22</v>
      </c>
      <c r="CY41" s="24">
        <f>_xlfn.STDEV.S(J41,P41,V41,AB41,AH41,AN41,AT41,AZ41,BF41,BL41,BR41,BX41,CD41,CJ41)</f>
        <v>12.778759849715595</v>
      </c>
      <c r="CZ41" s="21">
        <f>_xlfn.RANK.EQ(CY41,CY$3:CY$10000,1)</f>
        <v>43</v>
      </c>
      <c r="DA41">
        <f>SUM(COUNTIF(E41,"&gt;0"),COUNTIF(K41,"&gt;0"),COUNTIF(Q41,"&gt;0"),COUNTIF(W41,"&gt;0"),COUNTIF(AC41,"&gt;0"),COUNTIF(AI41,"&gt;0"),COUNTIF(AO41,"&gt;0"),COUNTIF(AU41,"&gt;0"),COUNTIF(BA41,"&gt;0"),COUNTIF(BG41,"&gt;0"),COUNTIF(BM41,"&gt;0"),COUNTIF(BS41,"&gt;0"),COUNTIF(BY41,"&gt;0"),COUNTIF(CE41,"&gt;0"))</f>
        <v>14</v>
      </c>
    </row>
    <row r="42" spans="1:105" x14ac:dyDescent="0.3">
      <c r="B42" t="s">
        <v>31</v>
      </c>
      <c r="C42" s="18" t="s">
        <v>110</v>
      </c>
      <c r="D42" s="4">
        <f>CN42*$CN$1+CP42*$CP$1+CR42*$CR$1</f>
        <v>40.224999999999994</v>
      </c>
      <c r="E42" s="29">
        <f>IFERROR(_xlfn.XLOOKUP(B42,'w1'!$B:$B,'w1'!$C:$C),0)</f>
        <v>29</v>
      </c>
      <c r="F42" s="30">
        <f>_xlfn.RANK.EQ(E42,E$3:E$10000,0)</f>
        <v>28</v>
      </c>
      <c r="G42" s="31">
        <f>IFERROR(_xlfn.XLOOKUP(B42,'w1'!$B:$B,'w1'!$F:$F),1)</f>
        <v>0.30416666666666664</v>
      </c>
      <c r="H42" s="30">
        <f>_xlfn.RANK.EQ(G42,G$3:G$10000,1)</f>
        <v>56</v>
      </c>
      <c r="I42" s="30">
        <f>IFERROR(IF(_xlfn.XLOOKUP(B42,'w1'!$B:$B,'w1'!$G:$G)="--",0,_xlfn.XLOOKUP(B42,'w1'!$B:$B,'w1'!$G:$G)),0)</f>
        <v>731</v>
      </c>
      <c r="J42" s="30">
        <f>_xlfn.RANK.EQ(I42,I$3:I$10000,0)</f>
        <v>13</v>
      </c>
      <c r="K42" s="34">
        <f>IFERROR(_xlfn.XLOOKUP(B42,'w2'!$B:$B,'w2'!$C:$C),0)</f>
        <v>0</v>
      </c>
      <c r="L42" s="35">
        <f>_xlfn.RANK.EQ(K42,K$3:K$10000,0)</f>
        <v>73</v>
      </c>
      <c r="M42" s="36">
        <f>IFERROR(_xlfn.XLOOKUP(B42,'w2'!$B:$B,'w2'!$F:$F),1)</f>
        <v>1</v>
      </c>
      <c r="N42" s="35">
        <f>_xlfn.RANK.EQ(M42,M$3:M$10000,1)</f>
        <v>72</v>
      </c>
      <c r="O42" s="35">
        <f>IFERROR(IF(_xlfn.XLOOKUP(B42,'w2'!$B:$B,'w2'!$G:$G)="--",0,_xlfn.XLOOKUP(B42,'w2'!$B:$B,'w2'!$G:$G)),0)</f>
        <v>0</v>
      </c>
      <c r="P42" s="35">
        <f>_xlfn.RANK.EQ(O42,O$3:O$10000,0)</f>
        <v>71</v>
      </c>
      <c r="Q42" s="39">
        <f>IFERROR(_xlfn.XLOOKUP(B42,'w3'!$B:$B,'w3'!$C:$C),0)</f>
        <v>16.100000000000001</v>
      </c>
      <c r="R42" s="40">
        <f>_xlfn.RANK.EQ(Q42,Q$3:Q$10000,0)</f>
        <v>52</v>
      </c>
      <c r="S42" s="41">
        <f>IFERROR(_xlfn.XLOOKUP(B42,'w3'!$B:$B,'w3'!$F:$F),1)</f>
        <v>0.24791666666666667</v>
      </c>
      <c r="T42" s="40">
        <f>_xlfn.RANK.EQ(S42,S$3:S$10000,1)</f>
        <v>18</v>
      </c>
      <c r="U42" s="40">
        <f>IFERROR(IF(_xlfn.XLOOKUP(B42,'w3'!$B:$B,'w3'!$G:$G)="--",0,_xlfn.XLOOKUP(B42,'w3'!$B:$B,'w3'!$G:$G)),0)</f>
        <v>174</v>
      </c>
      <c r="V42" s="40">
        <f>_xlfn.RANK.EQ(U42,U$3:U$10000,0)</f>
        <v>39</v>
      </c>
      <c r="W42" s="44">
        <f>IFERROR(_xlfn.XLOOKUP(B42,'w4'!$B:$B,'w4'!$C:$C),0)</f>
        <v>9</v>
      </c>
      <c r="X42" s="45">
        <f>_xlfn.RANK.EQ(W42,W$3:W$10000,0)</f>
        <v>66</v>
      </c>
      <c r="Y42" s="46">
        <f>IFERROR(_xlfn.XLOOKUP(B42,'w4'!$B:$B,'w4'!$F:$F),1)</f>
        <v>0.25416666666666665</v>
      </c>
      <c r="Z42" s="45">
        <f>_xlfn.RANK.EQ(Y42,Y$3:Y$10000,1)</f>
        <v>26</v>
      </c>
      <c r="AA42" s="45">
        <f>IFERROR(IF(_xlfn.XLOOKUP(B42,'w4'!$B:$B,'w4'!$G:$G)="--",0,_xlfn.XLOOKUP(B42,'w4'!$B:$B,'w4'!$G:$G)),0)</f>
        <v>156</v>
      </c>
      <c r="AB42" s="45">
        <f>_xlfn.RANK.EQ(AA42,AA$3:AA$10000,0)</f>
        <v>38</v>
      </c>
      <c r="AC42" s="13">
        <f>IFERROR(_xlfn.XLOOKUP(B42,'w5'!$B:$B,'w5'!$C:$C),0)</f>
        <v>24.2</v>
      </c>
      <c r="AD42" s="12">
        <f>_xlfn.RANK.EQ(AC42,AC$3:AC$10000,0)</f>
        <v>44</v>
      </c>
      <c r="AE42" s="14">
        <f>IFERROR(_xlfn.XLOOKUP(B42,'w5'!$B:$B,'w5'!$F:$F),1)</f>
        <v>0.23402777777777778</v>
      </c>
      <c r="AF42" s="12">
        <f>_xlfn.RANK.EQ(AE42,AE$3:AE$10000,1)</f>
        <v>12</v>
      </c>
      <c r="AG42" s="12">
        <f>IFERROR(IF(_xlfn.XLOOKUP(B42,'w5'!$B:$B,'w5'!$G:$G)="--",0,_xlfn.XLOOKUP(B42,'w5'!$B:$B,'w5'!$G:$G)),0)</f>
        <v>307</v>
      </c>
      <c r="AH42" s="12">
        <f>_xlfn.RANK.EQ(AG42,AG$3:AG$10000,0)</f>
        <v>31</v>
      </c>
      <c r="AI42" s="51">
        <f>IFERROR(_xlfn.XLOOKUP(B42,'w6'!$B:$B,'w6'!$C:$C),0)</f>
        <v>0</v>
      </c>
      <c r="AJ42" s="50">
        <f>_xlfn.RANK.EQ(AI42,AI$3:AI$10000,0)</f>
        <v>65</v>
      </c>
      <c r="AK42" s="52">
        <f>IFERROR(_xlfn.XLOOKUP(B42,'w6'!$B:$B,'w6'!$F:$F),1)</f>
        <v>1</v>
      </c>
      <c r="AL42" s="50">
        <f>_xlfn.RANK.EQ(AK42,AK$3:AK$10000,1)</f>
        <v>65</v>
      </c>
      <c r="AM42" s="50">
        <f>IFERROR(IF(_xlfn.XLOOKUP(B42,'w6'!$B:$B,'w6'!$G:$G)="--",0,_xlfn.XLOOKUP(B42,'w6'!$B:$B,'w6'!$G:$G)),0)</f>
        <v>0</v>
      </c>
      <c r="AN42" s="50">
        <f>_xlfn.RANK.EQ(AM42,AM$3:AM$10000,0)</f>
        <v>61</v>
      </c>
      <c r="AO42" s="56">
        <f>IFERROR(_xlfn.XLOOKUP(B42,'w7'!$B:$B,'w7'!$C:$C),0)</f>
        <v>25.8</v>
      </c>
      <c r="AP42" s="57">
        <f>_xlfn.RANK.EQ(AO42,AO$3:AO$10000,0)</f>
        <v>32</v>
      </c>
      <c r="AQ42" s="58">
        <f>IFERROR(_xlfn.XLOOKUP(B42,'w7'!$B:$B,'w7'!$F:$F),1)</f>
        <v>0.25</v>
      </c>
      <c r="AR42" s="57">
        <f>_xlfn.RANK.EQ(AQ42,AQ$3:AQ$10000,1)</f>
        <v>19</v>
      </c>
      <c r="AS42" s="57">
        <f>IFERROR(IF(_xlfn.XLOOKUP(B42,'w7'!$B:$B,'w7'!$G:$G)="--",0,_xlfn.XLOOKUP(B42,'w7'!$B:$B,'w7'!$G:$G)),0)</f>
        <v>410</v>
      </c>
      <c r="AT42" s="57">
        <f>_xlfn.RANK.EQ(AS42,AS$3:AS$10000,0)</f>
        <v>22</v>
      </c>
      <c r="AU42" s="62">
        <f>IFERROR(_xlfn.XLOOKUP(B42,'w8'!$B:$B,'w8'!$C:$C),0)</f>
        <v>22.3</v>
      </c>
      <c r="AV42" s="61">
        <f>_xlfn.RANK.EQ(AU42,AU$3:AU$10000,0)</f>
        <v>44</v>
      </c>
      <c r="AW42" s="63">
        <f>IFERROR(_xlfn.XLOOKUP(B42,'w8'!$B:$B,'w8'!$F:$F),1)</f>
        <v>0.22083333333333333</v>
      </c>
      <c r="AX42" s="61">
        <f>_xlfn.RANK.EQ(AW42,AW$3:AW$10000,1)</f>
        <v>4</v>
      </c>
      <c r="AY42" s="61">
        <f>IFERROR(IF(_xlfn.XLOOKUP(B42,'w8'!$B:$B,'w8'!$G:$G)="--",0,_xlfn.XLOOKUP(B42,'w8'!$B:$B,'w8'!$G:$G)),0)</f>
        <v>148</v>
      </c>
      <c r="AZ42" s="61">
        <f>_xlfn.RANK.EQ(AY42,AY$3:AY$10000,0)</f>
        <v>46</v>
      </c>
      <c r="BA42" s="66">
        <f>IFERROR(_xlfn.XLOOKUP(C42,'w9'!$B:$B,'w9'!$C:$C),0)</f>
        <v>28.3</v>
      </c>
      <c r="BB42" s="67">
        <f>_xlfn.RANK.EQ(BA42,BA$3:BA$10000,0)</f>
        <v>39</v>
      </c>
      <c r="BC42" s="68">
        <f>IFERROR(_xlfn.XLOOKUP(C42,'w9'!$B:$B,'w9'!$F:$F),1)</f>
        <v>0.24097222222222223</v>
      </c>
      <c r="BD42" s="67">
        <f>_xlfn.RANK.EQ(BC42,BC$3:BC$10000,1)</f>
        <v>12</v>
      </c>
      <c r="BE42" s="67">
        <f>IFERROR(IF(_xlfn.XLOOKUP(C42,'w9'!$B:$B,'w9'!$G:$G)="--",0,_xlfn.XLOOKUP(C42,'w9'!$B:$B,'w9'!$G:$G)),0)</f>
        <v>298</v>
      </c>
      <c r="BF42" s="67">
        <f>_xlfn.RANK.EQ(BE42,BE$3:BE$10000,0)</f>
        <v>45</v>
      </c>
      <c r="BG42" s="72">
        <f>IFERROR(_xlfn.XLOOKUP(B42,'w10'!$B:$B,'w10'!$C:$C),0)</f>
        <v>34.4</v>
      </c>
      <c r="BH42" s="74">
        <f>_xlfn.RANK.EQ(BG42,BG$3:BG$10000,0)</f>
        <v>26</v>
      </c>
      <c r="BI42" s="75">
        <f>IFERROR(_xlfn.XLOOKUP(B42,'w10'!$B:$B,'w10'!$F:$F),1)</f>
        <v>0.22152777777777777</v>
      </c>
      <c r="BJ42" s="74">
        <f>_xlfn.RANK.EQ(BI42,BI$3:BI$10000,1)</f>
        <v>6</v>
      </c>
      <c r="BK42" s="74">
        <f>IFERROR(IF(_xlfn.XLOOKUP(B42,'w10'!$B:$B,'w10'!$G:$G)="--",0,_xlfn.XLOOKUP(B42,'w10'!$B:$B,'w10'!$G:$G)),0)</f>
        <v>147</v>
      </c>
      <c r="BL42" s="74">
        <f>_xlfn.RANK.EQ(BK42,BK$3:BK$10000,0)</f>
        <v>41</v>
      </c>
      <c r="BM42" s="78">
        <f>IFERROR(_xlfn.XLOOKUP(B42,'w11'!$B:$B,'w11'!$C:$C),0)</f>
        <v>28.6</v>
      </c>
      <c r="BN42" s="80">
        <f>_xlfn.RANK.EQ(BM42,BM$3:BM$10000,0)</f>
        <v>29</v>
      </c>
      <c r="BO42" s="81">
        <f>IFERROR(_xlfn.XLOOKUP(B42,'w11'!$B:$B,'w11'!$F:$F),1)</f>
        <v>0.2326388888888889</v>
      </c>
      <c r="BP42" s="80">
        <f>_xlfn.RANK.EQ(BO42,BO$3:BO$10000,1)</f>
        <v>13</v>
      </c>
      <c r="BQ42" s="80">
        <f>IFERROR(IF(_xlfn.XLOOKUP(B42,'w11'!$B:$B,'w11'!$G:$G)="--",0,_xlfn.XLOOKUP(B42,'w11'!$B:$B,'w11'!$G:$G)),0)</f>
        <v>226</v>
      </c>
      <c r="BR42" s="80">
        <f>_xlfn.RANK.EQ(BQ42,BQ$3:BQ$10000,0)</f>
        <v>36</v>
      </c>
      <c r="BS42" s="83">
        <f>IFERROR(_xlfn.XLOOKUP(B42,'w12'!$B:$B,'w12'!$C:$C),0)</f>
        <v>38.200000000000003</v>
      </c>
      <c r="BT42" s="86">
        <f>_xlfn.RANK.EQ(BS42,BS$3:BS$10000,0)</f>
        <v>14</v>
      </c>
      <c r="BU42" s="87">
        <f>IFERROR(_xlfn.XLOOKUP(B42,'w12'!$B:$B,'w12'!$F:$F),1)</f>
        <v>0.22569444444444445</v>
      </c>
      <c r="BV42" s="86">
        <f>_xlfn.RANK.EQ(BU42,BU$3:BU$10000,1)</f>
        <v>5</v>
      </c>
      <c r="BW42" s="86">
        <f>IFERROR(IF(_xlfn.XLOOKUP(B42,'w12'!$B:$B,'w12'!$G:$G)="--",0,_xlfn.XLOOKUP(B42,'w12'!$B:$B,'w12'!$G:$G)),0)</f>
        <v>425</v>
      </c>
      <c r="BX42" s="86">
        <f>_xlfn.RANK.EQ(BW42,BW$3:BW$10000,0)</f>
        <v>13</v>
      </c>
      <c r="BY42" s="89">
        <f>IFERROR(_xlfn.XLOOKUP(B42,'w13'!$B:$B,'w13'!$C:$C),0)</f>
        <v>16.600000000000001</v>
      </c>
      <c r="BZ42" s="92">
        <f>_xlfn.RANK.EQ(BY42,BY$3:BY$10000,0)</f>
        <v>49</v>
      </c>
      <c r="CA42" s="93">
        <f>IFERROR(_xlfn.XLOOKUP(B42,'w13'!$B:$B,'w13'!$F:$F),1)</f>
        <v>0.22222222222222221</v>
      </c>
      <c r="CB42" s="92">
        <f>_xlfn.RANK.EQ(CA42,CA$3:CA$10000,1)</f>
        <v>6</v>
      </c>
      <c r="CC42" s="92">
        <f>IFERROR(IF(_xlfn.XLOOKUP(B42,'w13'!$B:$B,'w13'!$G:$G)="--",0,_xlfn.XLOOKUP(B42,'w13'!$B:$B,'w13'!$G:$G)),0)</f>
        <v>9</v>
      </c>
      <c r="CD42" s="92">
        <f>_xlfn.RANK.EQ(CC42,CC$3:CC$10000,0)</f>
        <v>73</v>
      </c>
      <c r="CE42" s="95">
        <f>IFERROR(_xlfn.XLOOKUP(B42,'w14'!$B:$B,'w14'!$C:$C),0)</f>
        <v>32.4</v>
      </c>
      <c r="CF42" s="98">
        <f>_xlfn.RANK.EQ(CE42,CE$3:CE$10000,0)</f>
        <v>31</v>
      </c>
      <c r="CG42" s="99">
        <f>IFERROR(_xlfn.XLOOKUP(B42,'w14'!$B:$B,'w14'!$F:$F),1)</f>
        <v>0.23749999999999999</v>
      </c>
      <c r="CH42" s="98">
        <f>_xlfn.RANK.EQ(CG42,CG$3:CG$10000,1)</f>
        <v>10</v>
      </c>
      <c r="CI42" s="98">
        <f>IFERROR(IF(_xlfn.XLOOKUP(B42,'w14'!$B:$B,'w14'!$G:$G)="--",0,_xlfn.XLOOKUP(B42,'w14'!$B:$B,'w14'!$G:$G)),0)</f>
        <v>334</v>
      </c>
      <c r="CJ42" s="98">
        <f>_xlfn.RANK.EQ(CI42,CI$3:CI$10000,0)</f>
        <v>27</v>
      </c>
      <c r="CK42" s="9">
        <f>_xlfn.RANK.EQ(D42,D$3:D$10000,1)</f>
        <v>40</v>
      </c>
      <c r="CL42" s="26" t="s">
        <v>110</v>
      </c>
      <c r="CM42" s="8">
        <f>SUM(E42,K42,Q42,W42,AC42,AI42,AO42,AU42,BA42,BG42,BM42,BS42,BY42,CE42)</f>
        <v>304.89999999999998</v>
      </c>
      <c r="CN42" s="9">
        <f>_xlfn.RANK.EQ(CM42,CM$3:CM$10000)</f>
        <v>41</v>
      </c>
      <c r="CO42" s="15">
        <f>IFERROR(SUM(PRODUCT(E42,G42),PRODUCT(K42,M42),PRODUCT(Q42,S42),PRODUCT(W42,Y42),PRODUCT(AC42,AE42),PRODUCT(AI42,AK42),PRODUCT(AO42,AQ42),PRODUCT(AU42,AW42),PRODUCT(BA42,BC42),PRODUCT(BG42,BI42),PRODUCT(BM42,BO42),PRODUCT(BS42,BU42),PRODUCT(BY42,CA42),PRODUCT(CE42,CG42))/CM42,1)</f>
        <v>0.24019942786341605</v>
      </c>
      <c r="CP42" s="9">
        <f>_xlfn.RANK.EQ(CO42,CO$3:CO$10000,1)</f>
        <v>11</v>
      </c>
      <c r="CQ42" s="9">
        <f>SUM(I42,O42,U42,AA42,AG42,AM42,AS42,AY42,BE42,BK42,BQ42,BW42,CC42,CI42)</f>
        <v>3365</v>
      </c>
      <c r="CR42" s="9">
        <f>_xlfn.RANK.EQ(CQ42,CQ$3:CQ$10000)</f>
        <v>40</v>
      </c>
      <c r="CS42" s="23"/>
      <c r="CT42" s="25"/>
      <c r="CU42" s="24">
        <f>_xlfn.STDEV.S(F42,L42,R42,X42,AD42,AJ42,AP42,AV42,BB42,BH42,BN42,BT42,BZ42,CF42)</f>
        <v>17.224439575246521</v>
      </c>
      <c r="CV42" s="21">
        <f>_xlfn.RANK.EQ(CU42,CU$3:CU$10000,1)</f>
        <v>79</v>
      </c>
      <c r="CW42" s="24">
        <f>_xlfn.STDEV.S(H42,N42,T42,Z42,AF42,AL42,AR42,AX42,BD42,BJ42,BP42,BV42,CB42,CH42)</f>
        <v>23.333228675851107</v>
      </c>
      <c r="CX42" s="21">
        <f>_xlfn.RANK.EQ(CW42,CW$3:CW$10000,1)</f>
        <v>88</v>
      </c>
      <c r="CY42" s="24">
        <f>_xlfn.STDEV.S(J42,P42,V42,AB42,AH42,AN42,AT42,AZ42,BF42,BL42,BR42,BX42,CD42,CJ42)</f>
        <v>18.820727409422307</v>
      </c>
      <c r="CZ42" s="21">
        <f>_xlfn.RANK.EQ(CY42,CY$3:CY$10000,1)</f>
        <v>78</v>
      </c>
      <c r="DA42">
        <f>SUM(COUNTIF(E42,"&gt;0"),COUNTIF(K42,"&gt;0"),COUNTIF(Q42,"&gt;0"),COUNTIF(W42,"&gt;0"),COUNTIF(AC42,"&gt;0"),COUNTIF(AI42,"&gt;0"),COUNTIF(AO42,"&gt;0"),COUNTIF(AU42,"&gt;0"),COUNTIF(BA42,"&gt;0"),COUNTIF(BG42,"&gt;0"),COUNTIF(BM42,"&gt;0"),COUNTIF(BS42,"&gt;0"),COUNTIF(BY42,"&gt;0"),COUNTIF(CE42,"&gt;0"))</f>
        <v>12</v>
      </c>
    </row>
    <row r="43" spans="1:105" x14ac:dyDescent="0.3">
      <c r="B43" t="s">
        <v>36</v>
      </c>
      <c r="C43" s="18" t="s">
        <v>115</v>
      </c>
      <c r="D43" s="4">
        <f>CN43*$CN$1+CP43*$CP$1+CR43*$CR$1</f>
        <v>40.825000000000003</v>
      </c>
      <c r="E43" s="29">
        <f>IFERROR(_xlfn.XLOOKUP(B43,'w1'!$B:$B,'w1'!$C:$C),0)</f>
        <v>24.1</v>
      </c>
      <c r="F43" s="30">
        <f>_xlfn.RANK.EQ(E43,E$3:E$10000,0)</f>
        <v>33</v>
      </c>
      <c r="G43" s="31">
        <f>IFERROR(_xlfn.XLOOKUP(B43,'w1'!$B:$B,'w1'!$F:$F),1)</f>
        <v>0.34861111111111109</v>
      </c>
      <c r="H43" s="30">
        <f>_xlfn.RANK.EQ(G43,G$3:G$10000,1)</f>
        <v>69</v>
      </c>
      <c r="I43" s="30">
        <f>IFERROR(IF(_xlfn.XLOOKUP(B43,'w1'!$B:$B,'w1'!$G:$G)="--",0,_xlfn.XLOOKUP(B43,'w1'!$B:$B,'w1'!$G:$G)),0)</f>
        <v>524</v>
      </c>
      <c r="J43" s="30">
        <f>_xlfn.RANK.EQ(I43,I$3:I$10000,0)</f>
        <v>19</v>
      </c>
      <c r="K43" s="34">
        <f>IFERROR(_xlfn.XLOOKUP(B43,'w2'!$B:$B,'w2'!$C:$C),0)</f>
        <v>24.6</v>
      </c>
      <c r="L43" s="35">
        <f>_xlfn.RANK.EQ(K43,K$3:K$10000,0)</f>
        <v>38</v>
      </c>
      <c r="M43" s="36">
        <f>IFERROR(_xlfn.XLOOKUP(B43,'w2'!$B:$B,'w2'!$F:$F),1)</f>
        <v>0.32500000000000001</v>
      </c>
      <c r="N43" s="35">
        <f>_xlfn.RANK.EQ(M43,M$3:M$10000,1)</f>
        <v>54</v>
      </c>
      <c r="O43" s="35">
        <f>IFERROR(IF(_xlfn.XLOOKUP(B43,'w2'!$B:$B,'w2'!$G:$G)="--",0,_xlfn.XLOOKUP(B43,'w2'!$B:$B,'w2'!$G:$G)),0)</f>
        <v>341</v>
      </c>
      <c r="P43" s="35">
        <f>_xlfn.RANK.EQ(O43,O$3:O$10000,0)</f>
        <v>29</v>
      </c>
      <c r="Q43" s="39">
        <f>IFERROR(_xlfn.XLOOKUP(B43,'w3'!$B:$B,'w3'!$C:$C),0)</f>
        <v>22.4</v>
      </c>
      <c r="R43" s="40">
        <f>_xlfn.RANK.EQ(Q43,Q$3:Q$10000,0)</f>
        <v>42</v>
      </c>
      <c r="S43" s="41">
        <f>IFERROR(_xlfn.XLOOKUP(B43,'w3'!$B:$B,'w3'!$F:$F),1)</f>
        <v>0.31319444444444444</v>
      </c>
      <c r="T43" s="40">
        <f>_xlfn.RANK.EQ(S43,S$3:S$10000,1)</f>
        <v>61</v>
      </c>
      <c r="U43" s="40">
        <f>IFERROR(IF(_xlfn.XLOOKUP(B43,'w3'!$B:$B,'w3'!$G:$G)="--",0,_xlfn.XLOOKUP(B43,'w3'!$B:$B,'w3'!$G:$G)),0)</f>
        <v>196</v>
      </c>
      <c r="V43" s="40">
        <f>_xlfn.RANK.EQ(U43,U$3:U$10000,0)</f>
        <v>36</v>
      </c>
      <c r="W43" s="44">
        <f>IFERROR(_xlfn.XLOOKUP(B43,'w4'!$B:$B,'w4'!$C:$C),0)</f>
        <v>16</v>
      </c>
      <c r="X43" s="45">
        <f>_xlfn.RANK.EQ(W43,W$3:W$10000,0)</f>
        <v>43</v>
      </c>
      <c r="Y43" s="46">
        <f>IFERROR(_xlfn.XLOOKUP(B43,'w4'!$B:$B,'w4'!$F:$F),1)</f>
        <v>0.38680555555555557</v>
      </c>
      <c r="Z43" s="45">
        <f>_xlfn.RANK.EQ(Y43,Y$3:Y$10000,1)</f>
        <v>70</v>
      </c>
      <c r="AA43" s="45">
        <f>IFERROR(IF(_xlfn.XLOOKUP(B43,'w4'!$B:$B,'w4'!$G:$G)="--",0,_xlfn.XLOOKUP(B43,'w4'!$B:$B,'w4'!$G:$G)),0)</f>
        <v>472</v>
      </c>
      <c r="AB43" s="45">
        <f>_xlfn.RANK.EQ(AA43,AA$3:AA$10000,0)</f>
        <v>16</v>
      </c>
      <c r="AC43" s="13">
        <f>IFERROR(_xlfn.XLOOKUP(B43,'w5'!$B:$B,'w5'!$C:$C),0)</f>
        <v>23.6</v>
      </c>
      <c r="AD43" s="12">
        <f>_xlfn.RANK.EQ(AC43,AC$3:AC$10000,0)</f>
        <v>45</v>
      </c>
      <c r="AE43" s="14">
        <f>IFERROR(_xlfn.XLOOKUP(B43,'w5'!$B:$B,'w5'!$F:$F),1)</f>
        <v>0.44583333333333336</v>
      </c>
      <c r="AF43" s="12">
        <f>_xlfn.RANK.EQ(AE43,AE$3:AE$10000,1)</f>
        <v>67</v>
      </c>
      <c r="AG43" s="12">
        <f>IFERROR(IF(_xlfn.XLOOKUP(B43,'w5'!$B:$B,'w5'!$G:$G)="--",0,_xlfn.XLOOKUP(B43,'w5'!$B:$B,'w5'!$G:$G)),0)</f>
        <v>413</v>
      </c>
      <c r="AH43" s="12">
        <f>_xlfn.RANK.EQ(AG43,AG$3:AG$10000,0)</f>
        <v>30</v>
      </c>
      <c r="AI43" s="51">
        <f>IFERROR(_xlfn.XLOOKUP(B43,'w6'!$B:$B,'w6'!$C:$C),0)</f>
        <v>15.7</v>
      </c>
      <c r="AJ43" s="50">
        <f>_xlfn.RANK.EQ(AI43,AI$3:AI$10000,0)</f>
        <v>34</v>
      </c>
      <c r="AK43" s="52">
        <f>IFERROR(_xlfn.XLOOKUP(B43,'w6'!$B:$B,'w6'!$F:$F),1)</f>
        <v>0.34166666666666667</v>
      </c>
      <c r="AL43" s="50">
        <f>_xlfn.RANK.EQ(AK43,AK$3:AK$10000,1)</f>
        <v>50</v>
      </c>
      <c r="AM43" s="50">
        <f>IFERROR(IF(_xlfn.XLOOKUP(B43,'w6'!$B:$B,'w6'!$G:$G)="--",0,_xlfn.XLOOKUP(B43,'w6'!$B:$B,'w6'!$G:$G)),0)</f>
        <v>302</v>
      </c>
      <c r="AN43" s="50">
        <f>_xlfn.RANK.EQ(AM43,AM$3:AM$10000,0)</f>
        <v>24</v>
      </c>
      <c r="AO43" s="56">
        <f>IFERROR(_xlfn.XLOOKUP(B43,'w7'!$B:$B,'w7'!$C:$C),0)</f>
        <v>23.5</v>
      </c>
      <c r="AP43" s="57">
        <f>_xlfn.RANK.EQ(AO43,AO$3:AO$10000,0)</f>
        <v>35</v>
      </c>
      <c r="AQ43" s="58">
        <f>IFERROR(_xlfn.XLOOKUP(B43,'w7'!$B:$B,'w7'!$F:$F),1)</f>
        <v>0.30208333333333331</v>
      </c>
      <c r="AR43" s="57">
        <f>_xlfn.RANK.EQ(AQ43,AQ$3:AQ$10000,1)</f>
        <v>43</v>
      </c>
      <c r="AS43" s="57">
        <f>IFERROR(IF(_xlfn.XLOOKUP(B43,'w7'!$B:$B,'w7'!$G:$G)="--",0,_xlfn.XLOOKUP(B43,'w7'!$B:$B,'w7'!$G:$G)),0)</f>
        <v>336</v>
      </c>
      <c r="AT43" s="57">
        <f>_xlfn.RANK.EQ(AS43,AS$3:AS$10000,0)</f>
        <v>26</v>
      </c>
      <c r="AU43" s="62">
        <f>IFERROR(_xlfn.XLOOKUP(B43,'w8'!$B:$B,'w8'!$C:$C),0)</f>
        <v>26.5</v>
      </c>
      <c r="AV43" s="61">
        <f>_xlfn.RANK.EQ(AU43,AU$3:AU$10000,0)</f>
        <v>37</v>
      </c>
      <c r="AW43" s="63">
        <f>IFERROR(_xlfn.XLOOKUP(B43,'w8'!$B:$B,'w8'!$F:$F),1)</f>
        <v>0.31041666666666667</v>
      </c>
      <c r="AX43" s="61">
        <f>_xlfn.RANK.EQ(AW43,AW$3:AW$10000,1)</f>
        <v>50</v>
      </c>
      <c r="AY43" s="61">
        <f>IFERROR(IF(_xlfn.XLOOKUP(B43,'w8'!$B:$B,'w8'!$G:$G)="--",0,_xlfn.XLOOKUP(B43,'w8'!$B:$B,'w8'!$G:$G)),0)</f>
        <v>486</v>
      </c>
      <c r="AZ43" s="61">
        <f>_xlfn.RANK.EQ(AY43,AY$3:AY$10000,0)</f>
        <v>24</v>
      </c>
      <c r="BA43" s="66">
        <f>IFERROR(_xlfn.XLOOKUP(C43,'w9'!$B:$B,'w9'!$C:$C),0)</f>
        <v>23.2</v>
      </c>
      <c r="BB43" s="67">
        <f>_xlfn.RANK.EQ(BA43,BA$3:BA$10000,0)</f>
        <v>50</v>
      </c>
      <c r="BC43" s="68">
        <f>IFERROR(_xlfn.XLOOKUP(C43,'w9'!$B:$B,'w9'!$F:$F),1)</f>
        <v>0.29791666666666666</v>
      </c>
      <c r="BD43" s="67">
        <f>_xlfn.RANK.EQ(BC43,BC$3:BC$10000,1)</f>
        <v>37</v>
      </c>
      <c r="BE43" s="67">
        <f>IFERROR(IF(_xlfn.XLOOKUP(C43,'w9'!$B:$B,'w9'!$G:$G)="--",0,_xlfn.XLOOKUP(C43,'w9'!$B:$B,'w9'!$G:$G)),0)</f>
        <v>308</v>
      </c>
      <c r="BF43" s="67">
        <f>_xlfn.RANK.EQ(BE43,BE$3:BE$10000,0)</f>
        <v>42</v>
      </c>
      <c r="BG43" s="72">
        <f>IFERROR(_xlfn.XLOOKUP(B43,'w10'!$B:$B,'w10'!$C:$C),0)</f>
        <v>19</v>
      </c>
      <c r="BH43" s="74">
        <f>_xlfn.RANK.EQ(BG43,BG$3:BG$10000,0)</f>
        <v>44</v>
      </c>
      <c r="BI43" s="75">
        <f>IFERROR(_xlfn.XLOOKUP(B43,'w10'!$B:$B,'w10'!$F:$F),1)</f>
        <v>0.29791666666666666</v>
      </c>
      <c r="BJ43" s="74">
        <f>_xlfn.RANK.EQ(BI43,BI$3:BI$10000,1)</f>
        <v>50</v>
      </c>
      <c r="BK43" s="74">
        <f>IFERROR(IF(_xlfn.XLOOKUP(B43,'w10'!$B:$B,'w10'!$G:$G)="--",0,_xlfn.XLOOKUP(B43,'w10'!$B:$B,'w10'!$G:$G)),0)</f>
        <v>231</v>
      </c>
      <c r="BL43" s="74">
        <f>_xlfn.RANK.EQ(BK43,BK$3:BK$10000,0)</f>
        <v>31</v>
      </c>
      <c r="BM43" s="78">
        <f>IFERROR(_xlfn.XLOOKUP(B43,'w11'!$B:$B,'w11'!$C:$C),0)</f>
        <v>7.8</v>
      </c>
      <c r="BN43" s="80">
        <f>_xlfn.RANK.EQ(BM43,BM$3:BM$10000,0)</f>
        <v>69</v>
      </c>
      <c r="BO43" s="81">
        <f>IFERROR(_xlfn.XLOOKUP(B43,'w11'!$B:$B,'w11'!$F:$F),1)</f>
        <v>0.29236111111111113</v>
      </c>
      <c r="BP43" s="80">
        <f>_xlfn.RANK.EQ(BO43,BO$3:BO$10000,1)</f>
        <v>48</v>
      </c>
      <c r="BQ43" s="80">
        <f>IFERROR(IF(_xlfn.XLOOKUP(B43,'w11'!$B:$B,'w11'!$G:$G)="--",0,_xlfn.XLOOKUP(B43,'w11'!$B:$B,'w11'!$G:$G)),0)</f>
        <v>76</v>
      </c>
      <c r="BR43" s="80">
        <f>_xlfn.RANK.EQ(BQ43,BQ$3:BQ$10000,0)</f>
        <v>65</v>
      </c>
      <c r="BS43" s="83">
        <f>IFERROR(_xlfn.XLOOKUP(B43,'w12'!$B:$B,'w12'!$C:$C),0)</f>
        <v>10.6</v>
      </c>
      <c r="BT43" s="86">
        <f>_xlfn.RANK.EQ(BS43,BS$3:BS$10000,0)</f>
        <v>55</v>
      </c>
      <c r="BU43" s="87">
        <f>IFERROR(_xlfn.XLOOKUP(B43,'w12'!$B:$B,'w12'!$F:$F),1)</f>
        <v>0.28055555555555556</v>
      </c>
      <c r="BV43" s="86">
        <f>_xlfn.RANK.EQ(BU43,BU$3:BU$10000,1)</f>
        <v>40</v>
      </c>
      <c r="BW43" s="86">
        <f>IFERROR(IF(_xlfn.XLOOKUP(B43,'w12'!$B:$B,'w12'!$G:$G)="--",0,_xlfn.XLOOKUP(B43,'w12'!$B:$B,'w12'!$G:$G)),0)</f>
        <v>160</v>
      </c>
      <c r="BX43" s="86">
        <f>_xlfn.RANK.EQ(BW43,BW$3:BW$10000,0)</f>
        <v>45</v>
      </c>
      <c r="BY43" s="89">
        <f>IFERROR(_xlfn.XLOOKUP(B43,'w13'!$B:$B,'w13'!$C:$C),0)</f>
        <v>32.200000000000003</v>
      </c>
      <c r="BZ43" s="92">
        <f>_xlfn.RANK.EQ(BY43,BY$3:BY$10000,0)</f>
        <v>21</v>
      </c>
      <c r="CA43" s="93">
        <f>IFERROR(_xlfn.XLOOKUP(B43,'w13'!$B:$B,'w13'!$F:$F),1)</f>
        <v>0.44305555555555554</v>
      </c>
      <c r="CB43" s="92">
        <f>_xlfn.RANK.EQ(CA43,CA$3:CA$10000,1)</f>
        <v>72</v>
      </c>
      <c r="CC43" s="92">
        <f>IFERROR(IF(_xlfn.XLOOKUP(B43,'w13'!$B:$B,'w13'!$G:$G)="--",0,_xlfn.XLOOKUP(B43,'w13'!$B:$B,'w13'!$G:$G)),0)</f>
        <v>1119</v>
      </c>
      <c r="CD43" s="92">
        <f>_xlfn.RANK.EQ(CC43,CC$3:CC$10000,0)</f>
        <v>12</v>
      </c>
      <c r="CE43" s="95">
        <f>IFERROR(_xlfn.XLOOKUP(B43,'w14'!$B:$B,'w14'!$C:$C),0)</f>
        <v>36.700000000000003</v>
      </c>
      <c r="CF43" s="98">
        <f>_xlfn.RANK.EQ(CE43,CE$3:CE$10000,0)</f>
        <v>24</v>
      </c>
      <c r="CG43" s="99">
        <f>IFERROR(_xlfn.XLOOKUP(B43,'w14'!$B:$B,'w14'!$F:$F),1)</f>
        <v>0.46875</v>
      </c>
      <c r="CH43" s="98">
        <f>_xlfn.RANK.EQ(CG43,CG$3:CG$10000,1)</f>
        <v>65</v>
      </c>
      <c r="CI43" s="98">
        <f>IFERROR(IF(_xlfn.XLOOKUP(B43,'w14'!$B:$B,'w14'!$G:$G)="--",0,_xlfn.XLOOKUP(B43,'w14'!$B:$B,'w14'!$G:$G)),0)</f>
        <v>1001</v>
      </c>
      <c r="CJ43" s="98">
        <f>_xlfn.RANK.EQ(CI43,CI$3:CI$10000,0)</f>
        <v>10</v>
      </c>
      <c r="CK43" s="9">
        <f>_xlfn.RANK.EQ(D43,D$3:D$10000,1)</f>
        <v>41</v>
      </c>
      <c r="CL43" s="26" t="s">
        <v>115</v>
      </c>
      <c r="CM43" s="8">
        <f>SUM(E43,K43,Q43,W43,AC43,AI43,AO43,AU43,BA43,BG43,BM43,BS43,BY43,CE43)</f>
        <v>305.89999999999998</v>
      </c>
      <c r="CN43" s="9">
        <f>_xlfn.RANK.EQ(CM43,CM$3:CM$10000)</f>
        <v>40</v>
      </c>
      <c r="CO43" s="15">
        <f>IFERROR(SUM(PRODUCT(E43,G43),PRODUCT(K43,M43),PRODUCT(Q43,S43),PRODUCT(W43,Y43),PRODUCT(AC43,AE43),PRODUCT(AI43,AK43),PRODUCT(AO43,AQ43),PRODUCT(AU43,AW43),PRODUCT(BA43,BC43),PRODUCT(BG43,BI43),PRODUCT(BM43,BO43),PRODUCT(BS43,BU43),PRODUCT(BY43,CA43),PRODUCT(CE43,CG43))/CM43,1)</f>
        <v>0.3599467418546366</v>
      </c>
      <c r="CP43" s="9">
        <f>_xlfn.RANK.EQ(CO43,CO$3:CO$10000,1)</f>
        <v>89</v>
      </c>
      <c r="CQ43" s="9">
        <f>SUM(I43,O43,U43,AA43,AG43,AM43,AS43,AY43,BE43,BK43,BQ43,BW43,CC43,CI43)</f>
        <v>5965</v>
      </c>
      <c r="CR43" s="9">
        <f>_xlfn.RANK.EQ(CQ43,CQ$3:CQ$10000)</f>
        <v>24</v>
      </c>
      <c r="CS43" s="23">
        <f>_xlfn.RANK.EQ(CT43,CT$3:CT$10000,1)</f>
        <v>13</v>
      </c>
      <c r="CT43" s="25">
        <f>CV43*$CN$1+CX43*$CP$1+CZ43*$CR$1</f>
        <v>43.974999999999994</v>
      </c>
      <c r="CU43" s="24">
        <f>_xlfn.STDEV.S(F43,L43,R43,X43,AD43,AJ43,AP43,AV43,BB43,BH43,BN43,BT43,BZ43,CF43)</f>
        <v>12.256417919595435</v>
      </c>
      <c r="CV43" s="21">
        <f>_xlfn.RANK.EQ(CU43,CU$3:CU$10000,1)</f>
        <v>44</v>
      </c>
      <c r="CW43" s="24">
        <f>_xlfn.STDEV.S(H43,N43,T43,Z43,AF43,AL43,AR43,AX43,BD43,BJ43,BP43,BV43,CB43,CH43)</f>
        <v>11.784698590932267</v>
      </c>
      <c r="CX43" s="21">
        <f>_xlfn.RANK.EQ(CW43,CW$3:CW$10000,1)</f>
        <v>35</v>
      </c>
      <c r="CY43" s="24">
        <f>_xlfn.STDEV.S(J43,P43,V43,AB43,AH43,AN43,AT43,AZ43,BF43,BL43,BR43,BX43,CD43,CJ43)</f>
        <v>14.550593809868387</v>
      </c>
      <c r="CZ43" s="21">
        <f>_xlfn.RANK.EQ(CY43,CY$3:CY$10000,1)</f>
        <v>52</v>
      </c>
      <c r="DA43">
        <f>SUM(COUNTIF(E43,"&gt;0"),COUNTIF(K43,"&gt;0"),COUNTIF(Q43,"&gt;0"),COUNTIF(W43,"&gt;0"),COUNTIF(AC43,"&gt;0"),COUNTIF(AI43,"&gt;0"),COUNTIF(AO43,"&gt;0"),COUNTIF(AU43,"&gt;0"),COUNTIF(BA43,"&gt;0"),COUNTIF(BG43,"&gt;0"),COUNTIF(BM43,"&gt;0"),COUNTIF(BS43,"&gt;0"),COUNTIF(BY43,"&gt;0"),COUNTIF(CE43,"&gt;0"))</f>
        <v>14</v>
      </c>
    </row>
    <row r="44" spans="1:105" x14ac:dyDescent="0.3">
      <c r="B44" t="s">
        <v>25</v>
      </c>
      <c r="C44" s="18" t="s">
        <v>105</v>
      </c>
      <c r="D44" s="4">
        <f>CN44*$CN$1+CP44*$CP$1+CR44*$CR$1</f>
        <v>42.625</v>
      </c>
      <c r="E44" s="29">
        <f>IFERROR(_xlfn.XLOOKUP(B44,'w1'!$B:$B,'w1'!$C:$C),0)</f>
        <v>35.6</v>
      </c>
      <c r="F44" s="30">
        <f>_xlfn.RANK.EQ(E44,E$3:E$10000,0)</f>
        <v>22</v>
      </c>
      <c r="G44" s="31">
        <f>IFERROR(_xlfn.XLOOKUP(B44,'w1'!$B:$B,'w1'!$F:$F),1)</f>
        <v>0.36041666666666666</v>
      </c>
      <c r="H44" s="30">
        <f>_xlfn.RANK.EQ(G44,G$3:G$10000,1)</f>
        <v>70</v>
      </c>
      <c r="I44" s="30">
        <f>IFERROR(IF(_xlfn.XLOOKUP(B44,'w1'!$B:$B,'w1'!$G:$G)="--",0,_xlfn.XLOOKUP(B44,'w1'!$B:$B,'w1'!$G:$G)),0)</f>
        <v>1149</v>
      </c>
      <c r="J44" s="30">
        <f>_xlfn.RANK.EQ(I44,I$3:I$10000,0)</f>
        <v>9</v>
      </c>
      <c r="K44" s="34">
        <f>IFERROR(_xlfn.XLOOKUP(B44,'w2'!$B:$B,'w2'!$C:$C),0)</f>
        <v>25.6</v>
      </c>
      <c r="L44" s="35">
        <f>_xlfn.RANK.EQ(K44,K$3:K$10000,0)</f>
        <v>35</v>
      </c>
      <c r="M44" s="36">
        <f>IFERROR(_xlfn.XLOOKUP(B44,'w2'!$B:$B,'w2'!$F:$F),1)</f>
        <v>0.35902777777777778</v>
      </c>
      <c r="N44" s="35">
        <f>_xlfn.RANK.EQ(M44,M$3:M$10000,1)</f>
        <v>64</v>
      </c>
      <c r="O44" s="35">
        <f>IFERROR(IF(_xlfn.XLOOKUP(B44,'w2'!$B:$B,'w2'!$G:$G)="--",0,_xlfn.XLOOKUP(B44,'w2'!$B:$B,'w2'!$G:$G)),0)</f>
        <v>633</v>
      </c>
      <c r="P44" s="35">
        <f>_xlfn.RANK.EQ(O44,O$3:O$10000,0)</f>
        <v>12</v>
      </c>
      <c r="Q44" s="39">
        <f>IFERROR(_xlfn.XLOOKUP(B44,'w3'!$B:$B,'w3'!$C:$C),0)</f>
        <v>24.8</v>
      </c>
      <c r="R44" s="40">
        <f>_xlfn.RANK.EQ(Q44,Q$3:Q$10000,0)</f>
        <v>38</v>
      </c>
      <c r="S44" s="41">
        <f>IFERROR(_xlfn.XLOOKUP(B44,'w3'!$B:$B,'w3'!$F:$F),1)</f>
        <v>0.3125</v>
      </c>
      <c r="T44" s="40">
        <f>_xlfn.RANK.EQ(S44,S$3:S$10000,1)</f>
        <v>60</v>
      </c>
      <c r="U44" s="40">
        <f>IFERROR(IF(_xlfn.XLOOKUP(B44,'w3'!$B:$B,'w3'!$G:$G)="--",0,_xlfn.XLOOKUP(B44,'w3'!$B:$B,'w3'!$G:$G)),0)</f>
        <v>611</v>
      </c>
      <c r="V44" s="40">
        <f>_xlfn.RANK.EQ(U44,U$3:U$10000,0)</f>
        <v>16</v>
      </c>
      <c r="W44" s="44">
        <f>IFERROR(_xlfn.XLOOKUP(B44,'w4'!$B:$B,'w4'!$C:$C),0)</f>
        <v>25.8</v>
      </c>
      <c r="X44" s="45">
        <f>_xlfn.RANK.EQ(W44,W$3:W$10000,0)</f>
        <v>33</v>
      </c>
      <c r="Y44" s="46">
        <f>IFERROR(_xlfn.XLOOKUP(B44,'w4'!$B:$B,'w4'!$F:$F),1)</f>
        <v>0.35902777777777778</v>
      </c>
      <c r="Z44" s="45">
        <f>_xlfn.RANK.EQ(Y44,Y$3:Y$10000,1)</f>
        <v>64</v>
      </c>
      <c r="AA44" s="45">
        <f>IFERROR(IF(_xlfn.XLOOKUP(B44,'w4'!$B:$B,'w4'!$G:$G)="--",0,_xlfn.XLOOKUP(B44,'w4'!$B:$B,'w4'!$G:$G)),0)</f>
        <v>1167</v>
      </c>
      <c r="AB44" s="45">
        <f>_xlfn.RANK.EQ(AA44,AA$3:AA$10000,0)</f>
        <v>11</v>
      </c>
      <c r="AC44" s="13">
        <f>IFERROR(_xlfn.XLOOKUP(B44,'w5'!$B:$B,'w5'!$C:$C),0)</f>
        <v>41.8</v>
      </c>
      <c r="AD44" s="12">
        <f>_xlfn.RANK.EQ(AC44,AC$3:AC$10000,0)</f>
        <v>21</v>
      </c>
      <c r="AE44" s="14">
        <f>IFERROR(_xlfn.XLOOKUP(B44,'w5'!$B:$B,'w5'!$F:$F),1)</f>
        <v>0.35069444444444442</v>
      </c>
      <c r="AF44" s="12">
        <f>_xlfn.RANK.EQ(AE44,AE$3:AE$10000,1)</f>
        <v>57</v>
      </c>
      <c r="AG44" s="12">
        <f>IFERROR(IF(_xlfn.XLOOKUP(B44,'w5'!$B:$B,'w5'!$G:$G)="--",0,_xlfn.XLOOKUP(B44,'w5'!$B:$B,'w5'!$G:$G)),0)</f>
        <v>1581</v>
      </c>
      <c r="AH44" s="12">
        <f>_xlfn.RANK.EQ(AG44,AG$3:AG$10000,0)</f>
        <v>8</v>
      </c>
      <c r="AI44" s="51">
        <f>IFERROR(_xlfn.XLOOKUP(B44,'w6'!$B:$B,'w6'!$C:$C),0)</f>
        <v>10</v>
      </c>
      <c r="AJ44" s="50">
        <f>_xlfn.RANK.EQ(AI44,AI$3:AI$10000,0)</f>
        <v>51</v>
      </c>
      <c r="AK44" s="52">
        <f>IFERROR(_xlfn.XLOOKUP(B44,'w6'!$B:$B,'w6'!$F:$F),1)</f>
        <v>0.28402777777777777</v>
      </c>
      <c r="AL44" s="50">
        <f>_xlfn.RANK.EQ(AK44,AK$3:AK$10000,1)</f>
        <v>33</v>
      </c>
      <c r="AM44" s="50">
        <f>IFERROR(IF(_xlfn.XLOOKUP(B44,'w6'!$B:$B,'w6'!$G:$G)="--",0,_xlfn.XLOOKUP(B44,'w6'!$B:$B,'w6'!$G:$G)),0)</f>
        <v>243</v>
      </c>
      <c r="AN44" s="50">
        <f>_xlfn.RANK.EQ(AM44,AM$3:AM$10000,0)</f>
        <v>31</v>
      </c>
      <c r="AO44" s="56">
        <f>IFERROR(_xlfn.XLOOKUP(B44,'w7'!$B:$B,'w7'!$C:$C),0)</f>
        <v>41</v>
      </c>
      <c r="AP44" s="57">
        <f>_xlfn.RANK.EQ(AO44,AO$3:AO$10000,0)</f>
        <v>19</v>
      </c>
      <c r="AQ44" s="58">
        <f>IFERROR(_xlfn.XLOOKUP(B44,'w7'!$B:$B,'w7'!$F:$F),1)</f>
        <v>0.35208333333333336</v>
      </c>
      <c r="AR44" s="57">
        <f>_xlfn.RANK.EQ(AQ44,AQ$3:AQ$10000,1)</f>
        <v>53</v>
      </c>
      <c r="AS44" s="57">
        <f>IFERROR(IF(_xlfn.XLOOKUP(B44,'w7'!$B:$B,'w7'!$G:$G)="--",0,_xlfn.XLOOKUP(B44,'w7'!$B:$B,'w7'!$G:$G)),0)</f>
        <v>1845</v>
      </c>
      <c r="AT44" s="57">
        <f>_xlfn.RANK.EQ(AS44,AS$3:AS$10000,0)</f>
        <v>4</v>
      </c>
      <c r="AU44" s="62">
        <f>IFERROR(_xlfn.XLOOKUP(B44,'w8'!$B:$B,'w8'!$C:$C),0)</f>
        <v>48.7</v>
      </c>
      <c r="AV44" s="61">
        <f>_xlfn.RANK.EQ(AU44,AU$3:AU$10000,0)</f>
        <v>17</v>
      </c>
      <c r="AW44" s="63">
        <f>IFERROR(_xlfn.XLOOKUP(B44,'w8'!$B:$B,'w8'!$F:$F),1)</f>
        <v>0.29097222222222224</v>
      </c>
      <c r="AX44" s="61">
        <f>_xlfn.RANK.EQ(AW44,AW$3:AW$10000,1)</f>
        <v>43</v>
      </c>
      <c r="AY44" s="61">
        <f>IFERROR(IF(_xlfn.XLOOKUP(B44,'w8'!$B:$B,'w8'!$G:$G)="--",0,_xlfn.XLOOKUP(B44,'w8'!$B:$B,'w8'!$G:$G)),0)</f>
        <v>1117</v>
      </c>
      <c r="AZ44" s="61">
        <f>_xlfn.RANK.EQ(AY44,AY$3:AY$10000,0)</f>
        <v>12</v>
      </c>
      <c r="BA44" s="66">
        <f>IFERROR(_xlfn.XLOOKUP(C44,'w9'!$B:$B,'w9'!$C:$C),0)</f>
        <v>0</v>
      </c>
      <c r="BB44" s="67">
        <f>_xlfn.RANK.EQ(BA44,BA$3:BA$10000,0)</f>
        <v>75</v>
      </c>
      <c r="BC44" s="68">
        <f>IFERROR(_xlfn.XLOOKUP(C44,'w9'!$B:$B,'w9'!$F:$F),1)</f>
        <v>1</v>
      </c>
      <c r="BD44" s="67">
        <f>_xlfn.RANK.EQ(BC44,BC$3:BC$10000,1)</f>
        <v>75</v>
      </c>
      <c r="BE44" s="67">
        <f>IFERROR(IF(_xlfn.XLOOKUP(C44,'w9'!$B:$B,'w9'!$G:$G)="--",0,_xlfn.XLOOKUP(C44,'w9'!$B:$B,'w9'!$G:$G)),0)</f>
        <v>0</v>
      </c>
      <c r="BF44" s="67">
        <f>_xlfn.RANK.EQ(BE44,BE$3:BE$10000,0)</f>
        <v>74</v>
      </c>
      <c r="BG44" s="72">
        <f>IFERROR(_xlfn.XLOOKUP(B44,'w10'!$B:$B,'w10'!$C:$C),0)</f>
        <v>0</v>
      </c>
      <c r="BH44" s="74">
        <f>_xlfn.RANK.EQ(BG44,BG$3:BG$10000,0)</f>
        <v>77</v>
      </c>
      <c r="BI44" s="75">
        <f>IFERROR(_xlfn.XLOOKUP(B44,'w10'!$B:$B,'w10'!$F:$F),1)</f>
        <v>1</v>
      </c>
      <c r="BJ44" s="74">
        <f>_xlfn.RANK.EQ(BI44,BI$3:BI$10000,1)</f>
        <v>76</v>
      </c>
      <c r="BK44" s="74">
        <f>IFERROR(IF(_xlfn.XLOOKUP(B44,'w10'!$B:$B,'w10'!$G:$G)="--",0,_xlfn.XLOOKUP(B44,'w10'!$B:$B,'w10'!$G:$G)),0)</f>
        <v>0</v>
      </c>
      <c r="BL44" s="74">
        <f>_xlfn.RANK.EQ(BK44,BK$3:BK$10000,0)</f>
        <v>76</v>
      </c>
      <c r="BM44" s="78">
        <f>IFERROR(_xlfn.XLOOKUP(B44,'w11'!$B:$B,'w11'!$C:$C),0)</f>
        <v>0</v>
      </c>
      <c r="BN44" s="80">
        <f>_xlfn.RANK.EQ(BM44,BM$3:BM$10000,0)</f>
        <v>76</v>
      </c>
      <c r="BO44" s="81">
        <f>IFERROR(_xlfn.XLOOKUP(B44,'w11'!$B:$B,'w11'!$F:$F),1)</f>
        <v>1</v>
      </c>
      <c r="BP44" s="80">
        <f>_xlfn.RANK.EQ(BO44,BO$3:BO$10000,1)</f>
        <v>76</v>
      </c>
      <c r="BQ44" s="80">
        <f>IFERROR(IF(_xlfn.XLOOKUP(B44,'w11'!$B:$B,'w11'!$G:$G)="--",0,_xlfn.XLOOKUP(B44,'w11'!$B:$B,'w11'!$G:$G)),0)</f>
        <v>0</v>
      </c>
      <c r="BR44" s="80">
        <f>_xlfn.RANK.EQ(BQ44,BQ$3:BQ$10000,0)</f>
        <v>75</v>
      </c>
      <c r="BS44" s="83">
        <f>IFERROR(_xlfn.XLOOKUP(B44,'w12'!$B:$B,'w12'!$C:$C),0)</f>
        <v>8.1</v>
      </c>
      <c r="BT44" s="86">
        <f>_xlfn.RANK.EQ(BS44,BS$3:BS$10000,0)</f>
        <v>66</v>
      </c>
      <c r="BU44" s="87">
        <f>IFERROR(_xlfn.XLOOKUP(B44,'w12'!$B:$B,'w12'!$F:$F),1)</f>
        <v>0.37638888888888888</v>
      </c>
      <c r="BV44" s="86">
        <f>_xlfn.RANK.EQ(BU44,BU$3:BU$10000,1)</f>
        <v>72</v>
      </c>
      <c r="BW44" s="86">
        <f>IFERROR(IF(_xlfn.XLOOKUP(B44,'w12'!$B:$B,'w12'!$G:$G)="--",0,_xlfn.XLOOKUP(B44,'w12'!$B:$B,'w12'!$G:$G)),0)</f>
        <v>231</v>
      </c>
      <c r="BX44" s="86">
        <f>_xlfn.RANK.EQ(BW44,BW$3:BW$10000,0)</f>
        <v>34</v>
      </c>
      <c r="BY44" s="89">
        <f>IFERROR(_xlfn.XLOOKUP(B44,'w13'!$B:$B,'w13'!$C:$C),0)</f>
        <v>26.3</v>
      </c>
      <c r="BZ44" s="92">
        <f>_xlfn.RANK.EQ(BY44,BY$3:BY$10000,0)</f>
        <v>31</v>
      </c>
      <c r="CA44" s="93">
        <f>IFERROR(_xlfn.XLOOKUP(B44,'w13'!$B:$B,'w13'!$F:$F),1)</f>
        <v>0.5805555555555556</v>
      </c>
      <c r="CB44" s="92">
        <f>_xlfn.RANK.EQ(CA44,CA$3:CA$10000,1)</f>
        <v>75</v>
      </c>
      <c r="CC44" s="92">
        <f>IFERROR(IF(_xlfn.XLOOKUP(B44,'w13'!$B:$B,'w13'!$G:$G)="--",0,_xlfn.XLOOKUP(B44,'w13'!$B:$B,'w13'!$G:$G)),0)</f>
        <v>1184</v>
      </c>
      <c r="CD44" s="92">
        <f>_xlfn.RANK.EQ(CC44,CC$3:CC$10000,0)</f>
        <v>9</v>
      </c>
      <c r="CE44" s="95">
        <f>IFERROR(_xlfn.XLOOKUP(B44,'w14'!$B:$B,'w14'!$C:$C),0)</f>
        <v>13</v>
      </c>
      <c r="CF44" s="98">
        <f>_xlfn.RANK.EQ(CE44,CE$3:CE$10000,0)</f>
        <v>52</v>
      </c>
      <c r="CG44" s="99">
        <f>IFERROR(_xlfn.XLOOKUP(B44,'w14'!$B:$B,'w14'!$F:$F),1)</f>
        <v>0.69444444444444442</v>
      </c>
      <c r="CH44" s="98">
        <f>_xlfn.RANK.EQ(CG44,CG$3:CG$10000,1)</f>
        <v>68</v>
      </c>
      <c r="CI44" s="98">
        <f>IFERROR(IF(_xlfn.XLOOKUP(B44,'w14'!$B:$B,'w14'!$G:$G)="--",0,_xlfn.XLOOKUP(B44,'w14'!$B:$B,'w14'!$G:$G)),0)</f>
        <v>683</v>
      </c>
      <c r="CJ44" s="98">
        <f>_xlfn.RANK.EQ(CI44,CI$3:CI$10000,0)</f>
        <v>16</v>
      </c>
      <c r="CK44" s="9">
        <f>_xlfn.RANK.EQ(D44,D$3:D$10000,1)</f>
        <v>42</v>
      </c>
      <c r="CL44" s="26" t="s">
        <v>105</v>
      </c>
      <c r="CM44" s="8">
        <f>SUM(E44,K44,Q44,W44,AC44,AI44,AO44,AU44,BA44,BG44,BM44,BS44,BY44,CE44)</f>
        <v>300.70000000000005</v>
      </c>
      <c r="CN44" s="9">
        <f>_xlfn.RANK.EQ(CM44,CM$3:CM$10000)</f>
        <v>42</v>
      </c>
      <c r="CO44" s="15">
        <f>IFERROR(SUM(PRODUCT(E44,G44),PRODUCT(K44,M44),PRODUCT(Q44,S44),PRODUCT(W44,Y44),PRODUCT(AC44,AE44),PRODUCT(AI44,AK44),PRODUCT(AO44,AQ44),PRODUCT(AU44,AW44),PRODUCT(BA44,BC44),PRODUCT(BG44,BI44),PRODUCT(BM44,BO44),PRODUCT(BS44,BU44),PRODUCT(BY44,CA44),PRODUCT(CE44,CG44))/CM44,1)</f>
        <v>0.37407738425156106</v>
      </c>
      <c r="CP44" s="9">
        <f>_xlfn.RANK.EQ(CO44,CO$3:CO$10000,1)</f>
        <v>96</v>
      </c>
      <c r="CQ44" s="9">
        <f>SUM(I44,O44,U44,AA44,AG44,AM44,AS44,AY44,BE44,BK44,BQ44,BW44,CC44,CI44)</f>
        <v>10444</v>
      </c>
      <c r="CR44" s="9">
        <f>_xlfn.RANK.EQ(CQ44,CQ$3:CQ$10000)</f>
        <v>13</v>
      </c>
      <c r="CS44" s="23"/>
      <c r="CT44" s="25"/>
      <c r="CU44" s="24">
        <f>_xlfn.STDEV.S(F44,L44,R44,X44,AD44,AJ44,AP44,AV44,BB44,BH44,BN44,BT44,BZ44,CF44)</f>
        <v>22.26476544272991</v>
      </c>
      <c r="CV44" s="21">
        <f>_xlfn.RANK.EQ(CU44,CU$3:CU$10000,1)</f>
        <v>94</v>
      </c>
      <c r="CW44" s="24">
        <f>_xlfn.STDEV.S(H44,N44,T44,Z44,AF44,AL44,AR44,AX44,BD44,BJ44,BP44,BV44,CB44,CH44)</f>
        <v>13.088036647897326</v>
      </c>
      <c r="CX44" s="21">
        <f>_xlfn.RANK.EQ(CW44,CW$3:CW$10000,1)</f>
        <v>45</v>
      </c>
      <c r="CY44" s="24">
        <f>_xlfn.STDEV.S(J44,P44,V44,AB44,AH44,AN44,AT44,AZ44,BF44,BL44,BR44,BX44,CD44,CJ44)</f>
        <v>26.97465232643172</v>
      </c>
      <c r="CZ44" s="21">
        <f>_xlfn.RANK.EQ(CY44,CY$3:CY$10000,1)</f>
        <v>103</v>
      </c>
      <c r="DA44">
        <f>SUM(COUNTIF(E44,"&gt;0"),COUNTIF(K44,"&gt;0"),COUNTIF(Q44,"&gt;0"),COUNTIF(W44,"&gt;0"),COUNTIF(AC44,"&gt;0"),COUNTIF(AI44,"&gt;0"),COUNTIF(AO44,"&gt;0"),COUNTIF(AU44,"&gt;0"),COUNTIF(BA44,"&gt;0"),COUNTIF(BG44,"&gt;0"),COUNTIF(BM44,"&gt;0"),COUNTIF(BS44,"&gt;0"),COUNTIF(BY44,"&gt;0"),COUNTIF(CE44,"&gt;0"))</f>
        <v>11</v>
      </c>
    </row>
    <row r="45" spans="1:105" x14ac:dyDescent="0.3">
      <c r="B45" t="s">
        <v>62</v>
      </c>
      <c r="C45" s="18" t="s">
        <v>130</v>
      </c>
      <c r="D45" s="4">
        <f>CN45*$CN$1+CP45*$CP$1+CR45*$CR$1</f>
        <v>43.6</v>
      </c>
      <c r="E45" s="29">
        <f>IFERROR(_xlfn.XLOOKUP(B45,'w1'!$B:$B,'w1'!$C:$C),0)</f>
        <v>12</v>
      </c>
      <c r="F45" s="30">
        <f>_xlfn.RANK.EQ(E45,E$3:E$10000,0)</f>
        <v>59</v>
      </c>
      <c r="G45" s="31">
        <f>IFERROR(_xlfn.XLOOKUP(B45,'w1'!$B:$B,'w1'!$F:$F),1)</f>
        <v>0.31388888888888888</v>
      </c>
      <c r="H45" s="30">
        <f>_xlfn.RANK.EQ(G45,G$3:G$10000,1)</f>
        <v>57</v>
      </c>
      <c r="I45" s="30">
        <f>IFERROR(IF(_xlfn.XLOOKUP(B45,'w1'!$B:$B,'w1'!$G:$G)="--",0,_xlfn.XLOOKUP(B45,'w1'!$B:$B,'w1'!$G:$G)),0)</f>
        <v>250</v>
      </c>
      <c r="J45" s="30">
        <f>_xlfn.RANK.EQ(I45,I$3:I$10000,0)</f>
        <v>39</v>
      </c>
      <c r="K45" s="34">
        <f>IFERROR(_xlfn.XLOOKUP(B45,'w2'!$B:$B,'w2'!$C:$C),0)</f>
        <v>22.3</v>
      </c>
      <c r="L45" s="35">
        <f>_xlfn.RANK.EQ(K45,K$3:K$10000,0)</f>
        <v>42</v>
      </c>
      <c r="M45" s="36">
        <f>IFERROR(_xlfn.XLOOKUP(B45,'w2'!$B:$B,'w2'!$F:$F),1)</f>
        <v>0.33124999999999999</v>
      </c>
      <c r="N45" s="35">
        <f>_xlfn.RANK.EQ(M45,M$3:M$10000,1)</f>
        <v>57</v>
      </c>
      <c r="O45" s="35">
        <f>IFERROR(IF(_xlfn.XLOOKUP(B45,'w2'!$B:$B,'w2'!$G:$G)="--",0,_xlfn.XLOOKUP(B45,'w2'!$B:$B,'w2'!$G:$G)),0)</f>
        <v>1139</v>
      </c>
      <c r="P45" s="35">
        <f>_xlfn.RANK.EQ(O45,O$3:O$10000,0)</f>
        <v>7</v>
      </c>
      <c r="Q45" s="39">
        <f>IFERROR(_xlfn.XLOOKUP(B45,'w3'!$B:$B,'w3'!$C:$C),0)</f>
        <v>20.100000000000001</v>
      </c>
      <c r="R45" s="40">
        <f>_xlfn.RANK.EQ(Q45,Q$3:Q$10000,0)</f>
        <v>45</v>
      </c>
      <c r="S45" s="41">
        <f>IFERROR(_xlfn.XLOOKUP(B45,'w3'!$B:$B,'w3'!$F:$F),1)</f>
        <v>0.27916666666666667</v>
      </c>
      <c r="T45" s="40">
        <f>_xlfn.RANK.EQ(S45,S$3:S$10000,1)</f>
        <v>44</v>
      </c>
      <c r="U45" s="40">
        <f>IFERROR(IF(_xlfn.XLOOKUP(B45,'w3'!$B:$B,'w3'!$G:$G)="--",0,_xlfn.XLOOKUP(B45,'w3'!$B:$B,'w3'!$G:$G)),0)</f>
        <v>892</v>
      </c>
      <c r="V45" s="40">
        <f>_xlfn.RANK.EQ(U45,U$3:U$10000,0)</f>
        <v>12</v>
      </c>
      <c r="W45" s="44">
        <f>IFERROR(_xlfn.XLOOKUP(B45,'w4'!$B:$B,'w4'!$C:$C),0)</f>
        <v>15.1</v>
      </c>
      <c r="X45" s="45">
        <f>_xlfn.RANK.EQ(W45,W$3:W$10000,0)</f>
        <v>50</v>
      </c>
      <c r="Y45" s="46">
        <f>IFERROR(_xlfn.XLOOKUP(B45,'w4'!$B:$B,'w4'!$F:$F),1)</f>
        <v>0.30069444444444443</v>
      </c>
      <c r="Z45" s="45">
        <f>_xlfn.RANK.EQ(Y45,Y$3:Y$10000,1)</f>
        <v>49</v>
      </c>
      <c r="AA45" s="45">
        <f>IFERROR(IF(_xlfn.XLOOKUP(B45,'w4'!$B:$B,'w4'!$G:$G)="--",0,_xlfn.XLOOKUP(B45,'w4'!$B:$B,'w4'!$G:$G)),0)</f>
        <v>23</v>
      </c>
      <c r="AB45" s="45">
        <f>_xlfn.RANK.EQ(AA45,AA$3:AA$10000,0)</f>
        <v>65</v>
      </c>
      <c r="AC45" s="13">
        <f>IFERROR(_xlfn.XLOOKUP(B45,'w5'!$B:$B,'w5'!$C:$C),0)</f>
        <v>27.7</v>
      </c>
      <c r="AD45" s="12">
        <f>_xlfn.RANK.EQ(AC45,AC$3:AC$10000,0)</f>
        <v>41</v>
      </c>
      <c r="AE45" s="14">
        <f>IFERROR(_xlfn.XLOOKUP(B45,'w5'!$B:$B,'w5'!$F:$F),1)</f>
        <v>0.2951388888888889</v>
      </c>
      <c r="AF45" s="12">
        <f>_xlfn.RANK.EQ(AE45,AE$3:AE$10000,1)</f>
        <v>41</v>
      </c>
      <c r="AG45" s="12">
        <f>IFERROR(IF(_xlfn.XLOOKUP(B45,'w5'!$B:$B,'w5'!$G:$G)="--",0,_xlfn.XLOOKUP(B45,'w5'!$B:$B,'w5'!$G:$G)),0)</f>
        <v>253</v>
      </c>
      <c r="AH45" s="12">
        <f>_xlfn.RANK.EQ(AG45,AG$3:AG$10000,0)</f>
        <v>41</v>
      </c>
      <c r="AI45" s="51">
        <f>IFERROR(_xlfn.XLOOKUP(B45,'w6'!$B:$B,'w6'!$C:$C),0)</f>
        <v>14</v>
      </c>
      <c r="AJ45" s="50">
        <f>_xlfn.RANK.EQ(AI45,AI$3:AI$10000,0)</f>
        <v>37</v>
      </c>
      <c r="AK45" s="52">
        <f>IFERROR(_xlfn.XLOOKUP(B45,'w6'!$B:$B,'w6'!$F:$F),1)</f>
        <v>0.25624999999999998</v>
      </c>
      <c r="AL45" s="50">
        <f>_xlfn.RANK.EQ(AK45,AK$3:AK$10000,1)</f>
        <v>19</v>
      </c>
      <c r="AM45" s="50">
        <f>IFERROR(IF(_xlfn.XLOOKUP(B45,'w6'!$B:$B,'w6'!$G:$G)="--",0,_xlfn.XLOOKUP(B45,'w6'!$B:$B,'w6'!$G:$G)),0)</f>
        <v>880</v>
      </c>
      <c r="AN45" s="50">
        <f>_xlfn.RANK.EQ(AM45,AM$3:AM$10000,0)</f>
        <v>7</v>
      </c>
      <c r="AO45" s="56">
        <f>IFERROR(_xlfn.XLOOKUP(B45,'w7'!$B:$B,'w7'!$C:$C),0)</f>
        <v>18.2</v>
      </c>
      <c r="AP45" s="57">
        <f>_xlfn.RANK.EQ(AO45,AO$3:AO$10000,0)</f>
        <v>44</v>
      </c>
      <c r="AQ45" s="58">
        <f>IFERROR(_xlfn.XLOOKUP(B45,'w7'!$B:$B,'w7'!$F:$F),1)</f>
        <v>0.30208333333333331</v>
      </c>
      <c r="AR45" s="57">
        <f>_xlfn.RANK.EQ(AQ45,AQ$3:AQ$10000,1)</f>
        <v>43</v>
      </c>
      <c r="AS45" s="57">
        <f>IFERROR(IF(_xlfn.XLOOKUP(B45,'w7'!$B:$B,'w7'!$G:$G)="--",0,_xlfn.XLOOKUP(B45,'w7'!$B:$B,'w7'!$G:$G)),0)</f>
        <v>166</v>
      </c>
      <c r="AT45" s="57">
        <f>_xlfn.RANK.EQ(AS45,AS$3:AS$10000,0)</f>
        <v>38</v>
      </c>
      <c r="AU45" s="62">
        <f>IFERROR(_xlfn.XLOOKUP(B45,'w8'!$B:$B,'w8'!$C:$C),0)</f>
        <v>21</v>
      </c>
      <c r="AV45" s="61">
        <f>_xlfn.RANK.EQ(AU45,AU$3:AU$10000,0)</f>
        <v>48</v>
      </c>
      <c r="AW45" s="63">
        <f>IFERROR(_xlfn.XLOOKUP(B45,'w8'!$B:$B,'w8'!$F:$F),1)</f>
        <v>0.30625000000000002</v>
      </c>
      <c r="AX45" s="61">
        <f>_xlfn.RANK.EQ(AW45,AW$3:AW$10000,1)</f>
        <v>48</v>
      </c>
      <c r="AY45" s="61">
        <f>IFERROR(IF(_xlfn.XLOOKUP(B45,'w8'!$B:$B,'w8'!$G:$G)="--",0,_xlfn.XLOOKUP(B45,'w8'!$B:$B,'w8'!$G:$G)),0)</f>
        <v>1202</v>
      </c>
      <c r="AZ45" s="61">
        <f>_xlfn.RANK.EQ(AY45,AY$3:AY$10000,0)</f>
        <v>10</v>
      </c>
      <c r="BA45" s="66">
        <f>IFERROR(_xlfn.XLOOKUP(C45,'w9'!$B:$B,'w9'!$C:$C),0)</f>
        <v>71.400000000000006</v>
      </c>
      <c r="BB45" s="67">
        <f>_xlfn.RANK.EQ(BA45,BA$3:BA$10000,0)</f>
        <v>5</v>
      </c>
      <c r="BC45" s="68">
        <f>IFERROR(_xlfn.XLOOKUP(C45,'w9'!$B:$B,'w9'!$F:$F),1)</f>
        <v>0.29722222222222222</v>
      </c>
      <c r="BD45" s="67">
        <f>_xlfn.RANK.EQ(BC45,BC$3:BC$10000,1)</f>
        <v>36</v>
      </c>
      <c r="BE45" s="67">
        <f>IFERROR(IF(_xlfn.XLOOKUP(C45,'w9'!$B:$B,'w9'!$G:$G)="--",0,_xlfn.XLOOKUP(C45,'w9'!$B:$B,'w9'!$G:$G)),0)</f>
        <v>1791</v>
      </c>
      <c r="BF45" s="67">
        <f>_xlfn.RANK.EQ(BE45,BE$3:BE$10000,0)</f>
        <v>4</v>
      </c>
      <c r="BG45" s="72">
        <f>IFERROR(_xlfn.XLOOKUP(B45,'w10'!$B:$B,'w10'!$C:$C),0)</f>
        <v>13</v>
      </c>
      <c r="BH45" s="74">
        <f>_xlfn.RANK.EQ(BG45,BG$3:BG$10000,0)</f>
        <v>58</v>
      </c>
      <c r="BI45" s="75">
        <f>IFERROR(_xlfn.XLOOKUP(B45,'w10'!$B:$B,'w10'!$F:$F),1)</f>
        <v>0.26458333333333334</v>
      </c>
      <c r="BJ45" s="74">
        <f>_xlfn.RANK.EQ(BI45,BI$3:BI$10000,1)</f>
        <v>35</v>
      </c>
      <c r="BK45" s="74">
        <f>IFERROR(IF(_xlfn.XLOOKUP(B45,'w10'!$B:$B,'w10'!$G:$G)="--",0,_xlfn.XLOOKUP(B45,'w10'!$B:$B,'w10'!$G:$G)),0)</f>
        <v>130</v>
      </c>
      <c r="BL45" s="74">
        <f>_xlfn.RANK.EQ(BK45,BK$3:BK$10000,0)</f>
        <v>48</v>
      </c>
      <c r="BM45" s="78">
        <f>IFERROR(_xlfn.XLOOKUP(B45,'w11'!$B:$B,'w11'!$C:$C),0)</f>
        <v>30</v>
      </c>
      <c r="BN45" s="80">
        <f>_xlfn.RANK.EQ(BM45,BM$3:BM$10000,0)</f>
        <v>26</v>
      </c>
      <c r="BO45" s="81">
        <f>IFERROR(_xlfn.XLOOKUP(B45,'w11'!$B:$B,'w11'!$F:$F),1)</f>
        <v>0.27013888888888887</v>
      </c>
      <c r="BP45" s="80">
        <f>_xlfn.RANK.EQ(BO45,BO$3:BO$10000,1)</f>
        <v>35</v>
      </c>
      <c r="BQ45" s="80">
        <f>IFERROR(IF(_xlfn.XLOOKUP(B45,'w11'!$B:$B,'w11'!$G:$G)="--",0,_xlfn.XLOOKUP(B45,'w11'!$B:$B,'w11'!$G:$G)),0)</f>
        <v>467</v>
      </c>
      <c r="BR45" s="80">
        <f>_xlfn.RANK.EQ(BQ45,BQ$3:BQ$10000,0)</f>
        <v>20</v>
      </c>
      <c r="BS45" s="83">
        <f>IFERROR(_xlfn.XLOOKUP(B45,'w12'!$B:$B,'w12'!$C:$C),0)</f>
        <v>10</v>
      </c>
      <c r="BT45" s="86">
        <f>_xlfn.RANK.EQ(BS45,BS$3:BS$10000,0)</f>
        <v>59</v>
      </c>
      <c r="BU45" s="87">
        <f>IFERROR(_xlfn.XLOOKUP(B45,'w12'!$B:$B,'w12'!$F:$F),1)</f>
        <v>0.25208333333333333</v>
      </c>
      <c r="BV45" s="86">
        <f>_xlfn.RANK.EQ(BU45,BU$3:BU$10000,1)</f>
        <v>19</v>
      </c>
      <c r="BW45" s="86">
        <f>IFERROR(IF(_xlfn.XLOOKUP(B45,'w12'!$B:$B,'w12'!$G:$G)="--",0,_xlfn.XLOOKUP(B45,'w12'!$B:$B,'w12'!$G:$G)),0)</f>
        <v>297</v>
      </c>
      <c r="BX45" s="86">
        <f>_xlfn.RANK.EQ(BW45,BW$3:BW$10000,0)</f>
        <v>22</v>
      </c>
      <c r="BY45" s="89">
        <f>IFERROR(_xlfn.XLOOKUP(B45,'w13'!$B:$B,'w13'!$C:$C),0)</f>
        <v>5</v>
      </c>
      <c r="BZ45" s="92">
        <f>_xlfn.RANK.EQ(BY45,BY$3:BY$10000,0)</f>
        <v>73</v>
      </c>
      <c r="CA45" s="93">
        <f>IFERROR(_xlfn.XLOOKUP(B45,'w13'!$B:$B,'w13'!$F:$F),1)</f>
        <v>0.36875000000000002</v>
      </c>
      <c r="CB45" s="92">
        <f>_xlfn.RANK.EQ(CA45,CA$3:CA$10000,1)</f>
        <v>66</v>
      </c>
      <c r="CC45" s="92">
        <f>IFERROR(IF(_xlfn.XLOOKUP(B45,'w13'!$B:$B,'w13'!$G:$G)="--",0,_xlfn.XLOOKUP(B45,'w13'!$B:$B,'w13'!$G:$G)),0)</f>
        <v>306</v>
      </c>
      <c r="CD45" s="92">
        <f>_xlfn.RANK.EQ(CC45,CC$3:CC$10000,0)</f>
        <v>24</v>
      </c>
      <c r="CE45" s="95">
        <f>IFERROR(_xlfn.XLOOKUP(B45,'w14'!$B:$B,'w14'!$C:$C),0)</f>
        <v>20.2</v>
      </c>
      <c r="CF45" s="98">
        <f>_xlfn.RANK.EQ(CE45,CE$3:CE$10000,0)</f>
        <v>43</v>
      </c>
      <c r="CG45" s="99">
        <f>IFERROR(_xlfn.XLOOKUP(B45,'w14'!$B:$B,'w14'!$F:$F),1)</f>
        <v>0.28055555555555556</v>
      </c>
      <c r="CH45" s="98">
        <f>_xlfn.RANK.EQ(CG45,CG$3:CG$10000,1)</f>
        <v>36</v>
      </c>
      <c r="CI45" s="98">
        <f>IFERROR(IF(_xlfn.XLOOKUP(B45,'w14'!$B:$B,'w14'!$G:$G)="--",0,_xlfn.XLOOKUP(B45,'w14'!$B:$B,'w14'!$G:$G)),0)</f>
        <v>25</v>
      </c>
      <c r="CJ45" s="98">
        <f>_xlfn.RANK.EQ(CI45,CI$3:CI$10000,0)</f>
        <v>61</v>
      </c>
      <c r="CK45" s="9">
        <f>_xlfn.RANK.EQ(D45,D$3:D$10000,1)</f>
        <v>43</v>
      </c>
      <c r="CL45" s="26" t="s">
        <v>130</v>
      </c>
      <c r="CM45" s="8">
        <f>SUM(E45,K45,Q45,W45,AC45,AI45,AO45,AU45,BA45,BG45,BM45,BS45,BY45,CE45)</f>
        <v>300</v>
      </c>
      <c r="CN45" s="9">
        <f>_xlfn.RANK.EQ(CM45,CM$3:CM$10000)</f>
        <v>44</v>
      </c>
      <c r="CO45" s="15">
        <f>IFERROR(SUM(PRODUCT(E45,G45),PRODUCT(K45,M45),PRODUCT(Q45,S45),PRODUCT(W45,Y45),PRODUCT(AC45,AE45),PRODUCT(AI45,AK45),PRODUCT(AO45,AQ45),PRODUCT(AU45,AW45),PRODUCT(BA45,BC45),PRODUCT(BG45,BI45),PRODUCT(BM45,BO45),PRODUCT(BS45,BU45),PRODUCT(BY45,CA45),PRODUCT(CE45,CG45))/CM45,1)</f>
        <v>0.29264837962962964</v>
      </c>
      <c r="CP45" s="9">
        <f>_xlfn.RANK.EQ(CO45,CO$3:CO$10000,1)</f>
        <v>54</v>
      </c>
      <c r="CQ45" s="9">
        <f>SUM(I45,O45,U45,AA45,AG45,AM45,AS45,AY45,BE45,BK45,BQ45,BW45,CC45,CI45)</f>
        <v>7821</v>
      </c>
      <c r="CR45" s="9">
        <f>_xlfn.RANK.EQ(CQ45,CQ$3:CQ$10000)</f>
        <v>18</v>
      </c>
      <c r="CS45" s="23">
        <f>_xlfn.RANK.EQ(CT45,CT$3:CT$10000,1)</f>
        <v>21</v>
      </c>
      <c r="CT45" s="25">
        <f>CV45*$CN$1+CX45*$CP$1+CZ45*$CR$1</f>
        <v>62.274999999999999</v>
      </c>
      <c r="CU45" s="24">
        <f>_xlfn.STDEV.S(F45,L45,R45,X45,AD45,AJ45,AP45,AV45,BB45,BH45,BN45,BT45,BZ45,CF45)</f>
        <v>16.252810407860117</v>
      </c>
      <c r="CV45" s="21">
        <f>_xlfn.RANK.EQ(CU45,CU$3:CU$10000,1)</f>
        <v>62</v>
      </c>
      <c r="CW45" s="24">
        <f>_xlfn.STDEV.S(H45,N45,T45,Z45,AF45,AL45,AR45,AX45,BD45,BJ45,BP45,BV45,CB45,CH45)</f>
        <v>13.428892911746846</v>
      </c>
      <c r="CX45" s="21">
        <f>_xlfn.RANK.EQ(CW45,CW$3:CW$10000,1)</f>
        <v>47</v>
      </c>
      <c r="CY45" s="24">
        <f>_xlfn.STDEV.S(J45,P45,V45,AB45,AH45,AN45,AT45,AZ45,BF45,BL45,BR45,BX45,CD45,CJ45)</f>
        <v>20.379908226993056</v>
      </c>
      <c r="CZ45" s="21">
        <f>_xlfn.RANK.EQ(CY45,CY$3:CY$10000,1)</f>
        <v>88</v>
      </c>
      <c r="DA45">
        <f>SUM(COUNTIF(E45,"&gt;0"),COUNTIF(K45,"&gt;0"),COUNTIF(Q45,"&gt;0"),COUNTIF(W45,"&gt;0"),COUNTIF(AC45,"&gt;0"),COUNTIF(AI45,"&gt;0"),COUNTIF(AO45,"&gt;0"),COUNTIF(AU45,"&gt;0"),COUNTIF(BA45,"&gt;0"),COUNTIF(BG45,"&gt;0"),COUNTIF(BM45,"&gt;0"),COUNTIF(BS45,"&gt;0"),COUNTIF(BY45,"&gt;0"),COUNTIF(CE45,"&gt;0"))</f>
        <v>14</v>
      </c>
    </row>
    <row r="46" spans="1:105" x14ac:dyDescent="0.3">
      <c r="B46" t="s">
        <v>58</v>
      </c>
      <c r="C46" s="18" t="s">
        <v>159</v>
      </c>
      <c r="D46" s="4">
        <f>CN46*$CN$1+CP46*$CP$1+CR46*$CR$1</f>
        <v>43.85</v>
      </c>
      <c r="E46" s="29">
        <f>IFERROR(_xlfn.XLOOKUP(B46,'w1'!$B:$B,'w1'!$C:$C),0)</f>
        <v>13.8</v>
      </c>
      <c r="F46" s="30">
        <f>_xlfn.RANK.EQ(E46,E$3:E$10000,0)</f>
        <v>55</v>
      </c>
      <c r="G46" s="31">
        <f>IFERROR(_xlfn.XLOOKUP(B46,'w1'!$B:$B,'w1'!$F:$F),1)</f>
        <v>0.31527777777777777</v>
      </c>
      <c r="H46" s="30">
        <f>_xlfn.RANK.EQ(G46,G$3:G$10000,1)</f>
        <v>59</v>
      </c>
      <c r="I46" s="30">
        <f>IFERROR(IF(_xlfn.XLOOKUP(B46,'w1'!$B:$B,'w1'!$G:$G)="--",0,_xlfn.XLOOKUP(B46,'w1'!$B:$B,'w1'!$G:$G)),0)</f>
        <v>220</v>
      </c>
      <c r="J46" s="30">
        <f>_xlfn.RANK.EQ(I46,I$3:I$10000,0)</f>
        <v>42</v>
      </c>
      <c r="K46" s="34">
        <f>IFERROR(_xlfn.XLOOKUP(B46,'w2'!$B:$B,'w2'!$C:$C),0)</f>
        <v>10.3</v>
      </c>
      <c r="L46" s="35">
        <f>_xlfn.RANK.EQ(K46,K$3:K$10000,0)</f>
        <v>59</v>
      </c>
      <c r="M46" s="36">
        <f>IFERROR(_xlfn.XLOOKUP(B46,'w2'!$B:$B,'w2'!$F:$F),1)</f>
        <v>0.32569444444444445</v>
      </c>
      <c r="N46" s="35">
        <f>_xlfn.RANK.EQ(M46,M$3:M$10000,1)</f>
        <v>55</v>
      </c>
      <c r="O46" s="35">
        <f>IFERROR(IF(_xlfn.XLOOKUP(B46,'w2'!$B:$B,'w2'!$G:$G)="--",0,_xlfn.XLOOKUP(B46,'w2'!$B:$B,'w2'!$G:$G)),0)</f>
        <v>0</v>
      </c>
      <c r="P46" s="35">
        <f>_xlfn.RANK.EQ(O46,O$3:O$10000,0)</f>
        <v>71</v>
      </c>
      <c r="Q46" s="39">
        <f>IFERROR(_xlfn.XLOOKUP(B46,'w3'!$B:$B,'w3'!$C:$C),0)</f>
        <v>33.799999999999997</v>
      </c>
      <c r="R46" s="40">
        <f>_xlfn.RANK.EQ(Q46,Q$3:Q$10000,0)</f>
        <v>25</v>
      </c>
      <c r="S46" s="41">
        <f>IFERROR(_xlfn.XLOOKUP(B46,'w3'!$B:$B,'w3'!$F:$F),1)</f>
        <v>0.31180555555555556</v>
      </c>
      <c r="T46" s="40">
        <f>_xlfn.RANK.EQ(S46,S$3:S$10000,1)</f>
        <v>59</v>
      </c>
      <c r="U46" s="40">
        <f>IFERROR(IF(_xlfn.XLOOKUP(B46,'w3'!$B:$B,'w3'!$G:$G)="--",0,_xlfn.XLOOKUP(B46,'w3'!$B:$B,'w3'!$G:$G)),0)</f>
        <v>373</v>
      </c>
      <c r="V46" s="40">
        <f>_xlfn.RANK.EQ(U46,U$3:U$10000,0)</f>
        <v>25</v>
      </c>
      <c r="W46" s="44">
        <f>IFERROR(_xlfn.XLOOKUP(B46,'w4'!$B:$B,'w4'!$C:$C),0)</f>
        <v>31.4</v>
      </c>
      <c r="X46" s="45">
        <f>_xlfn.RANK.EQ(W46,W$3:W$10000,0)</f>
        <v>23</v>
      </c>
      <c r="Y46" s="46">
        <f>IFERROR(_xlfn.XLOOKUP(B46,'w4'!$B:$B,'w4'!$F:$F),1)</f>
        <v>0.28541666666666665</v>
      </c>
      <c r="Z46" s="45">
        <f>_xlfn.RANK.EQ(Y46,Y$3:Y$10000,1)</f>
        <v>42</v>
      </c>
      <c r="AA46" s="45">
        <f>IFERROR(IF(_xlfn.XLOOKUP(B46,'w4'!$B:$B,'w4'!$G:$G)="--",0,_xlfn.XLOOKUP(B46,'w4'!$B:$B,'w4'!$G:$G)),0)</f>
        <v>249</v>
      </c>
      <c r="AB46" s="45">
        <f>_xlfn.RANK.EQ(AA46,AA$3:AA$10000,0)</f>
        <v>33</v>
      </c>
      <c r="AC46" s="13">
        <f>IFERROR(_xlfn.XLOOKUP(B46,'w5'!$B:$B,'w5'!$C:$C),0)</f>
        <v>26.9</v>
      </c>
      <c r="AD46" s="12">
        <f>_xlfn.RANK.EQ(AC46,AC$3:AC$10000,0)</f>
        <v>42</v>
      </c>
      <c r="AE46" s="14">
        <f>IFERROR(_xlfn.XLOOKUP(B46,'w5'!$B:$B,'w5'!$F:$F),1)</f>
        <v>0.28819444444444442</v>
      </c>
      <c r="AF46" s="12">
        <f>_xlfn.RANK.EQ(AE46,AE$3:AE$10000,1)</f>
        <v>39</v>
      </c>
      <c r="AG46" s="12">
        <f>IFERROR(IF(_xlfn.XLOOKUP(B46,'w5'!$B:$B,'w5'!$G:$G)="--",0,_xlfn.XLOOKUP(B46,'w5'!$B:$B,'w5'!$G:$G)),0)</f>
        <v>169</v>
      </c>
      <c r="AH46" s="12">
        <f>_xlfn.RANK.EQ(AG46,AG$3:AG$10000,0)</f>
        <v>50</v>
      </c>
      <c r="AI46" s="51">
        <f>IFERROR(_xlfn.XLOOKUP(B46,'w6'!$B:$B,'w6'!$C:$C),0)</f>
        <v>10.4</v>
      </c>
      <c r="AJ46" s="50">
        <f>_xlfn.RANK.EQ(AI46,AI$3:AI$10000,0)</f>
        <v>43</v>
      </c>
      <c r="AK46" s="52">
        <f>IFERROR(_xlfn.XLOOKUP(B46,'w6'!$B:$B,'w6'!$F:$F),1)</f>
        <v>0.42916666666666664</v>
      </c>
      <c r="AL46" s="50">
        <f>_xlfn.RANK.EQ(AK46,AK$3:AK$10000,1)</f>
        <v>62</v>
      </c>
      <c r="AM46" s="50">
        <f>IFERROR(IF(_xlfn.XLOOKUP(B46,'w6'!$B:$B,'w6'!$G:$G)="--",0,_xlfn.XLOOKUP(B46,'w6'!$B:$B,'w6'!$G:$G)),0)</f>
        <v>274</v>
      </c>
      <c r="AN46" s="50">
        <f>_xlfn.RANK.EQ(AM46,AM$3:AM$10000,0)</f>
        <v>29</v>
      </c>
      <c r="AO46" s="56">
        <f>IFERROR(_xlfn.XLOOKUP(B46,'w7'!$B:$B,'w7'!$C:$C),0)</f>
        <v>14.9</v>
      </c>
      <c r="AP46" s="57">
        <f>_xlfn.RANK.EQ(AO46,AO$3:AO$10000,0)</f>
        <v>50</v>
      </c>
      <c r="AQ46" s="58">
        <f>IFERROR(_xlfn.XLOOKUP(B46,'w7'!$B:$B,'w7'!$F:$F),1)</f>
        <v>0.45624999999999999</v>
      </c>
      <c r="AR46" s="57">
        <f>_xlfn.RANK.EQ(AQ46,AQ$3:AQ$10000,1)</f>
        <v>69</v>
      </c>
      <c r="AS46" s="57">
        <f>IFERROR(IF(_xlfn.XLOOKUP(B46,'w7'!$B:$B,'w7'!$G:$G)="--",0,_xlfn.XLOOKUP(B46,'w7'!$B:$B,'w7'!$G:$G)),0)</f>
        <v>78</v>
      </c>
      <c r="AT46" s="57">
        <f>_xlfn.RANK.EQ(AS46,AS$3:AS$10000,0)</f>
        <v>57</v>
      </c>
      <c r="AU46" s="62">
        <f>IFERROR(_xlfn.XLOOKUP(B46,'w8'!$B:$B,'w8'!$C:$C),0)</f>
        <v>41.6</v>
      </c>
      <c r="AV46" s="61">
        <f>_xlfn.RANK.EQ(AU46,AU$3:AU$10000,0)</f>
        <v>20</v>
      </c>
      <c r="AW46" s="63">
        <f>IFERROR(_xlfn.XLOOKUP(B46,'w8'!$B:$B,'w8'!$F:$F),1)</f>
        <v>0.37291666666666667</v>
      </c>
      <c r="AX46" s="61">
        <f>_xlfn.RANK.EQ(AW46,AW$3:AW$10000,1)</f>
        <v>66</v>
      </c>
      <c r="AY46" s="61">
        <f>IFERROR(IF(_xlfn.XLOOKUP(B46,'w8'!$B:$B,'w8'!$G:$G)="--",0,_xlfn.XLOOKUP(B46,'w8'!$B:$B,'w8'!$G:$G)),0)</f>
        <v>748</v>
      </c>
      <c r="AZ46" s="61">
        <f>_xlfn.RANK.EQ(AY46,AY$3:AY$10000,0)</f>
        <v>15</v>
      </c>
      <c r="BA46" s="66">
        <f>IFERROR(_xlfn.XLOOKUP(C46,'w9'!$B:$B,'w9'!$C:$C),0)</f>
        <v>31.5</v>
      </c>
      <c r="BB46" s="67">
        <f>_xlfn.RANK.EQ(BA46,BA$3:BA$10000,0)</f>
        <v>34</v>
      </c>
      <c r="BC46" s="68">
        <f>IFERROR(_xlfn.XLOOKUP(C46,'w9'!$B:$B,'w9'!$F:$F),1)</f>
        <v>0.37430555555555556</v>
      </c>
      <c r="BD46" s="67">
        <f>_xlfn.RANK.EQ(BC46,BC$3:BC$10000,1)</f>
        <v>67</v>
      </c>
      <c r="BE46" s="67">
        <f>IFERROR(IF(_xlfn.XLOOKUP(C46,'w9'!$B:$B,'w9'!$G:$G)="--",0,_xlfn.XLOOKUP(C46,'w9'!$B:$B,'w9'!$G:$G)),0)</f>
        <v>461</v>
      </c>
      <c r="BF46" s="67">
        <f>_xlfn.RANK.EQ(BE46,BE$3:BE$10000,0)</f>
        <v>32</v>
      </c>
      <c r="BG46" s="72">
        <f>IFERROR(_xlfn.XLOOKUP(B46,'w10'!$B:$B,'w10'!$C:$C),0)</f>
        <v>14.1</v>
      </c>
      <c r="BH46" s="74">
        <f>_xlfn.RANK.EQ(BG46,BG$3:BG$10000,0)</f>
        <v>53</v>
      </c>
      <c r="BI46" s="75">
        <f>IFERROR(_xlfn.XLOOKUP(B46,'w10'!$B:$B,'w10'!$F:$F),1)</f>
        <v>0.32361111111111113</v>
      </c>
      <c r="BJ46" s="74">
        <f>_xlfn.RANK.EQ(BI46,BI$3:BI$10000,1)</f>
        <v>59</v>
      </c>
      <c r="BK46" s="74">
        <f>IFERROR(IF(_xlfn.XLOOKUP(B46,'w10'!$B:$B,'w10'!$G:$G)="--",0,_xlfn.XLOOKUP(B46,'w10'!$B:$B,'w10'!$G:$G)),0)</f>
        <v>146</v>
      </c>
      <c r="BL46" s="74">
        <f>_xlfn.RANK.EQ(BK46,BK$3:BK$10000,0)</f>
        <v>42</v>
      </c>
      <c r="BM46" s="78">
        <f>IFERROR(_xlfn.XLOOKUP(B46,'w11'!$B:$B,'w11'!$C:$C),0)</f>
        <v>12</v>
      </c>
      <c r="BN46" s="80">
        <f>_xlfn.RANK.EQ(BM46,BM$3:BM$10000,0)</f>
        <v>59</v>
      </c>
      <c r="BO46" s="81">
        <f>IFERROR(_xlfn.XLOOKUP(B46,'w11'!$B:$B,'w11'!$F:$F),1)</f>
        <v>0.32777777777777778</v>
      </c>
      <c r="BP46" s="80">
        <f>_xlfn.RANK.EQ(BO46,BO$3:BO$10000,1)</f>
        <v>57</v>
      </c>
      <c r="BQ46" s="80">
        <f>IFERROR(IF(_xlfn.XLOOKUP(B46,'w11'!$B:$B,'w11'!$G:$G)="--",0,_xlfn.XLOOKUP(B46,'w11'!$B:$B,'w11'!$G:$G)),0)</f>
        <v>105</v>
      </c>
      <c r="BR46" s="80">
        <f>_xlfn.RANK.EQ(BQ46,BQ$3:BQ$10000,0)</f>
        <v>55</v>
      </c>
      <c r="BS46" s="83">
        <f>IFERROR(_xlfn.XLOOKUP(B46,'w12'!$B:$B,'w12'!$C:$C),0)</f>
        <v>15.6</v>
      </c>
      <c r="BT46" s="86">
        <f>_xlfn.RANK.EQ(BS46,BS$3:BS$10000,0)</f>
        <v>47</v>
      </c>
      <c r="BU46" s="87">
        <f>IFERROR(_xlfn.XLOOKUP(B46,'w12'!$B:$B,'w12'!$F:$F),1)</f>
        <v>0.27569444444444446</v>
      </c>
      <c r="BV46" s="86">
        <f>_xlfn.RANK.EQ(BU46,BU$3:BU$10000,1)</f>
        <v>38</v>
      </c>
      <c r="BW46" s="86">
        <f>IFERROR(IF(_xlfn.XLOOKUP(B46,'w12'!$B:$B,'w12'!$G:$G)="--",0,_xlfn.XLOOKUP(B46,'w12'!$B:$B,'w12'!$G:$G)),0)</f>
        <v>0</v>
      </c>
      <c r="BX46" s="86">
        <f>_xlfn.RANK.EQ(BW46,BW$3:BW$10000,0)</f>
        <v>73</v>
      </c>
      <c r="BY46" s="89">
        <f>IFERROR(_xlfn.XLOOKUP(B46,'w13'!$B:$B,'w13'!$C:$C),0)</f>
        <v>43.8</v>
      </c>
      <c r="BZ46" s="92">
        <f>_xlfn.RANK.EQ(BY46,BY$3:BY$10000,0)</f>
        <v>12</v>
      </c>
      <c r="CA46" s="93">
        <f>IFERROR(_xlfn.XLOOKUP(B46,'w13'!$B:$B,'w13'!$F:$F),1)</f>
        <v>0.36388888888888887</v>
      </c>
      <c r="CB46" s="92">
        <f>_xlfn.RANK.EQ(CA46,CA$3:CA$10000,1)</f>
        <v>62</v>
      </c>
      <c r="CC46" s="92">
        <f>IFERROR(IF(_xlfn.XLOOKUP(B46,'w13'!$B:$B,'w13'!$G:$G)="--",0,_xlfn.XLOOKUP(B46,'w13'!$B:$B,'w13'!$G:$G)),0)</f>
        <v>627</v>
      </c>
      <c r="CD46" s="92">
        <f>_xlfn.RANK.EQ(CC46,CC$3:CC$10000,0)</f>
        <v>15</v>
      </c>
      <c r="CE46" s="95">
        <f>IFERROR(_xlfn.XLOOKUP(B46,'w14'!$B:$B,'w14'!$C:$C),0)</f>
        <v>0</v>
      </c>
      <c r="CF46" s="98">
        <f>_xlfn.RANK.EQ(CE46,CE$3:CE$10000,0)</f>
        <v>69</v>
      </c>
      <c r="CG46" s="99">
        <f>IFERROR(_xlfn.XLOOKUP(B46,'w14'!$B:$B,'w14'!$F:$F),1)</f>
        <v>1</v>
      </c>
      <c r="CH46" s="98">
        <f>_xlfn.RANK.EQ(CG46,CG$3:CG$10000,1)</f>
        <v>69</v>
      </c>
      <c r="CI46" s="98">
        <f>IFERROR(IF(_xlfn.XLOOKUP(B46,'w14'!$B:$B,'w14'!$G:$G)="--",0,_xlfn.XLOOKUP(B46,'w14'!$B:$B,'w14'!$G:$G)),0)</f>
        <v>0</v>
      </c>
      <c r="CJ46" s="98">
        <f>_xlfn.RANK.EQ(CI46,CI$3:CI$10000,0)</f>
        <v>69</v>
      </c>
      <c r="CK46" s="9">
        <f>_xlfn.RANK.EQ(D46,D$3:D$10000,1)</f>
        <v>44</v>
      </c>
      <c r="CL46" s="26" t="s">
        <v>159</v>
      </c>
      <c r="CM46" s="8">
        <f>SUM(E46,K46,Q46,W46,AC46,AI46,AO46,AU46,BA46,BG46,BM46,BS46,BY46,CE46)</f>
        <v>300.10000000000002</v>
      </c>
      <c r="CN46" s="9">
        <f>_xlfn.RANK.EQ(CM46,CM$3:CM$10000)</f>
        <v>43</v>
      </c>
      <c r="CO46" s="15">
        <f>IFERROR(SUM(PRODUCT(E46,G46),PRODUCT(K46,M46),PRODUCT(Q46,S46),PRODUCT(W46,Y46),PRODUCT(AC46,AE46),PRODUCT(AI46,AK46),PRODUCT(AO46,AQ46),PRODUCT(AU46,AW46),PRODUCT(BA46,BC46),PRODUCT(BG46,BI46),PRODUCT(BM46,BO46),PRODUCT(BS46,BU46),PRODUCT(BY46,CA46),PRODUCT(CE46,CG46))/CM46,1)</f>
        <v>0.34075261949720459</v>
      </c>
      <c r="CP46" s="9">
        <f>_xlfn.RANK.EQ(CO46,CO$3:CO$10000,1)</f>
        <v>81</v>
      </c>
      <c r="CQ46" s="9">
        <f>SUM(I46,O46,U46,AA46,AG46,AM46,AS46,AY46,BE46,BK46,BQ46,BW46,CC46,CI46)</f>
        <v>3450</v>
      </c>
      <c r="CR46" s="9">
        <f>_xlfn.RANK.EQ(CQ46,CQ$3:CQ$10000)</f>
        <v>39</v>
      </c>
      <c r="CS46" s="23"/>
      <c r="CT46" s="25"/>
      <c r="CU46" s="24">
        <f>_xlfn.STDEV.S(F46,L46,R46,X46,AD46,AJ46,AP46,AV46,BB46,BH46,BN46,BT46,BZ46,CF46)</f>
        <v>17.061781724204408</v>
      </c>
      <c r="CV46" s="21">
        <f>_xlfn.RANK.EQ(CU46,CU$3:CU$10000,1)</f>
        <v>74</v>
      </c>
      <c r="CW46" s="24">
        <f>_xlfn.STDEV.S(H46,N46,T46,Z46,AF46,AL46,AR46,AX46,BD46,BJ46,BP46,BV46,CB46,CH46)</f>
        <v>10.536435996886389</v>
      </c>
      <c r="CX46" s="21">
        <f>_xlfn.RANK.EQ(CW46,CW$3:CW$10000,1)</f>
        <v>27</v>
      </c>
      <c r="CY46" s="24">
        <f>_xlfn.STDEV.S(J46,P46,V46,AB46,AH46,AN46,AT46,AZ46,BF46,BL46,BR46,BX46,CD46,CJ46)</f>
        <v>19.723918653071127</v>
      </c>
      <c r="CZ46" s="21">
        <f>_xlfn.RANK.EQ(CY46,CY$3:CY$10000,1)</f>
        <v>84</v>
      </c>
      <c r="DA46">
        <f>SUM(COUNTIF(E46,"&gt;0"),COUNTIF(K46,"&gt;0"),COUNTIF(Q46,"&gt;0"),COUNTIF(W46,"&gt;0"),COUNTIF(AC46,"&gt;0"),COUNTIF(AI46,"&gt;0"),COUNTIF(AO46,"&gt;0"),COUNTIF(AU46,"&gt;0"),COUNTIF(BA46,"&gt;0"),COUNTIF(BG46,"&gt;0"),COUNTIF(BM46,"&gt;0"),COUNTIF(BS46,"&gt;0"),COUNTIF(BY46,"&gt;0"),COUNTIF(CE46,"&gt;0"))</f>
        <v>13</v>
      </c>
    </row>
    <row r="47" spans="1:105" x14ac:dyDescent="0.3">
      <c r="B47" t="s">
        <v>39</v>
      </c>
      <c r="C47" s="18" t="s">
        <v>117</v>
      </c>
      <c r="D47" s="4">
        <f>CN47*$CN$1+CP47*$CP$1+CR47*$CR$1</f>
        <v>45.274999999999999</v>
      </c>
      <c r="E47" s="29">
        <f>IFERROR(_xlfn.XLOOKUP(B47,'w1'!$B:$B,'w1'!$C:$C),0)</f>
        <v>22.9</v>
      </c>
      <c r="F47" s="30">
        <f>_xlfn.RANK.EQ(E47,E$3:E$10000,0)</f>
        <v>36</v>
      </c>
      <c r="G47" s="31">
        <f>IFERROR(_xlfn.XLOOKUP(B47,'w1'!$B:$B,'w1'!$F:$F),1)</f>
        <v>0.3263888888888889</v>
      </c>
      <c r="H47" s="30">
        <f>_xlfn.RANK.EQ(G47,G$3:G$10000,1)</f>
        <v>65</v>
      </c>
      <c r="I47" s="30">
        <f>IFERROR(IF(_xlfn.XLOOKUP(B47,'w1'!$B:$B,'w1'!$G:$G)="--",0,_xlfn.XLOOKUP(B47,'w1'!$B:$B,'w1'!$G:$G)),0)</f>
        <v>635</v>
      </c>
      <c r="J47" s="30">
        <f>_xlfn.RANK.EQ(I47,I$3:I$10000,0)</f>
        <v>15</v>
      </c>
      <c r="K47" s="34">
        <f>IFERROR(_xlfn.XLOOKUP(B47,'w2'!$B:$B,'w2'!$C:$C),0)</f>
        <v>12.2</v>
      </c>
      <c r="L47" s="35">
        <f>_xlfn.RANK.EQ(K47,K$3:K$10000,0)</f>
        <v>53</v>
      </c>
      <c r="M47" s="36">
        <f>IFERROR(_xlfn.XLOOKUP(B47,'w2'!$B:$B,'w2'!$F:$F),1)</f>
        <v>0.33124999999999999</v>
      </c>
      <c r="N47" s="35">
        <f>_xlfn.RANK.EQ(M47,M$3:M$10000,1)</f>
        <v>57</v>
      </c>
      <c r="O47" s="35">
        <f>IFERROR(IF(_xlfn.XLOOKUP(B47,'w2'!$B:$B,'w2'!$G:$G)="--",0,_xlfn.XLOOKUP(B47,'w2'!$B:$B,'w2'!$G:$G)),0)</f>
        <v>388</v>
      </c>
      <c r="P47" s="35">
        <f>_xlfn.RANK.EQ(O47,O$3:O$10000,0)</f>
        <v>27</v>
      </c>
      <c r="Q47" s="39">
        <f>IFERROR(_xlfn.XLOOKUP(B47,'w3'!$B:$B,'w3'!$C:$C),0)</f>
        <v>11.8</v>
      </c>
      <c r="R47" s="40">
        <f>_xlfn.RANK.EQ(Q47,Q$3:Q$10000,0)</f>
        <v>60</v>
      </c>
      <c r="S47" s="41">
        <f>IFERROR(_xlfn.XLOOKUP(B47,'w3'!$B:$B,'w3'!$F:$F),1)</f>
        <v>0.32222222222222224</v>
      </c>
      <c r="T47" s="40">
        <f>_xlfn.RANK.EQ(S47,S$3:S$10000,1)</f>
        <v>64</v>
      </c>
      <c r="U47" s="40">
        <f>IFERROR(IF(_xlfn.XLOOKUP(B47,'w3'!$B:$B,'w3'!$G:$G)="--",0,_xlfn.XLOOKUP(B47,'w3'!$B:$B,'w3'!$G:$G)),0)</f>
        <v>345</v>
      </c>
      <c r="V47" s="40">
        <f>_xlfn.RANK.EQ(U47,U$3:U$10000,0)</f>
        <v>27</v>
      </c>
      <c r="W47" s="44">
        <f>IFERROR(_xlfn.XLOOKUP(B47,'w4'!$B:$B,'w4'!$C:$C),0)</f>
        <v>14.5</v>
      </c>
      <c r="X47" s="45">
        <f>_xlfn.RANK.EQ(W47,W$3:W$10000,0)</f>
        <v>52</v>
      </c>
      <c r="Y47" s="46">
        <f>IFERROR(_xlfn.XLOOKUP(B47,'w4'!$B:$B,'w4'!$F:$F),1)</f>
        <v>0.42152777777777778</v>
      </c>
      <c r="Z47" s="45">
        <f>_xlfn.RANK.EQ(Y47,Y$3:Y$10000,1)</f>
        <v>72</v>
      </c>
      <c r="AA47" s="45">
        <f>IFERROR(IF(_xlfn.XLOOKUP(B47,'w4'!$B:$B,'w4'!$G:$G)="--",0,_xlfn.XLOOKUP(B47,'w4'!$B:$B,'w4'!$G:$G)),0)</f>
        <v>641</v>
      </c>
      <c r="AB47" s="45">
        <f>_xlfn.RANK.EQ(AA47,AA$3:AA$10000,0)</f>
        <v>14</v>
      </c>
      <c r="AC47" s="13">
        <f>IFERROR(_xlfn.XLOOKUP(B47,'w5'!$B:$B,'w5'!$C:$C),0)</f>
        <v>29.9</v>
      </c>
      <c r="AD47" s="12">
        <f>_xlfn.RANK.EQ(AC47,AC$3:AC$10000,0)</f>
        <v>37</v>
      </c>
      <c r="AE47" s="14">
        <f>IFERROR(_xlfn.XLOOKUP(B47,'w5'!$B:$B,'w5'!$F:$F),1)</f>
        <v>0.49027777777777776</v>
      </c>
      <c r="AF47" s="12">
        <f>_xlfn.RANK.EQ(AE47,AE$3:AE$10000,1)</f>
        <v>71</v>
      </c>
      <c r="AG47" s="12">
        <f>IFERROR(IF(_xlfn.XLOOKUP(B47,'w5'!$B:$B,'w5'!$G:$G)="--",0,_xlfn.XLOOKUP(B47,'w5'!$B:$B,'w5'!$G:$G)),0)</f>
        <v>1193</v>
      </c>
      <c r="AH47" s="12">
        <f>_xlfn.RANK.EQ(AG47,AG$3:AG$10000,0)</f>
        <v>10</v>
      </c>
      <c r="AI47" s="51">
        <f>IFERROR(_xlfn.XLOOKUP(B47,'w6'!$B:$B,'w6'!$C:$C),0)</f>
        <v>10</v>
      </c>
      <c r="AJ47" s="50">
        <f>_xlfn.RANK.EQ(AI47,AI$3:AI$10000,0)</f>
        <v>51</v>
      </c>
      <c r="AK47" s="52">
        <f>IFERROR(_xlfn.XLOOKUP(B47,'w6'!$B:$B,'w6'!$F:$F),1)</f>
        <v>0.36388888888888887</v>
      </c>
      <c r="AL47" s="50">
        <f>_xlfn.RANK.EQ(AK47,AK$3:AK$10000,1)</f>
        <v>55</v>
      </c>
      <c r="AM47" s="50">
        <f>IFERROR(IF(_xlfn.XLOOKUP(B47,'w6'!$B:$B,'w6'!$G:$G)="--",0,_xlfn.XLOOKUP(B47,'w6'!$B:$B,'w6'!$G:$G)),0)</f>
        <v>310</v>
      </c>
      <c r="AN47" s="50">
        <f>_xlfn.RANK.EQ(AM47,AM$3:AM$10000,0)</f>
        <v>21</v>
      </c>
      <c r="AO47" s="56">
        <f>IFERROR(_xlfn.XLOOKUP(B47,'w7'!$B:$B,'w7'!$C:$C),0)</f>
        <v>29.6</v>
      </c>
      <c r="AP47" s="57">
        <f>_xlfn.RANK.EQ(AO47,AO$3:AO$10000,0)</f>
        <v>26</v>
      </c>
      <c r="AQ47" s="58">
        <f>IFERROR(_xlfn.XLOOKUP(B47,'w7'!$B:$B,'w7'!$F:$F),1)</f>
        <v>0.32291666666666669</v>
      </c>
      <c r="AR47" s="57">
        <f>_xlfn.RANK.EQ(AQ47,AQ$3:AQ$10000,1)</f>
        <v>49</v>
      </c>
      <c r="AS47" s="57">
        <f>IFERROR(IF(_xlfn.XLOOKUP(B47,'w7'!$B:$B,'w7'!$G:$G)="--",0,_xlfn.XLOOKUP(B47,'w7'!$B:$B,'w7'!$G:$G)),0)</f>
        <v>487</v>
      </c>
      <c r="AT47" s="57">
        <f>_xlfn.RANK.EQ(AS47,AS$3:AS$10000,0)</f>
        <v>20</v>
      </c>
      <c r="AU47" s="62">
        <f>IFERROR(_xlfn.XLOOKUP(B47,'w8'!$B:$B,'w8'!$C:$C),0)</f>
        <v>50.1</v>
      </c>
      <c r="AV47" s="61">
        <f>_xlfn.RANK.EQ(AU47,AU$3:AU$10000,0)</f>
        <v>15</v>
      </c>
      <c r="AW47" s="63">
        <f>IFERROR(_xlfn.XLOOKUP(B47,'w8'!$B:$B,'w8'!$F:$F),1)</f>
        <v>0.31736111111111109</v>
      </c>
      <c r="AX47" s="61">
        <f>_xlfn.RANK.EQ(AW47,AW$3:AW$10000,1)</f>
        <v>54</v>
      </c>
      <c r="AY47" s="61">
        <f>IFERROR(IF(_xlfn.XLOOKUP(B47,'w8'!$B:$B,'w8'!$G:$G)="--",0,_xlfn.XLOOKUP(B47,'w8'!$B:$B,'w8'!$G:$G)),0)</f>
        <v>937</v>
      </c>
      <c r="AZ47" s="61">
        <f>_xlfn.RANK.EQ(AY47,AY$3:AY$10000,0)</f>
        <v>14</v>
      </c>
      <c r="BA47" s="66">
        <f>IFERROR(_xlfn.XLOOKUP(C47,'w9'!$B:$B,'w9'!$C:$C),0)</f>
        <v>40.799999999999997</v>
      </c>
      <c r="BB47" s="67">
        <f>_xlfn.RANK.EQ(BA47,BA$3:BA$10000,0)</f>
        <v>22</v>
      </c>
      <c r="BC47" s="68">
        <f>IFERROR(_xlfn.XLOOKUP(C47,'w9'!$B:$B,'w9'!$F:$F),1)</f>
        <v>0.31388888888888888</v>
      </c>
      <c r="BD47" s="67">
        <f>_xlfn.RANK.EQ(BC47,BC$3:BC$10000,1)</f>
        <v>48</v>
      </c>
      <c r="BE47" s="67">
        <f>IFERROR(IF(_xlfn.XLOOKUP(C47,'w9'!$B:$B,'w9'!$G:$G)="--",0,_xlfn.XLOOKUP(C47,'w9'!$B:$B,'w9'!$G:$G)),0)</f>
        <v>729</v>
      </c>
      <c r="BF47" s="67">
        <f>_xlfn.RANK.EQ(BE47,BE$3:BE$10000,0)</f>
        <v>16</v>
      </c>
      <c r="BG47" s="72">
        <f>IFERROR(_xlfn.XLOOKUP(B47,'w10'!$B:$B,'w10'!$C:$C),0)</f>
        <v>28.4</v>
      </c>
      <c r="BH47" s="74">
        <f>_xlfn.RANK.EQ(BG47,BG$3:BG$10000,0)</f>
        <v>32</v>
      </c>
      <c r="BI47" s="75">
        <f>IFERROR(_xlfn.XLOOKUP(B47,'w10'!$B:$B,'w10'!$F:$F),1)</f>
        <v>0.27986111111111112</v>
      </c>
      <c r="BJ47" s="74">
        <f>_xlfn.RANK.EQ(BI47,BI$3:BI$10000,1)</f>
        <v>39</v>
      </c>
      <c r="BK47" s="74">
        <f>IFERROR(IF(_xlfn.XLOOKUP(B47,'w10'!$B:$B,'w10'!$G:$G)="--",0,_xlfn.XLOOKUP(B47,'w10'!$B:$B,'w10'!$G:$G)),0)</f>
        <v>272</v>
      </c>
      <c r="BL47" s="74">
        <f>_xlfn.RANK.EQ(BK47,BK$3:BK$10000,0)</f>
        <v>25</v>
      </c>
      <c r="BM47" s="78">
        <f>IFERROR(_xlfn.XLOOKUP(B47,'w11'!$B:$B,'w11'!$C:$C),0)</f>
        <v>29.7</v>
      </c>
      <c r="BN47" s="80">
        <f>_xlfn.RANK.EQ(BM47,BM$3:BM$10000,0)</f>
        <v>28</v>
      </c>
      <c r="BO47" s="81">
        <f>IFERROR(_xlfn.XLOOKUP(B47,'w11'!$B:$B,'w11'!$F:$F),1)</f>
        <v>0.34236111111111112</v>
      </c>
      <c r="BP47" s="80">
        <f>_xlfn.RANK.EQ(BO47,BO$3:BO$10000,1)</f>
        <v>61</v>
      </c>
      <c r="BQ47" s="80">
        <f>IFERROR(IF(_xlfn.XLOOKUP(B47,'w11'!$B:$B,'w11'!$G:$G)="--",0,_xlfn.XLOOKUP(B47,'w11'!$B:$B,'w11'!$G:$G)),0)</f>
        <v>783</v>
      </c>
      <c r="BR47" s="80">
        <f>_xlfn.RANK.EQ(BQ47,BQ$3:BQ$10000,0)</f>
        <v>10</v>
      </c>
      <c r="BS47" s="83">
        <f>IFERROR(_xlfn.XLOOKUP(B47,'w12'!$B:$B,'w12'!$C:$C),0)</f>
        <v>18.899999999999999</v>
      </c>
      <c r="BT47" s="86">
        <f>_xlfn.RANK.EQ(BS47,BS$3:BS$10000,0)</f>
        <v>37</v>
      </c>
      <c r="BU47" s="87">
        <f>IFERROR(_xlfn.XLOOKUP(B47,'w12'!$B:$B,'w12'!$F:$F),1)</f>
        <v>0.33680555555555558</v>
      </c>
      <c r="BV47" s="86">
        <f>_xlfn.RANK.EQ(BU47,BU$3:BU$10000,1)</f>
        <v>66</v>
      </c>
      <c r="BW47" s="86">
        <f>IFERROR(IF(_xlfn.XLOOKUP(B47,'w12'!$B:$B,'w12'!$G:$G)="--",0,_xlfn.XLOOKUP(B47,'w12'!$B:$B,'w12'!$G:$G)),0)</f>
        <v>515</v>
      </c>
      <c r="BX47" s="86">
        <f>_xlfn.RANK.EQ(BW47,BW$3:BW$10000,0)</f>
        <v>10</v>
      </c>
      <c r="BY47" s="89">
        <f>IFERROR(_xlfn.XLOOKUP(B47,'w13'!$B:$B,'w13'!$C:$C),0)</f>
        <v>0</v>
      </c>
      <c r="BZ47" s="92">
        <f>_xlfn.RANK.EQ(BY47,BY$3:BY$10000,0)</f>
        <v>76</v>
      </c>
      <c r="CA47" s="93">
        <f>IFERROR(_xlfn.XLOOKUP(B47,'w13'!$B:$B,'w13'!$F:$F),1)</f>
        <v>1</v>
      </c>
      <c r="CB47" s="92">
        <f>_xlfn.RANK.EQ(CA47,CA$3:CA$10000,1)</f>
        <v>76</v>
      </c>
      <c r="CC47" s="92">
        <f>IFERROR(IF(_xlfn.XLOOKUP(B47,'w13'!$B:$B,'w13'!$G:$G)="--",0,_xlfn.XLOOKUP(B47,'w13'!$B:$B,'w13'!$G:$G)),0)</f>
        <v>0</v>
      </c>
      <c r="CD47" s="92">
        <f>_xlfn.RANK.EQ(CC47,CC$3:CC$10000,0)</f>
        <v>76</v>
      </c>
      <c r="CE47" s="95">
        <f>IFERROR(_xlfn.XLOOKUP(B47,'w14'!$B:$B,'w14'!$C:$C),0)</f>
        <v>0</v>
      </c>
      <c r="CF47" s="98">
        <f>_xlfn.RANK.EQ(CE47,CE$3:CE$10000,0)</f>
        <v>69</v>
      </c>
      <c r="CG47" s="99">
        <f>IFERROR(_xlfn.XLOOKUP(B47,'w14'!$B:$B,'w14'!$F:$F),1)</f>
        <v>1</v>
      </c>
      <c r="CH47" s="98">
        <f>_xlfn.RANK.EQ(CG47,CG$3:CG$10000,1)</f>
        <v>69</v>
      </c>
      <c r="CI47" s="98">
        <f>IFERROR(IF(_xlfn.XLOOKUP(B47,'w14'!$B:$B,'w14'!$G:$G)="--",0,_xlfn.XLOOKUP(B47,'w14'!$B:$B,'w14'!$G:$G)),0)</f>
        <v>0</v>
      </c>
      <c r="CJ47" s="98">
        <f>_xlfn.RANK.EQ(CI47,CI$3:CI$10000,0)</f>
        <v>69</v>
      </c>
      <c r="CK47" s="9">
        <f>_xlfn.RANK.EQ(D47,D$3:D$10000,1)</f>
        <v>45</v>
      </c>
      <c r="CL47" s="26" t="s">
        <v>117</v>
      </c>
      <c r="CM47" s="8">
        <f>SUM(E47,K47,Q47,W47,AC47,AI47,AO47,AU47,BA47,BG47,BM47,BS47,BY47,CE47)</f>
        <v>298.79999999999995</v>
      </c>
      <c r="CN47" s="9">
        <f>_xlfn.RANK.EQ(CM47,CM$3:CM$10000)</f>
        <v>45</v>
      </c>
      <c r="CO47" s="15">
        <f>IFERROR(SUM(PRODUCT(E47,G47),PRODUCT(K47,M47),PRODUCT(Q47,S47),PRODUCT(W47,Y47),PRODUCT(AC47,AE47),PRODUCT(AI47,AK47),PRODUCT(AO47,AQ47),PRODUCT(AU47,AW47),PRODUCT(BA47,BC47),PRODUCT(BG47,BI47),PRODUCT(BM47,BO47),PRODUCT(BS47,BU47),PRODUCT(BY47,CA47),PRODUCT(CE47,CG47))/CM47,1)</f>
        <v>0.34295422430462597</v>
      </c>
      <c r="CP47" s="9">
        <f>_xlfn.RANK.EQ(CO47,CO$3:CO$10000,1)</f>
        <v>82</v>
      </c>
      <c r="CQ47" s="9">
        <f>SUM(I47,O47,U47,AA47,AG47,AM47,AS47,AY47,BE47,BK47,BQ47,BW47,CC47,CI47)</f>
        <v>7235</v>
      </c>
      <c r="CR47" s="9">
        <f>_xlfn.RANK.EQ(CQ47,CQ$3:CQ$10000)</f>
        <v>19</v>
      </c>
      <c r="CS47" s="23"/>
      <c r="CT47" s="25"/>
      <c r="CU47" s="24">
        <f>_xlfn.STDEV.S(F47,L47,R47,X47,AD47,AJ47,AP47,AV47,BB47,BH47,BN47,BT47,BZ47,CF47)</f>
        <v>18.135024700262225</v>
      </c>
      <c r="CV47" s="21">
        <f>_xlfn.RANK.EQ(CU47,CU$3:CU$10000,1)</f>
        <v>82</v>
      </c>
      <c r="CW47" s="24">
        <f>_xlfn.STDEV.S(H47,N47,T47,Z47,AF47,AL47,AR47,AX47,BD47,BJ47,BP47,BV47,CB47,CH47)</f>
        <v>10.573655839027383</v>
      </c>
      <c r="CX47" s="21">
        <f>_xlfn.RANK.EQ(CW47,CW$3:CW$10000,1)</f>
        <v>29</v>
      </c>
      <c r="CY47" s="24">
        <f>_xlfn.STDEV.S(J47,P47,V47,AB47,AH47,AN47,AT47,AZ47,BF47,BL47,BR47,BX47,CD47,CJ47)</f>
        <v>20.907961573115088</v>
      </c>
      <c r="CZ47" s="21">
        <f>_xlfn.RANK.EQ(CY47,CY$3:CY$10000,1)</f>
        <v>93</v>
      </c>
      <c r="DA47">
        <f>SUM(COUNTIF(E47,"&gt;0"),COUNTIF(K47,"&gt;0"),COUNTIF(Q47,"&gt;0"),COUNTIF(W47,"&gt;0"),COUNTIF(AC47,"&gt;0"),COUNTIF(AI47,"&gt;0"),COUNTIF(AO47,"&gt;0"),COUNTIF(AU47,"&gt;0"),COUNTIF(BA47,"&gt;0"),COUNTIF(BG47,"&gt;0"),COUNTIF(BM47,"&gt;0"),COUNTIF(BS47,"&gt;0"),COUNTIF(BY47,"&gt;0"),COUNTIF(CE47,"&gt;0"))</f>
        <v>12</v>
      </c>
    </row>
    <row r="48" spans="1:105" x14ac:dyDescent="0.3">
      <c r="B48" t="s">
        <v>69</v>
      </c>
      <c r="C48" s="18" t="s">
        <v>134</v>
      </c>
      <c r="D48" s="4">
        <f>CN48*$CN$1+CP48*$CP$1+CR48*$CR$1</f>
        <v>47.1</v>
      </c>
      <c r="E48" s="29">
        <f>IFERROR(_xlfn.XLOOKUP(B48,'w1'!$B:$B,'w1'!$C:$C),0)</f>
        <v>10.1</v>
      </c>
      <c r="F48" s="30">
        <f>_xlfn.RANK.EQ(E48,E$3:E$10000,0)</f>
        <v>66</v>
      </c>
      <c r="G48" s="31">
        <f>IFERROR(_xlfn.XLOOKUP(B48,'w1'!$B:$B,'w1'!$F:$F),1)</f>
        <v>0.27638888888888891</v>
      </c>
      <c r="H48" s="30">
        <f>_xlfn.RANK.EQ(G48,G$3:G$10000,1)</f>
        <v>43</v>
      </c>
      <c r="I48" s="30">
        <f>IFERROR(IF(_xlfn.XLOOKUP(B48,'w1'!$B:$B,'w1'!$G:$G)="--",0,_xlfn.XLOOKUP(B48,'w1'!$B:$B,'w1'!$G:$G)),0)</f>
        <v>124</v>
      </c>
      <c r="J48" s="30">
        <f>_xlfn.RANK.EQ(I48,I$3:I$10000,0)</f>
        <v>50</v>
      </c>
      <c r="K48" s="34">
        <f>IFERROR(_xlfn.XLOOKUP(B48,'w2'!$B:$B,'w2'!$C:$C),0)</f>
        <v>10.6</v>
      </c>
      <c r="L48" s="35">
        <f>_xlfn.RANK.EQ(K48,K$3:K$10000,0)</f>
        <v>57</v>
      </c>
      <c r="M48" s="36">
        <f>IFERROR(_xlfn.XLOOKUP(B48,'w2'!$B:$B,'w2'!$F:$F),1)</f>
        <v>0.3034722222222222</v>
      </c>
      <c r="N48" s="35">
        <f>_xlfn.RANK.EQ(M48,M$3:M$10000,1)</f>
        <v>47</v>
      </c>
      <c r="O48" s="35">
        <f>IFERROR(IF(_xlfn.XLOOKUP(B48,'w2'!$B:$B,'w2'!$G:$G)="--",0,_xlfn.XLOOKUP(B48,'w2'!$B:$B,'w2'!$G:$G)),0)</f>
        <v>274</v>
      </c>
      <c r="P48" s="35">
        <f>_xlfn.RANK.EQ(O48,O$3:O$10000,0)</f>
        <v>33</v>
      </c>
      <c r="Q48" s="39">
        <f>IFERROR(_xlfn.XLOOKUP(B48,'w3'!$B:$B,'w3'!$C:$C),0)</f>
        <v>10</v>
      </c>
      <c r="R48" s="40">
        <f>_xlfn.RANK.EQ(Q48,Q$3:Q$10000,0)</f>
        <v>67</v>
      </c>
      <c r="S48" s="41">
        <f>IFERROR(_xlfn.XLOOKUP(B48,'w3'!$B:$B,'w3'!$F:$F),1)</f>
        <v>0.26041666666666669</v>
      </c>
      <c r="T48" s="40">
        <f>_xlfn.RANK.EQ(S48,S$3:S$10000,1)</f>
        <v>29</v>
      </c>
      <c r="U48" s="40">
        <f>IFERROR(IF(_xlfn.XLOOKUP(B48,'w3'!$B:$B,'w3'!$G:$G)="--",0,_xlfn.XLOOKUP(B48,'w3'!$B:$B,'w3'!$G:$G)),0)</f>
        <v>103</v>
      </c>
      <c r="V48" s="40">
        <f>_xlfn.RANK.EQ(U48,U$3:U$10000,0)</f>
        <v>57</v>
      </c>
      <c r="W48" s="44">
        <f>IFERROR(_xlfn.XLOOKUP(B48,'w4'!$B:$B,'w4'!$C:$C),0)</f>
        <v>10.3</v>
      </c>
      <c r="X48" s="45">
        <f>_xlfn.RANK.EQ(W48,W$3:W$10000,0)</f>
        <v>57</v>
      </c>
      <c r="Y48" s="46">
        <f>IFERROR(_xlfn.XLOOKUP(B48,'w4'!$B:$B,'w4'!$F:$F),1)</f>
        <v>0.33333333333333331</v>
      </c>
      <c r="Z48" s="45">
        <f>_xlfn.RANK.EQ(Y48,Y$3:Y$10000,1)</f>
        <v>59</v>
      </c>
      <c r="AA48" s="45">
        <f>IFERROR(IF(_xlfn.XLOOKUP(B48,'w4'!$B:$B,'w4'!$G:$G)="--",0,_xlfn.XLOOKUP(B48,'w4'!$B:$B,'w4'!$G:$G)),0)</f>
        <v>351</v>
      </c>
      <c r="AB48" s="45">
        <f>_xlfn.RANK.EQ(AA48,AA$3:AA$10000,0)</f>
        <v>22</v>
      </c>
      <c r="AC48" s="13">
        <f>IFERROR(_xlfn.XLOOKUP(B48,'w5'!$B:$B,'w5'!$C:$C),0)</f>
        <v>17</v>
      </c>
      <c r="AD48" s="12">
        <f>_xlfn.RANK.EQ(AC48,AC$3:AC$10000,0)</f>
        <v>58</v>
      </c>
      <c r="AE48" s="14">
        <f>IFERROR(_xlfn.XLOOKUP(B48,'w5'!$B:$B,'w5'!$F:$F),1)</f>
        <v>0.40069444444444446</v>
      </c>
      <c r="AF48" s="12">
        <f>_xlfn.RANK.EQ(AE48,AE$3:AE$10000,1)</f>
        <v>66</v>
      </c>
      <c r="AG48" s="12">
        <f>IFERROR(IF(_xlfn.XLOOKUP(B48,'w5'!$B:$B,'w5'!$G:$G)="--",0,_xlfn.XLOOKUP(B48,'w5'!$B:$B,'w5'!$G:$G)),0)</f>
        <v>868</v>
      </c>
      <c r="AH48" s="12">
        <f>_xlfn.RANK.EQ(AG48,AG$3:AG$10000,0)</f>
        <v>16</v>
      </c>
      <c r="AI48" s="51">
        <f>IFERROR(_xlfn.XLOOKUP(B48,'w6'!$B:$B,'w6'!$C:$C),0)</f>
        <v>10.4</v>
      </c>
      <c r="AJ48" s="50">
        <f>_xlfn.RANK.EQ(AI48,AI$3:AI$10000,0)</f>
        <v>43</v>
      </c>
      <c r="AK48" s="52">
        <f>IFERROR(_xlfn.XLOOKUP(B48,'w6'!$B:$B,'w6'!$F:$F),1)</f>
        <v>0.31319444444444444</v>
      </c>
      <c r="AL48" s="50">
        <f>_xlfn.RANK.EQ(AK48,AK$3:AK$10000,1)</f>
        <v>42</v>
      </c>
      <c r="AM48" s="50">
        <f>IFERROR(IF(_xlfn.XLOOKUP(B48,'w6'!$B:$B,'w6'!$G:$G)="--",0,_xlfn.XLOOKUP(B48,'w6'!$B:$B,'w6'!$G:$G)),0)</f>
        <v>306</v>
      </c>
      <c r="AN48" s="50">
        <f>_xlfn.RANK.EQ(AM48,AM$3:AM$10000,0)</f>
        <v>23</v>
      </c>
      <c r="AO48" s="56">
        <f>IFERROR(_xlfn.XLOOKUP(B48,'w7'!$B:$B,'w7'!$C:$C),0)</f>
        <v>20.8</v>
      </c>
      <c r="AP48" s="57">
        <f>_xlfn.RANK.EQ(AO48,AO$3:AO$10000,0)</f>
        <v>39</v>
      </c>
      <c r="AQ48" s="58">
        <f>IFERROR(_xlfn.XLOOKUP(B48,'w7'!$B:$B,'w7'!$F:$F),1)</f>
        <v>0.44722222222222224</v>
      </c>
      <c r="AR48" s="57">
        <f>_xlfn.RANK.EQ(AQ48,AQ$3:AQ$10000,1)</f>
        <v>68</v>
      </c>
      <c r="AS48" s="57">
        <f>IFERROR(IF(_xlfn.XLOOKUP(B48,'w7'!$B:$B,'w7'!$G:$G)="--",0,_xlfn.XLOOKUP(B48,'w7'!$B:$B,'w7'!$G:$G)),0)</f>
        <v>947</v>
      </c>
      <c r="AT48" s="57">
        <f>_xlfn.RANK.EQ(AS48,AS$3:AS$10000,0)</f>
        <v>16</v>
      </c>
      <c r="AU48" s="62">
        <f>IFERROR(_xlfn.XLOOKUP(B48,'w8'!$B:$B,'w8'!$C:$C),0)</f>
        <v>52.8</v>
      </c>
      <c r="AV48" s="61">
        <f>_xlfn.RANK.EQ(AU48,AU$3:AU$10000,0)</f>
        <v>9</v>
      </c>
      <c r="AW48" s="63">
        <f>IFERROR(_xlfn.XLOOKUP(B48,'w8'!$B:$B,'w8'!$F:$F),1)</f>
        <v>0.32708333333333334</v>
      </c>
      <c r="AX48" s="61">
        <f>_xlfn.RANK.EQ(AW48,AW$3:AW$10000,1)</f>
        <v>59</v>
      </c>
      <c r="AY48" s="61">
        <f>IFERROR(IF(_xlfn.XLOOKUP(B48,'w8'!$B:$B,'w8'!$G:$G)="--",0,_xlfn.XLOOKUP(B48,'w8'!$B:$B,'w8'!$G:$G)),0)</f>
        <v>1832</v>
      </c>
      <c r="AZ48" s="61">
        <f>_xlfn.RANK.EQ(AY48,AY$3:AY$10000,0)</f>
        <v>5</v>
      </c>
      <c r="BA48" s="66">
        <f>IFERROR(_xlfn.XLOOKUP(C48,'w9'!$B:$B,'w9'!$C:$C),0)</f>
        <v>0</v>
      </c>
      <c r="BB48" s="67">
        <f>_xlfn.RANK.EQ(BA48,BA$3:BA$10000,0)</f>
        <v>75</v>
      </c>
      <c r="BC48" s="68">
        <f>IFERROR(_xlfn.XLOOKUP(C48,'w9'!$B:$B,'w9'!$F:$F),1)</f>
        <v>1</v>
      </c>
      <c r="BD48" s="67">
        <f>_xlfn.RANK.EQ(BC48,BC$3:BC$10000,1)</f>
        <v>75</v>
      </c>
      <c r="BE48" s="67">
        <f>IFERROR(IF(_xlfn.XLOOKUP(C48,'w9'!$B:$B,'w9'!$G:$G)="--",0,_xlfn.XLOOKUP(C48,'w9'!$B:$B,'w9'!$G:$G)),0)</f>
        <v>0</v>
      </c>
      <c r="BF48" s="67">
        <f>_xlfn.RANK.EQ(BE48,BE$3:BE$10000,0)</f>
        <v>74</v>
      </c>
      <c r="BG48" s="72">
        <f>IFERROR(_xlfn.XLOOKUP(B48,'w10'!$B:$B,'w10'!$C:$C),0)</f>
        <v>28.9</v>
      </c>
      <c r="BH48" s="74">
        <f>_xlfn.RANK.EQ(BG48,BG$3:BG$10000,0)</f>
        <v>31</v>
      </c>
      <c r="BI48" s="75">
        <f>IFERROR(_xlfn.XLOOKUP(B48,'w10'!$B:$B,'w10'!$F:$F),1)</f>
        <v>0.34236111111111112</v>
      </c>
      <c r="BJ48" s="74">
        <f>_xlfn.RANK.EQ(BI48,BI$3:BI$10000,1)</f>
        <v>66</v>
      </c>
      <c r="BK48" s="74">
        <f>IFERROR(IF(_xlfn.XLOOKUP(B48,'w10'!$B:$B,'w10'!$G:$G)="--",0,_xlfn.XLOOKUP(B48,'w10'!$B:$B,'w10'!$G:$G)),0)</f>
        <v>1200</v>
      </c>
      <c r="BL48" s="74">
        <f>_xlfn.RANK.EQ(BK48,BK$3:BK$10000,0)</f>
        <v>9</v>
      </c>
      <c r="BM48" s="78">
        <f>IFERROR(_xlfn.XLOOKUP(B48,'w11'!$B:$B,'w11'!$C:$C),0)</f>
        <v>0</v>
      </c>
      <c r="BN48" s="80">
        <f>_xlfn.RANK.EQ(BM48,BM$3:BM$10000,0)</f>
        <v>76</v>
      </c>
      <c r="BO48" s="81">
        <f>IFERROR(_xlfn.XLOOKUP(B48,'w11'!$B:$B,'w11'!$F:$F),1)</f>
        <v>1</v>
      </c>
      <c r="BP48" s="80">
        <f>_xlfn.RANK.EQ(BO48,BO$3:BO$10000,1)</f>
        <v>76</v>
      </c>
      <c r="BQ48" s="80">
        <f>IFERROR(IF(_xlfn.XLOOKUP(B48,'w11'!$B:$B,'w11'!$G:$G)="--",0,_xlfn.XLOOKUP(B48,'w11'!$B:$B,'w11'!$G:$G)),0)</f>
        <v>0</v>
      </c>
      <c r="BR48" s="80">
        <f>_xlfn.RANK.EQ(BQ48,BQ$3:BQ$10000,0)</f>
        <v>75</v>
      </c>
      <c r="BS48" s="83">
        <f>IFERROR(_xlfn.XLOOKUP(B48,'w12'!$B:$B,'w12'!$C:$C),0)</f>
        <v>37.799999999999997</v>
      </c>
      <c r="BT48" s="86">
        <f>_xlfn.RANK.EQ(BS48,BS$3:BS$10000,0)</f>
        <v>16</v>
      </c>
      <c r="BU48" s="87">
        <f>IFERROR(_xlfn.XLOOKUP(B48,'w12'!$B:$B,'w12'!$F:$F),1)</f>
        <v>0.37083333333333335</v>
      </c>
      <c r="BV48" s="86">
        <f>_xlfn.RANK.EQ(BU48,BU$3:BU$10000,1)</f>
        <v>71</v>
      </c>
      <c r="BW48" s="86">
        <f>IFERROR(IF(_xlfn.XLOOKUP(B48,'w12'!$B:$B,'w12'!$G:$G)="--",0,_xlfn.XLOOKUP(B48,'w12'!$B:$B,'w12'!$G:$G)),0)</f>
        <v>1220</v>
      </c>
      <c r="BX48" s="86">
        <f>_xlfn.RANK.EQ(BW48,BW$3:BW$10000,0)</f>
        <v>6</v>
      </c>
      <c r="BY48" s="89">
        <f>IFERROR(_xlfn.XLOOKUP(B48,'w13'!$B:$B,'w13'!$C:$C),0)</f>
        <v>27.7</v>
      </c>
      <c r="BZ48" s="92">
        <f>_xlfn.RANK.EQ(BY48,BY$3:BY$10000,0)</f>
        <v>27</v>
      </c>
      <c r="CA48" s="93">
        <f>IFERROR(_xlfn.XLOOKUP(B48,'w13'!$B:$B,'w13'!$F:$F),1)</f>
        <v>0.40625</v>
      </c>
      <c r="CB48" s="92">
        <f>_xlfn.RANK.EQ(CA48,CA$3:CA$10000,1)</f>
        <v>69</v>
      </c>
      <c r="CC48" s="92">
        <f>IFERROR(IF(_xlfn.XLOOKUP(B48,'w13'!$B:$B,'w13'!$G:$G)="--",0,_xlfn.XLOOKUP(B48,'w13'!$B:$B,'w13'!$G:$G)),0)</f>
        <v>1419</v>
      </c>
      <c r="CD48" s="92">
        <f>_xlfn.RANK.EQ(CC48,CC$3:CC$10000,0)</f>
        <v>8</v>
      </c>
      <c r="CE48" s="95">
        <f>IFERROR(_xlfn.XLOOKUP(B48,'w14'!$B:$B,'w14'!$C:$C),0)</f>
        <v>57.4</v>
      </c>
      <c r="CF48" s="98">
        <f>_xlfn.RANK.EQ(CE48,CE$3:CE$10000,0)</f>
        <v>10</v>
      </c>
      <c r="CG48" s="99">
        <f>IFERROR(_xlfn.XLOOKUP(B48,'w14'!$B:$B,'w14'!$F:$F),1)</f>
        <v>0.37569444444444444</v>
      </c>
      <c r="CH48" s="98">
        <f>_xlfn.RANK.EQ(CG48,CG$3:CG$10000,1)</f>
        <v>59</v>
      </c>
      <c r="CI48" s="98">
        <f>IFERROR(IF(_xlfn.XLOOKUP(B48,'w14'!$B:$B,'w14'!$G:$G)="--",0,_xlfn.XLOOKUP(B48,'w14'!$B:$B,'w14'!$G:$G)),0)</f>
        <v>2497</v>
      </c>
      <c r="CJ48" s="98">
        <f>_xlfn.RANK.EQ(CI48,CI$3:CI$10000,0)</f>
        <v>2</v>
      </c>
      <c r="CK48" s="9">
        <f>_xlfn.RANK.EQ(D48,D$3:D$10000,1)</f>
        <v>46</v>
      </c>
      <c r="CL48" s="26" t="s">
        <v>134</v>
      </c>
      <c r="CM48" s="8">
        <f>SUM(E48,K48,Q48,W48,AC48,AI48,AO48,AU48,BA48,BG48,BM48,BS48,BY48,CE48)</f>
        <v>293.79999999999995</v>
      </c>
      <c r="CN48" s="9">
        <f>_xlfn.RANK.EQ(CM48,CM$3:CM$10000)</f>
        <v>47</v>
      </c>
      <c r="CO48" s="15">
        <f>IFERROR(SUM(PRODUCT(E48,G48),PRODUCT(K48,M48),PRODUCT(Q48,S48),PRODUCT(W48,Y48),PRODUCT(AC48,AE48),PRODUCT(AI48,AK48),PRODUCT(AO48,AQ48),PRODUCT(AU48,AW48),PRODUCT(BA48,BC48),PRODUCT(BG48,BI48),PRODUCT(BM48,BO48),PRODUCT(BS48,BU48),PRODUCT(BY48,CA48),PRODUCT(CE48,CG48))/CM48,1)</f>
        <v>0.35880464790863026</v>
      </c>
      <c r="CP48" s="9">
        <f>_xlfn.RANK.EQ(CO48,CO$3:CO$10000,1)</f>
        <v>88</v>
      </c>
      <c r="CQ48" s="9">
        <f>SUM(I48,O48,U48,AA48,AG48,AM48,AS48,AY48,BE48,BK48,BQ48,BW48,CC48,CI48)</f>
        <v>11141</v>
      </c>
      <c r="CR48" s="9">
        <f>_xlfn.RANK.EQ(CQ48,CQ$3:CQ$10000)</f>
        <v>10</v>
      </c>
      <c r="CS48" s="23"/>
      <c r="CT48" s="25"/>
      <c r="CU48" s="24">
        <f>_xlfn.STDEV.S(F48,L48,R48,X48,AD48,AJ48,AP48,AV48,BB48,BH48,BN48,BT48,BZ48,CF48)</f>
        <v>23.476548972290448</v>
      </c>
      <c r="CV48" s="21">
        <f>_xlfn.RANK.EQ(CU48,CU$3:CU$10000,1)</f>
        <v>98</v>
      </c>
      <c r="CW48" s="24">
        <f>_xlfn.STDEV.S(H48,N48,T48,Z48,AF48,AL48,AR48,AX48,BD48,BJ48,BP48,BV48,CB48,CH48)</f>
        <v>14.022940388622398</v>
      </c>
      <c r="CX48" s="21">
        <f>_xlfn.RANK.EQ(CW48,CW$3:CW$10000,1)</f>
        <v>50</v>
      </c>
      <c r="CY48" s="24">
        <f>_xlfn.STDEV.S(J48,P48,V48,AB48,AH48,AN48,AT48,AZ48,BF48,BL48,BR48,BX48,CD48,CJ48)</f>
        <v>25.529556238960396</v>
      </c>
      <c r="CZ48" s="21">
        <f>_xlfn.RANK.EQ(CY48,CY$3:CY$10000,1)</f>
        <v>101</v>
      </c>
      <c r="DA48">
        <f>SUM(COUNTIF(E48,"&gt;0"),COUNTIF(K48,"&gt;0"),COUNTIF(Q48,"&gt;0"),COUNTIF(W48,"&gt;0"),COUNTIF(AC48,"&gt;0"),COUNTIF(AI48,"&gt;0"),COUNTIF(AO48,"&gt;0"),COUNTIF(AU48,"&gt;0"),COUNTIF(BA48,"&gt;0"),COUNTIF(BG48,"&gt;0"),COUNTIF(BM48,"&gt;0"),COUNTIF(BS48,"&gt;0"),COUNTIF(BY48,"&gt;0"),COUNTIF(CE48,"&gt;0"))</f>
        <v>12</v>
      </c>
    </row>
    <row r="49" spans="1:105" x14ac:dyDescent="0.3">
      <c r="B49" t="s">
        <v>45</v>
      </c>
      <c r="C49" s="18" t="s">
        <v>122</v>
      </c>
      <c r="D49" s="4">
        <f>CN49*$CN$1+CP49*$CP$1+CR49*$CR$1</f>
        <v>47.54999999999999</v>
      </c>
      <c r="E49" s="29">
        <f>IFERROR(_xlfn.XLOOKUP(B49,'w1'!$B:$B,'w1'!$C:$C),0)</f>
        <v>20.100000000000001</v>
      </c>
      <c r="F49" s="30">
        <f>_xlfn.RANK.EQ(E49,E$3:E$10000,0)</f>
        <v>42</v>
      </c>
      <c r="G49" s="31">
        <f>IFERROR(_xlfn.XLOOKUP(B49,'w1'!$B:$B,'w1'!$F:$F),1)</f>
        <v>0.37152777777777779</v>
      </c>
      <c r="H49" s="30">
        <f>_xlfn.RANK.EQ(G49,G$3:G$10000,1)</f>
        <v>71</v>
      </c>
      <c r="I49" s="30">
        <f>IFERROR(IF(_xlfn.XLOOKUP(B49,'w1'!$B:$B,'w1'!$G:$G)="--",0,_xlfn.XLOOKUP(B49,'w1'!$B:$B,'w1'!$G:$G)),0)</f>
        <v>121</v>
      </c>
      <c r="J49" s="30">
        <f>_xlfn.RANK.EQ(I49,I$3:I$10000,0)</f>
        <v>51</v>
      </c>
      <c r="K49" s="34">
        <f>IFERROR(_xlfn.XLOOKUP(B49,'w2'!$B:$B,'w2'!$C:$C),0)</f>
        <v>29.4</v>
      </c>
      <c r="L49" s="35">
        <f>_xlfn.RANK.EQ(K49,K$3:K$10000,0)</f>
        <v>29</v>
      </c>
      <c r="M49" s="36">
        <f>IFERROR(_xlfn.XLOOKUP(B49,'w2'!$B:$B,'w2'!$F:$F),1)</f>
        <v>0.36388888888888887</v>
      </c>
      <c r="N49" s="35">
        <f>_xlfn.RANK.EQ(M49,M$3:M$10000,1)</f>
        <v>66</v>
      </c>
      <c r="O49" s="35">
        <f>IFERROR(IF(_xlfn.XLOOKUP(B49,'w2'!$B:$B,'w2'!$G:$G)="--",0,_xlfn.XLOOKUP(B49,'w2'!$B:$B,'w2'!$G:$G)),0)</f>
        <v>144</v>
      </c>
      <c r="P49" s="35">
        <f>_xlfn.RANK.EQ(O49,O$3:O$10000,0)</f>
        <v>48</v>
      </c>
      <c r="Q49" s="39">
        <f>IFERROR(_xlfn.XLOOKUP(B49,'w3'!$B:$B,'w3'!$C:$C),0)</f>
        <v>19.7</v>
      </c>
      <c r="R49" s="40">
        <f>_xlfn.RANK.EQ(Q49,Q$3:Q$10000,0)</f>
        <v>48</v>
      </c>
      <c r="S49" s="41">
        <f>IFERROR(_xlfn.XLOOKUP(B49,'w3'!$B:$B,'w3'!$F:$F),1)</f>
        <v>0.36875000000000002</v>
      </c>
      <c r="T49" s="40">
        <f>_xlfn.RANK.EQ(S49,S$3:S$10000,1)</f>
        <v>74</v>
      </c>
      <c r="U49" s="40">
        <f>IFERROR(IF(_xlfn.XLOOKUP(B49,'w3'!$B:$B,'w3'!$G:$G)="--",0,_xlfn.XLOOKUP(B49,'w3'!$B:$B,'w3'!$G:$G)),0)</f>
        <v>116</v>
      </c>
      <c r="V49" s="40">
        <f>_xlfn.RANK.EQ(U49,U$3:U$10000,0)</f>
        <v>54</v>
      </c>
      <c r="W49" s="44">
        <f>IFERROR(_xlfn.XLOOKUP(B49,'w4'!$B:$B,'w4'!$C:$C),0)</f>
        <v>34.9</v>
      </c>
      <c r="X49" s="45">
        <f>_xlfn.RANK.EQ(W49,W$3:W$10000,0)</f>
        <v>20</v>
      </c>
      <c r="Y49" s="46">
        <f>IFERROR(_xlfn.XLOOKUP(B49,'w4'!$B:$B,'w4'!$F:$F),1)</f>
        <v>0.36666666666666664</v>
      </c>
      <c r="Z49" s="45">
        <f>_xlfn.RANK.EQ(Y49,Y$3:Y$10000,1)</f>
        <v>67</v>
      </c>
      <c r="AA49" s="45">
        <f>IFERROR(IF(_xlfn.XLOOKUP(B49,'w4'!$B:$B,'w4'!$G:$G)="--",0,_xlfn.XLOOKUP(B49,'w4'!$B:$B,'w4'!$G:$G)),0)</f>
        <v>206</v>
      </c>
      <c r="AB49" s="45">
        <f>_xlfn.RANK.EQ(AA49,AA$3:AA$10000,0)</f>
        <v>35</v>
      </c>
      <c r="AC49" s="13">
        <f>IFERROR(_xlfn.XLOOKUP(B49,'w5'!$B:$B,'w5'!$C:$C),0)</f>
        <v>32.299999999999997</v>
      </c>
      <c r="AD49" s="12">
        <f>_xlfn.RANK.EQ(AC49,AC$3:AC$10000,0)</f>
        <v>33</v>
      </c>
      <c r="AE49" s="14">
        <f>IFERROR(_xlfn.XLOOKUP(B49,'w5'!$B:$B,'w5'!$F:$F),1)</f>
        <v>0.37569444444444444</v>
      </c>
      <c r="AF49" s="12">
        <f>_xlfn.RANK.EQ(AE49,AE$3:AE$10000,1)</f>
        <v>62</v>
      </c>
      <c r="AG49" s="12">
        <f>IFERROR(IF(_xlfn.XLOOKUP(B49,'w5'!$B:$B,'w5'!$G:$G)="--",0,_xlfn.XLOOKUP(B49,'w5'!$B:$B,'w5'!$G:$G)),0)</f>
        <v>180</v>
      </c>
      <c r="AH49" s="12">
        <f>_xlfn.RANK.EQ(AG49,AG$3:AG$10000,0)</f>
        <v>48</v>
      </c>
      <c r="AI49" s="51">
        <f>IFERROR(_xlfn.XLOOKUP(B49,'w6'!$B:$B,'w6'!$C:$C),0)</f>
        <v>30.5</v>
      </c>
      <c r="AJ49" s="50">
        <f>_xlfn.RANK.EQ(AI49,AI$3:AI$10000,0)</f>
        <v>17</v>
      </c>
      <c r="AK49" s="52">
        <f>IFERROR(_xlfn.XLOOKUP(B49,'w6'!$B:$B,'w6'!$F:$F),1)</f>
        <v>0.36388888888888887</v>
      </c>
      <c r="AL49" s="50">
        <f>_xlfn.RANK.EQ(AK49,AK$3:AK$10000,1)</f>
        <v>55</v>
      </c>
      <c r="AM49" s="50">
        <f>IFERROR(IF(_xlfn.XLOOKUP(B49,'w6'!$B:$B,'w6'!$G:$G)="--",0,_xlfn.XLOOKUP(B49,'w6'!$B:$B,'w6'!$G:$G)),0)</f>
        <v>238</v>
      </c>
      <c r="AN49" s="50">
        <f>_xlfn.RANK.EQ(AM49,AM$3:AM$10000,0)</f>
        <v>32</v>
      </c>
      <c r="AO49" s="56">
        <f>IFERROR(_xlfn.XLOOKUP(B49,'w7'!$B:$B,'w7'!$C:$C),0)</f>
        <v>21.4</v>
      </c>
      <c r="AP49" s="57">
        <f>_xlfn.RANK.EQ(AO49,AO$3:AO$10000,0)</f>
        <v>36</v>
      </c>
      <c r="AQ49" s="58">
        <f>IFERROR(_xlfn.XLOOKUP(B49,'w7'!$B:$B,'w7'!$F:$F),1)</f>
        <v>0.36319444444444443</v>
      </c>
      <c r="AR49" s="57">
        <f>_xlfn.RANK.EQ(AQ49,AQ$3:AQ$10000,1)</f>
        <v>56</v>
      </c>
      <c r="AS49" s="57">
        <f>IFERROR(IF(_xlfn.XLOOKUP(B49,'w7'!$B:$B,'w7'!$G:$G)="--",0,_xlfn.XLOOKUP(B49,'w7'!$B:$B,'w7'!$G:$G)),0)</f>
        <v>20</v>
      </c>
      <c r="AT49" s="57">
        <f>_xlfn.RANK.EQ(AS49,AS$3:AS$10000,0)</f>
        <v>66</v>
      </c>
      <c r="AU49" s="62">
        <f>IFERROR(_xlfn.XLOOKUP(B49,'w8'!$B:$B,'w8'!$C:$C),0)</f>
        <v>20.5</v>
      </c>
      <c r="AV49" s="61">
        <f>_xlfn.RANK.EQ(AU49,AU$3:AU$10000,0)</f>
        <v>49</v>
      </c>
      <c r="AW49" s="63">
        <f>IFERROR(_xlfn.XLOOKUP(B49,'w8'!$B:$B,'w8'!$F:$F),1)</f>
        <v>0.36180555555555555</v>
      </c>
      <c r="AX49" s="61">
        <f>_xlfn.RANK.EQ(AW49,AW$3:AW$10000,1)</f>
        <v>63</v>
      </c>
      <c r="AY49" s="61">
        <f>IFERROR(IF(_xlfn.XLOOKUP(B49,'w8'!$B:$B,'w8'!$G:$G)="--",0,_xlfn.XLOOKUP(B49,'w8'!$B:$B,'w8'!$G:$G)),0)</f>
        <v>157</v>
      </c>
      <c r="AZ49" s="61">
        <f>_xlfn.RANK.EQ(AY49,AY$3:AY$10000,0)</f>
        <v>45</v>
      </c>
      <c r="BA49" s="66">
        <f>IFERROR(_xlfn.XLOOKUP(C49,'w9'!$B:$B,'w9'!$C:$C),0)</f>
        <v>29.5</v>
      </c>
      <c r="BB49" s="67">
        <f>_xlfn.RANK.EQ(BA49,BA$3:BA$10000,0)</f>
        <v>38</v>
      </c>
      <c r="BC49" s="68">
        <f>IFERROR(_xlfn.XLOOKUP(C49,'w9'!$B:$B,'w9'!$F:$F),1)</f>
        <v>0.36041666666666666</v>
      </c>
      <c r="BD49" s="67">
        <f>_xlfn.RANK.EQ(BC49,BC$3:BC$10000,1)</f>
        <v>65</v>
      </c>
      <c r="BE49" s="67">
        <f>IFERROR(IF(_xlfn.XLOOKUP(C49,'w9'!$B:$B,'w9'!$G:$G)="--",0,_xlfn.XLOOKUP(C49,'w9'!$B:$B,'w9'!$G:$G)),0)</f>
        <v>164</v>
      </c>
      <c r="BF49" s="67">
        <f>_xlfn.RANK.EQ(BE49,BE$3:BE$10000,0)</f>
        <v>56</v>
      </c>
      <c r="BG49" s="72">
        <f>IFERROR(_xlfn.XLOOKUP(B49,'w10'!$B:$B,'w10'!$C:$C),0)</f>
        <v>0</v>
      </c>
      <c r="BH49" s="74">
        <f>_xlfn.RANK.EQ(BG49,BG$3:BG$10000,0)</f>
        <v>77</v>
      </c>
      <c r="BI49" s="75">
        <f>IFERROR(_xlfn.XLOOKUP(B49,'w10'!$B:$B,'w10'!$F:$F),1)</f>
        <v>1</v>
      </c>
      <c r="BJ49" s="74">
        <f>_xlfn.RANK.EQ(BI49,BI$3:BI$10000,1)</f>
        <v>76</v>
      </c>
      <c r="BK49" s="74">
        <f>IFERROR(IF(_xlfn.XLOOKUP(B49,'w10'!$B:$B,'w10'!$G:$G)="--",0,_xlfn.XLOOKUP(B49,'w10'!$B:$B,'w10'!$G:$G)),0)</f>
        <v>0</v>
      </c>
      <c r="BL49" s="74">
        <f>_xlfn.RANK.EQ(BK49,BK$3:BK$10000,0)</f>
        <v>76</v>
      </c>
      <c r="BM49" s="78">
        <f>IFERROR(_xlfn.XLOOKUP(B49,'w11'!$B:$B,'w11'!$C:$C),0)</f>
        <v>20.3</v>
      </c>
      <c r="BN49" s="80">
        <f>_xlfn.RANK.EQ(BM49,BM$3:BM$10000,0)</f>
        <v>42</v>
      </c>
      <c r="BO49" s="81">
        <f>IFERROR(_xlfn.XLOOKUP(B49,'w11'!$B:$B,'w11'!$F:$F),1)</f>
        <v>0.37083333333333335</v>
      </c>
      <c r="BP49" s="80">
        <f>_xlfn.RANK.EQ(BO49,BO$3:BO$10000,1)</f>
        <v>67</v>
      </c>
      <c r="BQ49" s="80">
        <f>IFERROR(IF(_xlfn.XLOOKUP(B49,'w11'!$B:$B,'w11'!$G:$G)="--",0,_xlfn.XLOOKUP(B49,'w11'!$B:$B,'w11'!$G:$G)),0)</f>
        <v>83</v>
      </c>
      <c r="BR49" s="80">
        <f>_xlfn.RANK.EQ(BQ49,BQ$3:BQ$10000,0)</f>
        <v>63</v>
      </c>
      <c r="BS49" s="83">
        <f>IFERROR(_xlfn.XLOOKUP(B49,'w12'!$B:$B,'w12'!$C:$C),0)</f>
        <v>20.3</v>
      </c>
      <c r="BT49" s="86">
        <f>_xlfn.RANK.EQ(BS49,BS$3:BS$10000,0)</f>
        <v>35</v>
      </c>
      <c r="BU49" s="87">
        <f>IFERROR(_xlfn.XLOOKUP(B49,'w12'!$B:$B,'w12'!$F:$F),1)</f>
        <v>0.36805555555555558</v>
      </c>
      <c r="BV49" s="86">
        <f>_xlfn.RANK.EQ(BU49,BU$3:BU$10000,1)</f>
        <v>69</v>
      </c>
      <c r="BW49" s="86">
        <f>IFERROR(IF(_xlfn.XLOOKUP(B49,'w12'!$B:$B,'w12'!$G:$G)="--",0,_xlfn.XLOOKUP(B49,'w12'!$B:$B,'w12'!$G:$G)),0)</f>
        <v>97</v>
      </c>
      <c r="BX49" s="86">
        <f>_xlfn.RANK.EQ(BW49,BW$3:BW$10000,0)</f>
        <v>55</v>
      </c>
      <c r="BY49" s="89">
        <f>IFERROR(_xlfn.XLOOKUP(B49,'w13'!$B:$B,'w13'!$C:$C),0)</f>
        <v>9.6</v>
      </c>
      <c r="BZ49" s="92">
        <f>_xlfn.RANK.EQ(BY49,BY$3:BY$10000,0)</f>
        <v>66</v>
      </c>
      <c r="CA49" s="93">
        <f>IFERROR(_xlfn.XLOOKUP(B49,'w13'!$B:$B,'w13'!$F:$F),1)</f>
        <v>0.35902777777777778</v>
      </c>
      <c r="CB49" s="92">
        <f>_xlfn.RANK.EQ(CA49,CA$3:CA$10000,1)</f>
        <v>60</v>
      </c>
      <c r="CC49" s="92">
        <f>IFERROR(IF(_xlfn.XLOOKUP(B49,'w13'!$B:$B,'w13'!$G:$G)="--",0,_xlfn.XLOOKUP(B49,'w13'!$B:$B,'w13'!$G:$G)),0)</f>
        <v>36</v>
      </c>
      <c r="CD49" s="92">
        <f>_xlfn.RANK.EQ(CC49,CC$3:CC$10000,0)</f>
        <v>69</v>
      </c>
      <c r="CE49" s="95">
        <f>IFERROR(_xlfn.XLOOKUP(B49,'w14'!$B:$B,'w14'!$C:$C),0)</f>
        <v>10.199999999999999</v>
      </c>
      <c r="CF49" s="98">
        <f>_xlfn.RANK.EQ(CE49,CE$3:CE$10000,0)</f>
        <v>55</v>
      </c>
      <c r="CG49" s="99">
        <f>IFERROR(_xlfn.XLOOKUP(B49,'w14'!$B:$B,'w14'!$F:$F),1)</f>
        <v>0.36388888888888887</v>
      </c>
      <c r="CH49" s="98">
        <f>_xlfn.RANK.EQ(CG49,CG$3:CG$10000,1)</f>
        <v>57</v>
      </c>
      <c r="CI49" s="98">
        <f>IFERROR(IF(_xlfn.XLOOKUP(B49,'w14'!$B:$B,'w14'!$G:$G)="--",0,_xlfn.XLOOKUP(B49,'w14'!$B:$B,'w14'!$G:$G)),0)</f>
        <v>76</v>
      </c>
      <c r="CJ49" s="98">
        <f>_xlfn.RANK.EQ(CI49,CI$3:CI$10000,0)</f>
        <v>53</v>
      </c>
      <c r="CK49" s="9">
        <f>_xlfn.RANK.EQ(D49,D$3:D$10000,1)</f>
        <v>47</v>
      </c>
      <c r="CL49" s="26" t="s">
        <v>122</v>
      </c>
      <c r="CM49" s="8">
        <f>SUM(E49,K49,Q49,W49,AC49,AI49,AO49,AU49,BA49,BG49,BM49,BS49,BY49,CE49)</f>
        <v>298.7</v>
      </c>
      <c r="CN49" s="9">
        <f>_xlfn.RANK.EQ(CM49,CM$3:CM$10000)</f>
        <v>46</v>
      </c>
      <c r="CO49" s="15">
        <f>IFERROR(SUM(PRODUCT(E49,G49),PRODUCT(K49,M49),PRODUCT(Q49,S49),PRODUCT(W49,Y49),PRODUCT(AC49,AE49),PRODUCT(AI49,AK49),PRODUCT(AO49,AQ49),PRODUCT(AU49,AW49),PRODUCT(BA49,BC49),PRODUCT(BG49,BI49),PRODUCT(BM49,BO49),PRODUCT(BS49,BU49),PRODUCT(BY49,CA49),PRODUCT(CE49,CG49))/CM49,1)</f>
        <v>0.36638791243536817</v>
      </c>
      <c r="CP49" s="9">
        <f>_xlfn.RANK.EQ(CO49,CO$3:CO$10000,1)</f>
        <v>92</v>
      </c>
      <c r="CQ49" s="9">
        <f>SUM(I49,O49,U49,AA49,AG49,AM49,AS49,AY49,BE49,BK49,BQ49,BW49,CC49,CI49)</f>
        <v>1638</v>
      </c>
      <c r="CR49" s="9">
        <f>_xlfn.RANK.EQ(CQ49,CQ$3:CQ$10000)</f>
        <v>62</v>
      </c>
      <c r="CS49" s="23"/>
      <c r="CT49" s="25"/>
      <c r="CU49" s="24">
        <f>_xlfn.STDEV.S(F49,L49,R49,X49,AD49,AJ49,AP49,AV49,BB49,BH49,BN49,BT49,BZ49,CF49)</f>
        <v>16.443208959297479</v>
      </c>
      <c r="CV49" s="21">
        <f>_xlfn.RANK.EQ(CU49,CU$3:CU$10000,1)</f>
        <v>64</v>
      </c>
      <c r="CW49" s="24">
        <f>_xlfn.STDEV.S(H49,N49,T49,Z49,AF49,AL49,AR49,AX49,BD49,BJ49,BP49,BV49,CB49,CH49)</f>
        <v>6.4790448353149994</v>
      </c>
      <c r="CX49" s="21">
        <f>_xlfn.RANK.EQ(CW49,CW$3:CW$10000,1)</f>
        <v>11</v>
      </c>
      <c r="CY49" s="24">
        <f>_xlfn.STDEV.S(J49,P49,V49,AB49,AH49,AN49,AT49,AZ49,BF49,BL49,BR49,BX49,CD49,CJ49)</f>
        <v>12.23241056095927</v>
      </c>
      <c r="CZ49" s="21">
        <f>_xlfn.RANK.EQ(CY49,CY$3:CY$10000,1)</f>
        <v>35</v>
      </c>
      <c r="DA49">
        <f>SUM(COUNTIF(E49,"&gt;0"),COUNTIF(K49,"&gt;0"),COUNTIF(Q49,"&gt;0"),COUNTIF(W49,"&gt;0"),COUNTIF(AC49,"&gt;0"),COUNTIF(AI49,"&gt;0"),COUNTIF(AO49,"&gt;0"),COUNTIF(AU49,"&gt;0"),COUNTIF(BA49,"&gt;0"),COUNTIF(BG49,"&gt;0"),COUNTIF(BM49,"&gt;0"),COUNTIF(BS49,"&gt;0"),COUNTIF(BY49,"&gt;0"),COUNTIF(CE49,"&gt;0"))</f>
        <v>13</v>
      </c>
    </row>
    <row r="50" spans="1:105" x14ac:dyDescent="0.3">
      <c r="B50" t="s">
        <v>40</v>
      </c>
      <c r="C50" s="18" t="s">
        <v>118</v>
      </c>
      <c r="D50" s="4">
        <f>CN50*$CN$1+CP50*$CP$1+CR50*$CR$1</f>
        <v>47.774999999999991</v>
      </c>
      <c r="E50" s="29">
        <f>IFERROR(_xlfn.XLOOKUP(B50,'w1'!$B:$B,'w1'!$C:$C),0)</f>
        <v>22.8</v>
      </c>
      <c r="F50" s="30">
        <f>_xlfn.RANK.EQ(E50,E$3:E$10000,0)</f>
        <v>37</v>
      </c>
      <c r="G50" s="31">
        <f>IFERROR(_xlfn.XLOOKUP(B50,'w1'!$B:$B,'w1'!$F:$F),1)</f>
        <v>0.27777777777777779</v>
      </c>
      <c r="H50" s="30">
        <f>_xlfn.RANK.EQ(G50,G$3:G$10000,1)</f>
        <v>44</v>
      </c>
      <c r="I50" s="30">
        <f>IFERROR(IF(_xlfn.XLOOKUP(B50,'w1'!$B:$B,'w1'!$G:$G)="--",0,_xlfn.XLOOKUP(B50,'w1'!$B:$B,'w1'!$G:$G)),0)</f>
        <v>276</v>
      </c>
      <c r="J50" s="30">
        <f>_xlfn.RANK.EQ(I50,I$3:I$10000,0)</f>
        <v>33</v>
      </c>
      <c r="K50" s="34">
        <f>IFERROR(_xlfn.XLOOKUP(B50,'w2'!$B:$B,'w2'!$C:$C),0)</f>
        <v>28.7</v>
      </c>
      <c r="L50" s="35">
        <f>_xlfn.RANK.EQ(K50,K$3:K$10000,0)</f>
        <v>30</v>
      </c>
      <c r="M50" s="36">
        <f>IFERROR(_xlfn.XLOOKUP(B50,'w2'!$B:$B,'w2'!$F:$F),1)</f>
        <v>0.28680555555555554</v>
      </c>
      <c r="N50" s="35">
        <f>_xlfn.RANK.EQ(M50,M$3:M$10000,1)</f>
        <v>41</v>
      </c>
      <c r="O50" s="35">
        <f>IFERROR(IF(_xlfn.XLOOKUP(B50,'w2'!$B:$B,'w2'!$G:$G)="--",0,_xlfn.XLOOKUP(B50,'w2'!$B:$B,'w2'!$G:$G)),0)</f>
        <v>576</v>
      </c>
      <c r="P50" s="35">
        <f>_xlfn.RANK.EQ(O50,O$3:O$10000,0)</f>
        <v>14</v>
      </c>
      <c r="Q50" s="39">
        <f>IFERROR(_xlfn.XLOOKUP(B50,'w3'!$B:$B,'w3'!$C:$C),0)</f>
        <v>25.3</v>
      </c>
      <c r="R50" s="40">
        <f>_xlfn.RANK.EQ(Q50,Q$3:Q$10000,0)</f>
        <v>36</v>
      </c>
      <c r="S50" s="41">
        <f>IFERROR(_xlfn.XLOOKUP(B50,'w3'!$B:$B,'w3'!$F:$F),1)</f>
        <v>0.26041666666666669</v>
      </c>
      <c r="T50" s="40">
        <f>_xlfn.RANK.EQ(S50,S$3:S$10000,1)</f>
        <v>29</v>
      </c>
      <c r="U50" s="40">
        <f>IFERROR(IF(_xlfn.XLOOKUP(B50,'w3'!$B:$B,'w3'!$G:$G)="--",0,_xlfn.XLOOKUP(B50,'w3'!$B:$B,'w3'!$G:$G)),0)</f>
        <v>263</v>
      </c>
      <c r="V50" s="40">
        <f>_xlfn.RANK.EQ(U50,U$3:U$10000,0)</f>
        <v>29</v>
      </c>
      <c r="W50" s="44">
        <f>IFERROR(_xlfn.XLOOKUP(B50,'w4'!$B:$B,'w4'!$C:$C),0)</f>
        <v>25.1</v>
      </c>
      <c r="X50" s="45">
        <f>_xlfn.RANK.EQ(W50,W$3:W$10000,0)</f>
        <v>36</v>
      </c>
      <c r="Y50" s="46">
        <f>IFERROR(_xlfn.XLOOKUP(B50,'w4'!$B:$B,'w4'!$F:$F),1)</f>
        <v>0.26458333333333334</v>
      </c>
      <c r="Z50" s="45">
        <f>_xlfn.RANK.EQ(Y50,Y$3:Y$10000,1)</f>
        <v>33</v>
      </c>
      <c r="AA50" s="45">
        <f>IFERROR(IF(_xlfn.XLOOKUP(B50,'w4'!$B:$B,'w4'!$G:$G)="--",0,_xlfn.XLOOKUP(B50,'w4'!$B:$B,'w4'!$G:$G)),0)</f>
        <v>88</v>
      </c>
      <c r="AB50" s="45">
        <f>_xlfn.RANK.EQ(AA50,AA$3:AA$10000,0)</f>
        <v>50</v>
      </c>
      <c r="AC50" s="13">
        <f>IFERROR(_xlfn.XLOOKUP(B50,'w5'!$B:$B,'w5'!$C:$C),0)</f>
        <v>26.8</v>
      </c>
      <c r="AD50" s="12">
        <f>_xlfn.RANK.EQ(AC50,AC$3:AC$10000,0)</f>
        <v>43</v>
      </c>
      <c r="AE50" s="14">
        <f>IFERROR(_xlfn.XLOOKUP(B50,'w5'!$B:$B,'w5'!$F:$F),1)</f>
        <v>0.26805555555555555</v>
      </c>
      <c r="AF50" s="12">
        <f>_xlfn.RANK.EQ(AE50,AE$3:AE$10000,1)</f>
        <v>31</v>
      </c>
      <c r="AG50" s="12">
        <f>IFERROR(IF(_xlfn.XLOOKUP(B50,'w5'!$B:$B,'w5'!$G:$G)="--",0,_xlfn.XLOOKUP(B50,'w5'!$B:$B,'w5'!$G:$G)),0)</f>
        <v>196</v>
      </c>
      <c r="AH50" s="12">
        <f>_xlfn.RANK.EQ(AG50,AG$3:AG$10000,0)</f>
        <v>44</v>
      </c>
      <c r="AI50" s="51">
        <f>IFERROR(_xlfn.XLOOKUP(B50,'w6'!$B:$B,'w6'!$C:$C),0)</f>
        <v>2.7</v>
      </c>
      <c r="AJ50" s="50">
        <f>_xlfn.RANK.EQ(AI50,AI$3:AI$10000,0)</f>
        <v>64</v>
      </c>
      <c r="AK50" s="52">
        <f>IFERROR(_xlfn.XLOOKUP(B50,'w6'!$B:$B,'w6'!$F:$F),1)</f>
        <v>0.2590277777777778</v>
      </c>
      <c r="AL50" s="50">
        <f>_xlfn.RANK.EQ(AK50,AK$3:AK$10000,1)</f>
        <v>20</v>
      </c>
      <c r="AM50" s="50">
        <f>IFERROR(IF(_xlfn.XLOOKUP(B50,'w6'!$B:$B,'w6'!$G:$G)="--",0,_xlfn.XLOOKUP(B50,'w6'!$B:$B,'w6'!$G:$G)),0)</f>
        <v>37</v>
      </c>
      <c r="AN50" s="50">
        <f>_xlfn.RANK.EQ(AM50,AM$3:AM$10000,0)</f>
        <v>59</v>
      </c>
      <c r="AO50" s="56">
        <f>IFERROR(_xlfn.XLOOKUP(B50,'w7'!$B:$B,'w7'!$C:$C),0)</f>
        <v>19</v>
      </c>
      <c r="AP50" s="57">
        <f>_xlfn.RANK.EQ(AO50,AO$3:AO$10000,0)</f>
        <v>41</v>
      </c>
      <c r="AQ50" s="58">
        <f>IFERROR(_xlfn.XLOOKUP(B50,'w7'!$B:$B,'w7'!$F:$F),1)</f>
        <v>0.44444444444444442</v>
      </c>
      <c r="AR50" s="57">
        <f>_xlfn.RANK.EQ(AQ50,AQ$3:AQ$10000,1)</f>
        <v>67</v>
      </c>
      <c r="AS50" s="57">
        <f>IFERROR(IF(_xlfn.XLOOKUP(B50,'w7'!$B:$B,'w7'!$G:$G)="--",0,_xlfn.XLOOKUP(B50,'w7'!$B:$B,'w7'!$G:$G)),0)</f>
        <v>1052</v>
      </c>
      <c r="AT50" s="57">
        <f>_xlfn.RANK.EQ(AS50,AS$3:AS$10000,0)</f>
        <v>15</v>
      </c>
      <c r="AU50" s="62">
        <f>IFERROR(_xlfn.XLOOKUP(B50,'w8'!$B:$B,'w8'!$C:$C),0)</f>
        <v>8</v>
      </c>
      <c r="AV50" s="61">
        <f>_xlfn.RANK.EQ(AU50,AU$3:AU$10000,0)</f>
        <v>63</v>
      </c>
      <c r="AW50" s="63">
        <f>IFERROR(_xlfn.XLOOKUP(B50,'w8'!$B:$B,'w8'!$F:$F),1)</f>
        <v>0.25347222222222221</v>
      </c>
      <c r="AX50" s="61">
        <f>_xlfn.RANK.EQ(AW50,AW$3:AW$10000,1)</f>
        <v>15</v>
      </c>
      <c r="AY50" s="61">
        <f>IFERROR(IF(_xlfn.XLOOKUP(B50,'w8'!$B:$B,'w8'!$G:$G)="--",0,_xlfn.XLOOKUP(B50,'w8'!$B:$B,'w8'!$G:$G)),0)</f>
        <v>50</v>
      </c>
      <c r="AZ50" s="61">
        <f>_xlfn.RANK.EQ(AY50,AY$3:AY$10000,0)</f>
        <v>58</v>
      </c>
      <c r="BA50" s="66">
        <f>IFERROR(_xlfn.XLOOKUP(C50,'w9'!$B:$B,'w9'!$C:$C),0)</f>
        <v>26.7</v>
      </c>
      <c r="BB50" s="67">
        <f>_xlfn.RANK.EQ(BA50,BA$3:BA$10000,0)</f>
        <v>41</v>
      </c>
      <c r="BC50" s="68">
        <f>IFERROR(_xlfn.XLOOKUP(C50,'w9'!$B:$B,'w9'!$F:$F),1)</f>
        <v>0.26874999999999999</v>
      </c>
      <c r="BD50" s="67">
        <f>_xlfn.RANK.EQ(BC50,BC$3:BC$10000,1)</f>
        <v>24</v>
      </c>
      <c r="BE50" s="67">
        <f>IFERROR(IF(_xlfn.XLOOKUP(C50,'w9'!$B:$B,'w9'!$G:$G)="--",0,_xlfn.XLOOKUP(C50,'w9'!$B:$B,'w9'!$G:$G)),0)</f>
        <v>305</v>
      </c>
      <c r="BF50" s="67">
        <f>_xlfn.RANK.EQ(BE50,BE$3:BE$10000,0)</f>
        <v>44</v>
      </c>
      <c r="BG50" s="72">
        <f>IFERROR(_xlfn.XLOOKUP(B50,'w10'!$B:$B,'w10'!$C:$C),0)</f>
        <v>15.3</v>
      </c>
      <c r="BH50" s="74">
        <f>_xlfn.RANK.EQ(BG50,BG$3:BG$10000,0)</f>
        <v>52</v>
      </c>
      <c r="BI50" s="75">
        <f>IFERROR(_xlfn.XLOOKUP(B50,'w10'!$B:$B,'w10'!$F:$F),1)</f>
        <v>0.2590277777777778</v>
      </c>
      <c r="BJ50" s="74">
        <f>_xlfn.RANK.EQ(BI50,BI$3:BI$10000,1)</f>
        <v>26</v>
      </c>
      <c r="BK50" s="74">
        <f>IFERROR(IF(_xlfn.XLOOKUP(B50,'w10'!$B:$B,'w10'!$G:$G)="--",0,_xlfn.XLOOKUP(B50,'w10'!$B:$B,'w10'!$G:$G)),0)</f>
        <v>193</v>
      </c>
      <c r="BL50" s="74">
        <f>_xlfn.RANK.EQ(BK50,BK$3:BK$10000,0)</f>
        <v>34</v>
      </c>
      <c r="BM50" s="78">
        <f>IFERROR(_xlfn.XLOOKUP(B50,'w11'!$B:$B,'w11'!$C:$C),0)</f>
        <v>18.2</v>
      </c>
      <c r="BN50" s="80">
        <f>_xlfn.RANK.EQ(BM50,BM$3:BM$10000,0)</f>
        <v>48</v>
      </c>
      <c r="BO50" s="81">
        <f>IFERROR(_xlfn.XLOOKUP(B50,'w11'!$B:$B,'w11'!$F:$F),1)</f>
        <v>0.25208333333333333</v>
      </c>
      <c r="BP50" s="80">
        <f>_xlfn.RANK.EQ(BO50,BO$3:BO$10000,1)</f>
        <v>21</v>
      </c>
      <c r="BQ50" s="80">
        <f>IFERROR(IF(_xlfn.XLOOKUP(B50,'w11'!$B:$B,'w11'!$G:$G)="--",0,_xlfn.XLOOKUP(B50,'w11'!$B:$B,'w11'!$G:$G)),0)</f>
        <v>133</v>
      </c>
      <c r="BR50" s="80">
        <f>_xlfn.RANK.EQ(BQ50,BQ$3:BQ$10000,0)</f>
        <v>50</v>
      </c>
      <c r="BS50" s="83">
        <f>IFERROR(_xlfn.XLOOKUP(B50,'w12'!$B:$B,'w12'!$C:$C),0)</f>
        <v>18</v>
      </c>
      <c r="BT50" s="86">
        <f>_xlfn.RANK.EQ(BS50,BS$3:BS$10000,0)</f>
        <v>41</v>
      </c>
      <c r="BU50" s="87">
        <f>IFERROR(_xlfn.XLOOKUP(B50,'w12'!$B:$B,'w12'!$F:$F),1)</f>
        <v>0.28263888888888888</v>
      </c>
      <c r="BV50" s="86">
        <f>_xlfn.RANK.EQ(BU50,BU$3:BU$10000,1)</f>
        <v>41</v>
      </c>
      <c r="BW50" s="86">
        <f>IFERROR(IF(_xlfn.XLOOKUP(B50,'w12'!$B:$B,'w12'!$G:$G)="--",0,_xlfn.XLOOKUP(B50,'w12'!$B:$B,'w12'!$G:$G)),0)</f>
        <v>233</v>
      </c>
      <c r="BX50" s="86">
        <f>_xlfn.RANK.EQ(BW50,BW$3:BW$10000,0)</f>
        <v>31</v>
      </c>
      <c r="BY50" s="89">
        <f>IFERROR(_xlfn.XLOOKUP(B50,'w13'!$B:$B,'w13'!$C:$C),0)</f>
        <v>16.5</v>
      </c>
      <c r="BZ50" s="92">
        <f>_xlfn.RANK.EQ(BY50,BY$3:BY$10000,0)</f>
        <v>51</v>
      </c>
      <c r="CA50" s="93">
        <f>IFERROR(_xlfn.XLOOKUP(B50,'w13'!$B:$B,'w13'!$F:$F),1)</f>
        <v>0.24305555555555555</v>
      </c>
      <c r="CB50" s="92">
        <f>_xlfn.RANK.EQ(CA50,CA$3:CA$10000,1)</f>
        <v>19</v>
      </c>
      <c r="CC50" s="92">
        <f>IFERROR(IF(_xlfn.XLOOKUP(B50,'w13'!$B:$B,'w13'!$G:$G)="--",0,_xlfn.XLOOKUP(B50,'w13'!$B:$B,'w13'!$G:$G)),0)</f>
        <v>76</v>
      </c>
      <c r="CD50" s="92">
        <f>_xlfn.RANK.EQ(CC50,CC$3:CC$10000,0)</f>
        <v>59</v>
      </c>
      <c r="CE50" s="95">
        <f>IFERROR(_xlfn.XLOOKUP(B50,'w14'!$B:$B,'w14'!$C:$C),0)</f>
        <v>39.299999999999997</v>
      </c>
      <c r="CF50" s="98">
        <f>_xlfn.RANK.EQ(CE50,CE$3:CE$10000,0)</f>
        <v>21</v>
      </c>
      <c r="CG50" s="99">
        <f>IFERROR(_xlfn.XLOOKUP(B50,'w14'!$B:$B,'w14'!$F:$F),1)</f>
        <v>0.45208333333333334</v>
      </c>
      <c r="CH50" s="98">
        <f>_xlfn.RANK.EQ(CG50,CG$3:CG$10000,1)</f>
        <v>64</v>
      </c>
      <c r="CI50" s="98">
        <f>IFERROR(IF(_xlfn.XLOOKUP(B50,'w14'!$B:$B,'w14'!$G:$G)="--",0,_xlfn.XLOOKUP(B50,'w14'!$B:$B,'w14'!$G:$G)),0)</f>
        <v>1128</v>
      </c>
      <c r="CJ50" s="98">
        <f>_xlfn.RANK.EQ(CI50,CI$3:CI$10000,0)</f>
        <v>9</v>
      </c>
      <c r="CK50" s="9">
        <f>_xlfn.RANK.EQ(D50,D$3:D$10000,1)</f>
        <v>48</v>
      </c>
      <c r="CL50" s="26" t="s">
        <v>118</v>
      </c>
      <c r="CM50" s="8">
        <f>SUM(E50,K50,Q50,W50,AC50,AI50,AO50,AU50,BA50,BG50,BM50,BS50,BY50,CE50)</f>
        <v>292.39999999999998</v>
      </c>
      <c r="CN50" s="9">
        <f>_xlfn.RANK.EQ(CM50,CM$3:CM$10000)</f>
        <v>48</v>
      </c>
      <c r="CO50" s="15">
        <f>IFERROR(SUM(PRODUCT(E50,G50),PRODUCT(K50,M50),PRODUCT(Q50,S50),PRODUCT(W50,Y50),PRODUCT(AC50,AE50),PRODUCT(AI50,AK50),PRODUCT(AO50,AQ50),PRODUCT(AU50,AW50),PRODUCT(BA50,BC50),PRODUCT(BG50,BI50),PRODUCT(BM50,BO50),PRODUCT(BS50,BU50),PRODUCT(BY50,CA50),PRODUCT(CE50,CG50))/CM50,1)</f>
        <v>0.30349240956072354</v>
      </c>
      <c r="CP50" s="9">
        <f>_xlfn.RANK.EQ(CO50,CO$3:CO$10000,1)</f>
        <v>60</v>
      </c>
      <c r="CQ50" s="9">
        <f>SUM(I50,O50,U50,AA50,AG50,AM50,AS50,AY50,BE50,BK50,BQ50,BW50,CC50,CI50)</f>
        <v>4606</v>
      </c>
      <c r="CR50" s="9">
        <f>_xlfn.RANK.EQ(CQ50,CQ$3:CQ$10000)</f>
        <v>27</v>
      </c>
      <c r="CS50" s="23"/>
      <c r="CT50" s="25"/>
      <c r="CU50" s="24">
        <f>_xlfn.STDEV.S(F50,L50,R50,X50,AD50,AJ50,AP50,AV50,BB50,BH50,BN50,BT50,BZ50,CF50)</f>
        <v>11.798677519484599</v>
      </c>
      <c r="CV50" s="21">
        <f>_xlfn.RANK.EQ(CU50,CU$3:CU$10000,1)</f>
        <v>39</v>
      </c>
      <c r="CW50" s="24">
        <f>_xlfn.STDEV.S(H50,N50,T50,Z50,AF50,AL50,AR50,AX50,BD50,BJ50,BP50,BV50,CB50,CH50)</f>
        <v>16.021448535847597</v>
      </c>
      <c r="CX50" s="21">
        <f>_xlfn.RANK.EQ(CW50,CW$3:CW$10000,1)</f>
        <v>57</v>
      </c>
      <c r="CY50" s="24">
        <f>_xlfn.STDEV.S(J50,P50,V50,AB50,AH50,AN50,AT50,AZ50,BF50,BL50,BR50,BX50,CD50,CJ50)</f>
        <v>17.00307018171705</v>
      </c>
      <c r="CZ50" s="21">
        <f>_xlfn.RANK.EQ(CY50,CY$3:CY$10000,1)</f>
        <v>67</v>
      </c>
      <c r="DA50">
        <f>SUM(COUNTIF(E50,"&gt;0"),COUNTIF(K50,"&gt;0"),COUNTIF(Q50,"&gt;0"),COUNTIF(W50,"&gt;0"),COUNTIF(AC50,"&gt;0"),COUNTIF(AI50,"&gt;0"),COUNTIF(AO50,"&gt;0"),COUNTIF(AU50,"&gt;0"),COUNTIF(BA50,"&gt;0"),COUNTIF(BG50,"&gt;0"),COUNTIF(BM50,"&gt;0"),COUNTIF(BS50,"&gt;0"),COUNTIF(BY50,"&gt;0"),COUNTIF(CE50,"&gt;0"))</f>
        <v>14</v>
      </c>
    </row>
    <row r="51" spans="1:105" x14ac:dyDescent="0.3">
      <c r="B51" t="s">
        <v>49</v>
      </c>
      <c r="C51" s="18" t="s">
        <v>146</v>
      </c>
      <c r="D51" s="4">
        <f>CN51*$CN$1+CP51*$CP$1+CR51*$CR$1</f>
        <v>48.324999999999996</v>
      </c>
      <c r="E51" s="29">
        <f>IFERROR(_xlfn.XLOOKUP(B51,'w1'!$B:$B,'w1'!$C:$C),0)</f>
        <v>18.2</v>
      </c>
      <c r="F51" s="30">
        <f>_xlfn.RANK.EQ(E51,E$3:E$10000,0)</f>
        <v>46</v>
      </c>
      <c r="G51" s="31">
        <f>IFERROR(_xlfn.XLOOKUP(B51,'w1'!$B:$B,'w1'!$F:$F),1)</f>
        <v>0.22500000000000001</v>
      </c>
      <c r="H51" s="30">
        <f>_xlfn.RANK.EQ(G51,G$3:G$10000,1)</f>
        <v>8</v>
      </c>
      <c r="I51" s="30">
        <f>IFERROR(IF(_xlfn.XLOOKUP(B51,'w1'!$B:$B,'w1'!$G:$G)="--",0,_xlfn.XLOOKUP(B51,'w1'!$B:$B,'w1'!$G:$G)),0)</f>
        <v>78</v>
      </c>
      <c r="J51" s="30">
        <f>_xlfn.RANK.EQ(I51,I$3:I$10000,0)</f>
        <v>57</v>
      </c>
      <c r="K51" s="34">
        <f>IFERROR(_xlfn.XLOOKUP(B51,'w2'!$B:$B,'w2'!$C:$C),0)</f>
        <v>41.2</v>
      </c>
      <c r="L51" s="35">
        <f>_xlfn.RANK.EQ(K51,K$3:K$10000,0)</f>
        <v>15</v>
      </c>
      <c r="M51" s="36">
        <f>IFERROR(_xlfn.XLOOKUP(B51,'w2'!$B:$B,'w2'!$F:$F),1)</f>
        <v>0.25208333333333333</v>
      </c>
      <c r="N51" s="35">
        <f>_xlfn.RANK.EQ(M51,M$3:M$10000,1)</f>
        <v>17</v>
      </c>
      <c r="O51" s="35">
        <f>IFERROR(IF(_xlfn.XLOOKUP(B51,'w2'!$B:$B,'w2'!$G:$G)="--",0,_xlfn.XLOOKUP(B51,'w2'!$B:$B,'w2'!$G:$G)),0)</f>
        <v>150</v>
      </c>
      <c r="P51" s="35">
        <f>_xlfn.RANK.EQ(O51,O$3:O$10000,0)</f>
        <v>47</v>
      </c>
      <c r="Q51" s="39">
        <f>IFERROR(_xlfn.XLOOKUP(B51,'w3'!$B:$B,'w3'!$C:$C),0)</f>
        <v>6.4</v>
      </c>
      <c r="R51" s="40">
        <f>_xlfn.RANK.EQ(Q51,Q$3:Q$10000,0)</f>
        <v>76</v>
      </c>
      <c r="S51" s="41">
        <f>IFERROR(_xlfn.XLOOKUP(B51,'w3'!$B:$B,'w3'!$F:$F),1)</f>
        <v>0.24374999999999999</v>
      </c>
      <c r="T51" s="40">
        <f>_xlfn.RANK.EQ(S51,S$3:S$10000,1)</f>
        <v>15</v>
      </c>
      <c r="U51" s="40">
        <f>IFERROR(IF(_xlfn.XLOOKUP(B51,'w3'!$B:$B,'w3'!$G:$G)="--",0,_xlfn.XLOOKUP(B51,'w3'!$B:$B,'w3'!$G:$G)),0)</f>
        <v>25</v>
      </c>
      <c r="V51" s="40">
        <f>_xlfn.RANK.EQ(U51,U$3:U$10000,0)</f>
        <v>74</v>
      </c>
      <c r="W51" s="44">
        <f>IFERROR(_xlfn.XLOOKUP(B51,'w4'!$B:$B,'w4'!$C:$C),0)</f>
        <v>15.3</v>
      </c>
      <c r="X51" s="45">
        <f>_xlfn.RANK.EQ(W51,W$3:W$10000,0)</f>
        <v>48</v>
      </c>
      <c r="Y51" s="46">
        <f>IFERROR(_xlfn.XLOOKUP(B51,'w4'!$B:$B,'w4'!$F:$F),1)</f>
        <v>0.22708333333333333</v>
      </c>
      <c r="Z51" s="45">
        <f>_xlfn.RANK.EQ(Y51,Y$3:Y$10000,1)</f>
        <v>7</v>
      </c>
      <c r="AA51" s="45">
        <f>IFERROR(IF(_xlfn.XLOOKUP(B51,'w4'!$B:$B,'w4'!$G:$G)="--",0,_xlfn.XLOOKUP(B51,'w4'!$B:$B,'w4'!$G:$G)),0)</f>
        <v>57</v>
      </c>
      <c r="AB51" s="45">
        <f>_xlfn.RANK.EQ(AA51,AA$3:AA$10000,0)</f>
        <v>55</v>
      </c>
      <c r="AC51" s="13">
        <f>IFERROR(_xlfn.XLOOKUP(B51,'w5'!$B:$B,'w5'!$C:$C),0)</f>
        <v>34.1</v>
      </c>
      <c r="AD51" s="12">
        <f>_xlfn.RANK.EQ(AC51,AC$3:AC$10000,0)</f>
        <v>29</v>
      </c>
      <c r="AE51" s="14">
        <f>IFERROR(_xlfn.XLOOKUP(B51,'w5'!$B:$B,'w5'!$F:$F),1)</f>
        <v>0.23472222222222222</v>
      </c>
      <c r="AF51" s="12">
        <f>_xlfn.RANK.EQ(AE51,AE$3:AE$10000,1)</f>
        <v>13</v>
      </c>
      <c r="AG51" s="12">
        <f>IFERROR(IF(_xlfn.XLOOKUP(B51,'w5'!$B:$B,'w5'!$G:$G)="--",0,_xlfn.XLOOKUP(B51,'w5'!$B:$B,'w5'!$G:$G)),0)</f>
        <v>262</v>
      </c>
      <c r="AH51" s="12">
        <f>_xlfn.RANK.EQ(AG51,AG$3:AG$10000,0)</f>
        <v>38</v>
      </c>
      <c r="AI51" s="51">
        <f>IFERROR(_xlfn.XLOOKUP(B51,'w6'!$B:$B,'w6'!$C:$C),0)</f>
        <v>22.8</v>
      </c>
      <c r="AJ51" s="50">
        <f>_xlfn.RANK.EQ(AI51,AI$3:AI$10000,0)</f>
        <v>27</v>
      </c>
      <c r="AK51" s="52">
        <f>IFERROR(_xlfn.XLOOKUP(B51,'w6'!$B:$B,'w6'!$F:$F),1)</f>
        <v>0.23680555555555555</v>
      </c>
      <c r="AL51" s="50">
        <f>_xlfn.RANK.EQ(AK51,AK$3:AK$10000,1)</f>
        <v>6</v>
      </c>
      <c r="AM51" s="50">
        <f>IFERROR(IF(_xlfn.XLOOKUP(B51,'w6'!$B:$B,'w6'!$G:$G)="--",0,_xlfn.XLOOKUP(B51,'w6'!$B:$B,'w6'!$G:$G)),0)</f>
        <v>155</v>
      </c>
      <c r="AN51" s="50">
        <f>_xlfn.RANK.EQ(AM51,AM$3:AM$10000,0)</f>
        <v>41</v>
      </c>
      <c r="AO51" s="56">
        <f>IFERROR(_xlfn.XLOOKUP(B51,'w7'!$B:$B,'w7'!$C:$C),0)</f>
        <v>17.100000000000001</v>
      </c>
      <c r="AP51" s="57">
        <f>_xlfn.RANK.EQ(AO51,AO$3:AO$10000,0)</f>
        <v>48</v>
      </c>
      <c r="AQ51" s="58">
        <f>IFERROR(_xlfn.XLOOKUP(B51,'w7'!$B:$B,'w7'!$F:$F),1)</f>
        <v>0.2298611111111111</v>
      </c>
      <c r="AR51" s="57">
        <f>_xlfn.RANK.EQ(AQ51,AQ$3:AQ$10000,1)</f>
        <v>9</v>
      </c>
      <c r="AS51" s="57">
        <f>IFERROR(IF(_xlfn.XLOOKUP(B51,'w7'!$B:$B,'w7'!$G:$G)="--",0,_xlfn.XLOOKUP(B51,'w7'!$B:$B,'w7'!$G:$G)),0)</f>
        <v>159</v>
      </c>
      <c r="AT51" s="57">
        <f>_xlfn.RANK.EQ(AS51,AS$3:AS$10000,0)</f>
        <v>39</v>
      </c>
      <c r="AU51" s="62">
        <f>IFERROR(_xlfn.XLOOKUP(B51,'w8'!$B:$B,'w8'!$C:$C),0)</f>
        <v>14.2</v>
      </c>
      <c r="AV51" s="61">
        <f>_xlfn.RANK.EQ(AU51,AU$3:AU$10000,0)</f>
        <v>58</v>
      </c>
      <c r="AW51" s="63">
        <f>IFERROR(_xlfn.XLOOKUP(B51,'w8'!$B:$B,'w8'!$F:$F),1)</f>
        <v>0.24374999999999999</v>
      </c>
      <c r="AX51" s="61">
        <f>_xlfn.RANK.EQ(AW51,AW$3:AW$10000,1)</f>
        <v>10</v>
      </c>
      <c r="AY51" s="61">
        <f>IFERROR(IF(_xlfn.XLOOKUP(B51,'w8'!$B:$B,'w8'!$G:$G)="--",0,_xlfn.XLOOKUP(B51,'w8'!$B:$B,'w8'!$G:$G)),0)</f>
        <v>38</v>
      </c>
      <c r="AZ51" s="61">
        <f>_xlfn.RANK.EQ(AY51,AY$3:AY$10000,0)</f>
        <v>61</v>
      </c>
      <c r="BA51" s="66">
        <f>IFERROR(_xlfn.XLOOKUP(C51,'w9'!$B:$B,'w9'!$C:$C),0)</f>
        <v>8</v>
      </c>
      <c r="BB51" s="67">
        <f>_xlfn.RANK.EQ(BA51,BA$3:BA$10000,0)</f>
        <v>72</v>
      </c>
      <c r="BC51" s="68">
        <f>IFERROR(_xlfn.XLOOKUP(C51,'w9'!$B:$B,'w9'!$F:$F),1)</f>
        <v>0.23680555555555555</v>
      </c>
      <c r="BD51" s="67">
        <f>_xlfn.RANK.EQ(BC51,BC$3:BC$10000,1)</f>
        <v>9</v>
      </c>
      <c r="BE51" s="67">
        <f>IFERROR(IF(_xlfn.XLOOKUP(C51,'w9'!$B:$B,'w9'!$G:$G)="--",0,_xlfn.XLOOKUP(C51,'w9'!$B:$B,'w9'!$G:$G)),0)</f>
        <v>18</v>
      </c>
      <c r="BF51" s="67">
        <f>_xlfn.RANK.EQ(BE51,BE$3:BE$10000,0)</f>
        <v>71</v>
      </c>
      <c r="BG51" s="72">
        <f>IFERROR(_xlfn.XLOOKUP(B51,'w10'!$B:$B,'w10'!$C:$C),0)</f>
        <v>14</v>
      </c>
      <c r="BH51" s="74">
        <f>_xlfn.RANK.EQ(BG51,BG$3:BG$10000,0)</f>
        <v>54</v>
      </c>
      <c r="BI51" s="75">
        <f>IFERROR(_xlfn.XLOOKUP(B51,'w10'!$B:$B,'w10'!$F:$F),1)</f>
        <v>0.22916666666666666</v>
      </c>
      <c r="BJ51" s="74">
        <f>_xlfn.RANK.EQ(BI51,BI$3:BI$10000,1)</f>
        <v>7</v>
      </c>
      <c r="BK51" s="74">
        <f>IFERROR(IF(_xlfn.XLOOKUP(B51,'w10'!$B:$B,'w10'!$G:$G)="--",0,_xlfn.XLOOKUP(B51,'w10'!$B:$B,'w10'!$G:$G)),0)</f>
        <v>72</v>
      </c>
      <c r="BL51" s="74">
        <f>_xlfn.RANK.EQ(BK51,BK$3:BK$10000,0)</f>
        <v>63</v>
      </c>
      <c r="BM51" s="78">
        <f>IFERROR(_xlfn.XLOOKUP(B51,'w11'!$B:$B,'w11'!$C:$C),0)</f>
        <v>25</v>
      </c>
      <c r="BN51" s="80">
        <f>_xlfn.RANK.EQ(BM51,BM$3:BM$10000,0)</f>
        <v>33</v>
      </c>
      <c r="BO51" s="81">
        <f>IFERROR(_xlfn.XLOOKUP(B51,'w11'!$B:$B,'w11'!$F:$F),1)</f>
        <v>0.22638888888888889</v>
      </c>
      <c r="BP51" s="80">
        <f>_xlfn.RANK.EQ(BO51,BO$3:BO$10000,1)</f>
        <v>8</v>
      </c>
      <c r="BQ51" s="80">
        <f>IFERROR(IF(_xlfn.XLOOKUP(B51,'w11'!$B:$B,'w11'!$G:$G)="--",0,_xlfn.XLOOKUP(B51,'w11'!$B:$B,'w11'!$G:$G)),0)</f>
        <v>229</v>
      </c>
      <c r="BR51" s="80">
        <f>_xlfn.RANK.EQ(BQ51,BQ$3:BQ$10000,0)</f>
        <v>34</v>
      </c>
      <c r="BS51" s="83">
        <f>IFERROR(_xlfn.XLOOKUP(B51,'w12'!$B:$B,'w12'!$C:$C),0)</f>
        <v>33.9</v>
      </c>
      <c r="BT51" s="86">
        <f>_xlfn.RANK.EQ(BS51,BS$3:BS$10000,0)</f>
        <v>18</v>
      </c>
      <c r="BU51" s="87">
        <f>IFERROR(_xlfn.XLOOKUP(B51,'w12'!$B:$B,'w12'!$F:$F),1)</f>
        <v>0.23055555555555557</v>
      </c>
      <c r="BV51" s="86">
        <f>_xlfn.RANK.EQ(BU51,BU$3:BU$10000,1)</f>
        <v>10</v>
      </c>
      <c r="BW51" s="86">
        <f>IFERROR(IF(_xlfn.XLOOKUP(B51,'w12'!$B:$B,'w12'!$G:$G)="--",0,_xlfn.XLOOKUP(B51,'w12'!$B:$B,'w12'!$G:$G)),0)</f>
        <v>160</v>
      </c>
      <c r="BX51" s="86">
        <f>_xlfn.RANK.EQ(BW51,BW$3:BW$10000,0)</f>
        <v>45</v>
      </c>
      <c r="BY51" s="89">
        <f>IFERROR(_xlfn.XLOOKUP(B51,'w13'!$B:$B,'w13'!$C:$C),0)</f>
        <v>17.3</v>
      </c>
      <c r="BZ51" s="92">
        <f>_xlfn.RANK.EQ(BY51,BY$3:BY$10000,0)</f>
        <v>46</v>
      </c>
      <c r="CA51" s="93">
        <f>IFERROR(_xlfn.XLOOKUP(B51,'w13'!$B:$B,'w13'!$F:$F),1)</f>
        <v>0.27430555555555558</v>
      </c>
      <c r="CB51" s="92">
        <f>_xlfn.RANK.EQ(CA51,CA$3:CA$10000,1)</f>
        <v>37</v>
      </c>
      <c r="CC51" s="92">
        <f>IFERROR(IF(_xlfn.XLOOKUP(B51,'w13'!$B:$B,'w13'!$G:$G)="--",0,_xlfn.XLOOKUP(B51,'w13'!$B:$B,'w13'!$G:$G)),0)</f>
        <v>126</v>
      </c>
      <c r="CD51" s="92">
        <f>_xlfn.RANK.EQ(CC51,CC$3:CC$10000,0)</f>
        <v>46</v>
      </c>
      <c r="CE51" s="95">
        <f>IFERROR(_xlfn.XLOOKUP(B51,'w14'!$B:$B,'w14'!$C:$C),0)</f>
        <v>14.9</v>
      </c>
      <c r="CF51" s="98">
        <f>_xlfn.RANK.EQ(CE51,CE$3:CE$10000,0)</f>
        <v>50</v>
      </c>
      <c r="CG51" s="99">
        <f>IFERROR(_xlfn.XLOOKUP(B51,'w14'!$B:$B,'w14'!$F:$F),1)</f>
        <v>0.23541666666666666</v>
      </c>
      <c r="CH51" s="98">
        <f>_xlfn.RANK.EQ(CG51,CG$3:CG$10000,1)</f>
        <v>8</v>
      </c>
      <c r="CI51" s="98">
        <f>IFERROR(IF(_xlfn.XLOOKUP(B51,'w14'!$B:$B,'w14'!$G:$G)="--",0,_xlfn.XLOOKUP(B51,'w14'!$B:$B,'w14'!$G:$G)),0)</f>
        <v>155</v>
      </c>
      <c r="CJ51" s="98">
        <f>_xlfn.RANK.EQ(CI51,CI$3:CI$10000,0)</f>
        <v>41</v>
      </c>
      <c r="CK51" s="9">
        <f>_xlfn.RANK.EQ(D51,D$3:D$10000,1)</f>
        <v>49</v>
      </c>
      <c r="CL51" s="26" t="s">
        <v>146</v>
      </c>
      <c r="CM51" s="8">
        <f>SUM(E51,K51,Q51,W51,AC51,AI51,AO51,AU51,BA51,BG51,BM51,BS51,BY51,CE51)</f>
        <v>282.39999999999998</v>
      </c>
      <c r="CN51" s="9">
        <f>_xlfn.RANK.EQ(CM51,CM$3:CM$10000)</f>
        <v>49</v>
      </c>
      <c r="CO51" s="15">
        <f>IFERROR(SUM(PRODUCT(E51,G51),PRODUCT(K51,M51),PRODUCT(Q51,S51),PRODUCT(W51,Y51),PRODUCT(AC51,AE51),PRODUCT(AI51,AK51),PRODUCT(AO51,AQ51),PRODUCT(AU51,AW51),PRODUCT(BA51,BC51),PRODUCT(BG51,BI51),PRODUCT(BM51,BO51),PRODUCT(BS51,BU51),PRODUCT(BY51,CA51),PRODUCT(CE51,CG51))/CM51,1)</f>
        <v>0.23775426896443191</v>
      </c>
      <c r="CP51" s="9">
        <f>_xlfn.RANK.EQ(CO51,CO$3:CO$10000,1)</f>
        <v>10</v>
      </c>
      <c r="CQ51" s="9">
        <f>SUM(I51,O51,U51,AA51,AG51,AM51,AS51,AY51,BE51,BK51,BQ51,BW51,CC51,CI51)</f>
        <v>1684</v>
      </c>
      <c r="CR51" s="9">
        <f>_xlfn.RANK.EQ(CQ51,CQ$3:CQ$10000)</f>
        <v>61</v>
      </c>
      <c r="CS51" s="23"/>
      <c r="CT51" s="25"/>
      <c r="CU51" s="24">
        <f>_xlfn.STDEV.S(F51,L51,R51,X51,AD51,AJ51,AP51,AV51,BB51,BH51,BN51,BT51,BZ51,CF51)</f>
        <v>18.252201432782211</v>
      </c>
      <c r="CV51" s="21">
        <f>_xlfn.RANK.EQ(CU51,CU$3:CU$10000,1)</f>
        <v>83</v>
      </c>
      <c r="CW51" s="24">
        <f>_xlfn.STDEV.S(H51,N51,T51,Z51,AF51,AL51,AR51,AX51,BD51,BJ51,BP51,BV51,CB51,CH51)</f>
        <v>7.9365616603798266</v>
      </c>
      <c r="CX51" s="21">
        <f>_xlfn.RANK.EQ(CW51,CW$3:CW$10000,1)</f>
        <v>15</v>
      </c>
      <c r="CY51" s="24">
        <f>_xlfn.STDEV.S(J51,P51,V51,AB51,AH51,AN51,AT51,AZ51,BF51,BL51,BR51,BX51,CD51,CJ51)</f>
        <v>12.721013160286235</v>
      </c>
      <c r="CZ51" s="21">
        <f>_xlfn.RANK.EQ(CY51,CY$3:CY$10000,1)</f>
        <v>41</v>
      </c>
      <c r="DA51">
        <f>SUM(COUNTIF(E51,"&gt;0"),COUNTIF(K51,"&gt;0"),COUNTIF(Q51,"&gt;0"),COUNTIF(W51,"&gt;0"),COUNTIF(AC51,"&gt;0"),COUNTIF(AI51,"&gt;0"),COUNTIF(AO51,"&gt;0"),COUNTIF(AU51,"&gt;0"),COUNTIF(BA51,"&gt;0"),COUNTIF(BG51,"&gt;0"),COUNTIF(BM51,"&gt;0"),COUNTIF(BS51,"&gt;0"),COUNTIF(BY51,"&gt;0"),COUNTIF(CE51,"&gt;0"))</f>
        <v>14</v>
      </c>
    </row>
    <row r="52" spans="1:105" x14ac:dyDescent="0.3">
      <c r="B52" t="s">
        <v>41</v>
      </c>
      <c r="C52" s="18" t="s">
        <v>119</v>
      </c>
      <c r="D52" s="4">
        <f>CN52*$CN$1+CP52*$CP$1+CR52*$CR$1</f>
        <v>49.9</v>
      </c>
      <c r="E52" s="29">
        <f>IFERROR(_xlfn.XLOOKUP(B52,'w1'!$B:$B,'w1'!$C:$C),0)</f>
        <v>22.8</v>
      </c>
      <c r="F52" s="30">
        <f>_xlfn.RANK.EQ(E52,E$3:E$10000,0)</f>
        <v>37</v>
      </c>
      <c r="G52" s="31">
        <f>IFERROR(_xlfn.XLOOKUP(B52,'w1'!$B:$B,'w1'!$F:$F),1)</f>
        <v>0.28333333333333333</v>
      </c>
      <c r="H52" s="30">
        <f>_xlfn.RANK.EQ(G52,G$3:G$10000,1)</f>
        <v>47</v>
      </c>
      <c r="I52" s="30">
        <f>IFERROR(IF(_xlfn.XLOOKUP(B52,'w1'!$B:$B,'w1'!$G:$G)="--",0,_xlfn.XLOOKUP(B52,'w1'!$B:$B,'w1'!$G:$G)),0)</f>
        <v>517</v>
      </c>
      <c r="J52" s="30">
        <f>_xlfn.RANK.EQ(I52,I$3:I$10000,0)</f>
        <v>20</v>
      </c>
      <c r="K52" s="34">
        <f>IFERROR(_xlfn.XLOOKUP(B52,'w2'!$B:$B,'w2'!$C:$C),0)</f>
        <v>0</v>
      </c>
      <c r="L52" s="35">
        <f>_xlfn.RANK.EQ(K52,K$3:K$10000,0)</f>
        <v>73</v>
      </c>
      <c r="M52" s="36">
        <f>IFERROR(_xlfn.XLOOKUP(B52,'w2'!$B:$B,'w2'!$F:$F),1)</f>
        <v>1</v>
      </c>
      <c r="N52" s="35">
        <f>_xlfn.RANK.EQ(M52,M$3:M$10000,1)</f>
        <v>72</v>
      </c>
      <c r="O52" s="35">
        <f>IFERROR(IF(_xlfn.XLOOKUP(B52,'w2'!$B:$B,'w2'!$G:$G)="--",0,_xlfn.XLOOKUP(B52,'w2'!$B:$B,'w2'!$G:$G)),0)</f>
        <v>0</v>
      </c>
      <c r="P52" s="35">
        <f>_xlfn.RANK.EQ(O52,O$3:O$10000,0)</f>
        <v>71</v>
      </c>
      <c r="Q52" s="39">
        <f>IFERROR(_xlfn.XLOOKUP(B52,'w3'!$B:$B,'w3'!$C:$C),0)</f>
        <v>10.6</v>
      </c>
      <c r="R52" s="40">
        <f>_xlfn.RANK.EQ(Q52,Q$3:Q$10000,0)</f>
        <v>63</v>
      </c>
      <c r="S52" s="41">
        <f>IFERROR(_xlfn.XLOOKUP(B52,'w3'!$B:$B,'w3'!$F:$F),1)</f>
        <v>0.2986111111111111</v>
      </c>
      <c r="T52" s="40">
        <f>_xlfn.RANK.EQ(S52,S$3:S$10000,1)</f>
        <v>50</v>
      </c>
      <c r="U52" s="40">
        <f>IFERROR(IF(_xlfn.XLOOKUP(B52,'w3'!$B:$B,'w3'!$G:$G)="--",0,_xlfn.XLOOKUP(B52,'w3'!$B:$B,'w3'!$G:$G)),0)</f>
        <v>131</v>
      </c>
      <c r="V52" s="40">
        <f>_xlfn.RANK.EQ(U52,U$3:U$10000,0)</f>
        <v>49</v>
      </c>
      <c r="W52" s="44">
        <f>IFERROR(_xlfn.XLOOKUP(B52,'w4'!$B:$B,'w4'!$C:$C),0)</f>
        <v>9.1</v>
      </c>
      <c r="X52" s="45">
        <f>_xlfn.RANK.EQ(W52,W$3:W$10000,0)</f>
        <v>65</v>
      </c>
      <c r="Y52" s="46">
        <f>IFERROR(_xlfn.XLOOKUP(B52,'w4'!$B:$B,'w4'!$F:$F),1)</f>
        <v>0.32083333333333336</v>
      </c>
      <c r="Z52" s="45">
        <f>_xlfn.RANK.EQ(Y52,Y$3:Y$10000,1)</f>
        <v>55</v>
      </c>
      <c r="AA52" s="45">
        <f>IFERROR(IF(_xlfn.XLOOKUP(B52,'w4'!$B:$B,'w4'!$G:$G)="--",0,_xlfn.XLOOKUP(B52,'w4'!$B:$B,'w4'!$G:$G)),0)</f>
        <v>145</v>
      </c>
      <c r="AB52" s="45">
        <f>_xlfn.RANK.EQ(AA52,AA$3:AA$10000,0)</f>
        <v>41</v>
      </c>
      <c r="AC52" s="13">
        <f>IFERROR(_xlfn.XLOOKUP(B52,'w5'!$B:$B,'w5'!$C:$C),0)</f>
        <v>45.5</v>
      </c>
      <c r="AD52" s="12">
        <f>_xlfn.RANK.EQ(AC52,AC$3:AC$10000,0)</f>
        <v>12</v>
      </c>
      <c r="AE52" s="14">
        <f>IFERROR(_xlfn.XLOOKUP(B52,'w5'!$B:$B,'w5'!$F:$F),1)</f>
        <v>0.30416666666666664</v>
      </c>
      <c r="AF52" s="12">
        <f>_xlfn.RANK.EQ(AE52,AE$3:AE$10000,1)</f>
        <v>44</v>
      </c>
      <c r="AG52" s="12">
        <f>IFERROR(IF(_xlfn.XLOOKUP(B52,'w5'!$B:$B,'w5'!$G:$G)="--",0,_xlfn.XLOOKUP(B52,'w5'!$B:$B,'w5'!$G:$G)),0)</f>
        <v>584</v>
      </c>
      <c r="AH52" s="12">
        <f>_xlfn.RANK.EQ(AG52,AG$3:AG$10000,0)</f>
        <v>24</v>
      </c>
      <c r="AI52" s="51">
        <f>IFERROR(_xlfn.XLOOKUP(B52,'w6'!$B:$B,'w6'!$C:$C),0)</f>
        <v>10.3</v>
      </c>
      <c r="AJ52" s="50">
        <f>_xlfn.RANK.EQ(AI52,AI$3:AI$10000,0)</f>
        <v>45</v>
      </c>
      <c r="AK52" s="52">
        <f>IFERROR(_xlfn.XLOOKUP(B52,'w6'!$B:$B,'w6'!$F:$F),1)</f>
        <v>0.34027777777777779</v>
      </c>
      <c r="AL52" s="50">
        <f>_xlfn.RANK.EQ(AK52,AK$3:AK$10000,1)</f>
        <v>49</v>
      </c>
      <c r="AM52" s="50">
        <f>IFERROR(IF(_xlfn.XLOOKUP(B52,'w6'!$B:$B,'w6'!$G:$G)="--",0,_xlfn.XLOOKUP(B52,'w6'!$B:$B,'w6'!$G:$G)),0)</f>
        <v>301</v>
      </c>
      <c r="AN52" s="50">
        <f>_xlfn.RANK.EQ(AM52,AM$3:AM$10000,0)</f>
        <v>25</v>
      </c>
      <c r="AO52" s="56">
        <f>IFERROR(_xlfn.XLOOKUP(B52,'w7'!$B:$B,'w7'!$C:$C),0)</f>
        <v>7.6</v>
      </c>
      <c r="AP52" s="57">
        <f>_xlfn.RANK.EQ(AO52,AO$3:AO$10000,0)</f>
        <v>60</v>
      </c>
      <c r="AQ52" s="58">
        <f>IFERROR(_xlfn.XLOOKUP(B52,'w7'!$B:$B,'w7'!$F:$F),1)</f>
        <v>0.41944444444444445</v>
      </c>
      <c r="AR52" s="57">
        <f>_xlfn.RANK.EQ(AQ52,AQ$3:AQ$10000,1)</f>
        <v>63</v>
      </c>
      <c r="AS52" s="57">
        <f>IFERROR(IF(_xlfn.XLOOKUP(B52,'w7'!$B:$B,'w7'!$G:$G)="--",0,_xlfn.XLOOKUP(B52,'w7'!$B:$B,'w7'!$G:$G)),0)</f>
        <v>146</v>
      </c>
      <c r="AT52" s="57">
        <f>_xlfn.RANK.EQ(AS52,AS$3:AS$10000,0)</f>
        <v>41</v>
      </c>
      <c r="AU52" s="62">
        <f>IFERROR(_xlfn.XLOOKUP(B52,'w8'!$B:$B,'w8'!$C:$C),0)</f>
        <v>28.8</v>
      </c>
      <c r="AV52" s="61">
        <f>_xlfn.RANK.EQ(AU52,AU$3:AU$10000,0)</f>
        <v>34</v>
      </c>
      <c r="AW52" s="63">
        <f>IFERROR(_xlfn.XLOOKUP(B52,'w8'!$B:$B,'w8'!$F:$F),1)</f>
        <v>0.3298611111111111</v>
      </c>
      <c r="AX52" s="61">
        <f>_xlfn.RANK.EQ(AW52,AW$3:AW$10000,1)</f>
        <v>61</v>
      </c>
      <c r="AY52" s="61">
        <f>IFERROR(IF(_xlfn.XLOOKUP(B52,'w8'!$B:$B,'w8'!$G:$G)="--",0,_xlfn.XLOOKUP(B52,'w8'!$B:$B,'w8'!$G:$G)),0)</f>
        <v>510</v>
      </c>
      <c r="AZ52" s="61">
        <f>_xlfn.RANK.EQ(AY52,AY$3:AY$10000,0)</f>
        <v>23</v>
      </c>
      <c r="BA52" s="66">
        <f>IFERROR(_xlfn.XLOOKUP(C52,'w9'!$B:$B,'w9'!$C:$C),0)</f>
        <v>37.4</v>
      </c>
      <c r="BB52" s="67">
        <f>_xlfn.RANK.EQ(BA52,BA$3:BA$10000,0)</f>
        <v>26</v>
      </c>
      <c r="BC52" s="68">
        <f>IFERROR(_xlfn.XLOOKUP(C52,'w9'!$B:$B,'w9'!$F:$F),1)</f>
        <v>0.2986111111111111</v>
      </c>
      <c r="BD52" s="67">
        <f>_xlfn.RANK.EQ(BC52,BC$3:BC$10000,1)</f>
        <v>39</v>
      </c>
      <c r="BE52" s="67">
        <f>IFERROR(IF(_xlfn.XLOOKUP(C52,'w9'!$B:$B,'w9'!$G:$G)="--",0,_xlfn.XLOOKUP(C52,'w9'!$B:$B,'w9'!$G:$G)),0)</f>
        <v>456</v>
      </c>
      <c r="BF52" s="67">
        <f>_xlfn.RANK.EQ(BE52,BE$3:BE$10000,0)</f>
        <v>33</v>
      </c>
      <c r="BG52" s="72">
        <f>IFERROR(_xlfn.XLOOKUP(B52,'w10'!$B:$B,'w10'!$C:$C),0)</f>
        <v>18.899999999999999</v>
      </c>
      <c r="BH52" s="74">
        <f>_xlfn.RANK.EQ(BG52,BG$3:BG$10000,0)</f>
        <v>45</v>
      </c>
      <c r="BI52" s="75">
        <f>IFERROR(_xlfn.XLOOKUP(B52,'w10'!$B:$B,'w10'!$F:$F),1)</f>
        <v>0.3</v>
      </c>
      <c r="BJ52" s="74">
        <f>_xlfn.RANK.EQ(BI52,BI$3:BI$10000,1)</f>
        <v>51</v>
      </c>
      <c r="BK52" s="74">
        <f>IFERROR(IF(_xlfn.XLOOKUP(B52,'w10'!$B:$B,'w10'!$G:$G)="--",0,_xlfn.XLOOKUP(B52,'w10'!$B:$B,'w10'!$G:$G)),0)</f>
        <v>95</v>
      </c>
      <c r="BL52" s="74">
        <f>_xlfn.RANK.EQ(BK52,BK$3:BK$10000,0)</f>
        <v>60</v>
      </c>
      <c r="BM52" s="78">
        <f>IFERROR(_xlfn.XLOOKUP(B52,'w11'!$B:$B,'w11'!$C:$C),0)</f>
        <v>25.3</v>
      </c>
      <c r="BN52" s="80">
        <f>_xlfn.RANK.EQ(BM52,BM$3:BM$10000,0)</f>
        <v>32</v>
      </c>
      <c r="BO52" s="81">
        <f>IFERROR(_xlfn.XLOOKUP(B52,'w11'!$B:$B,'w11'!$F:$F),1)</f>
        <v>0.25069444444444444</v>
      </c>
      <c r="BP52" s="80">
        <f>_xlfn.RANK.EQ(BO52,BO$3:BO$10000,1)</f>
        <v>20</v>
      </c>
      <c r="BQ52" s="80">
        <f>IFERROR(IF(_xlfn.XLOOKUP(B52,'w11'!$B:$B,'w11'!$G:$G)="--",0,_xlfn.XLOOKUP(B52,'w11'!$B:$B,'w11'!$G:$G)),0)</f>
        <v>148</v>
      </c>
      <c r="BR52" s="80">
        <f>_xlfn.RANK.EQ(BQ52,BQ$3:BQ$10000,0)</f>
        <v>46</v>
      </c>
      <c r="BS52" s="83">
        <f>IFERROR(_xlfn.XLOOKUP(B52,'w12'!$B:$B,'w12'!$C:$C),0)</f>
        <v>9.3000000000000007</v>
      </c>
      <c r="BT52" s="86">
        <f>_xlfn.RANK.EQ(BS52,BS$3:BS$10000,0)</f>
        <v>63</v>
      </c>
      <c r="BU52" s="87">
        <f>IFERROR(_xlfn.XLOOKUP(B52,'w12'!$B:$B,'w12'!$F:$F),1)</f>
        <v>0.33124999999999999</v>
      </c>
      <c r="BV52" s="86">
        <f>_xlfn.RANK.EQ(BU52,BU$3:BU$10000,1)</f>
        <v>61</v>
      </c>
      <c r="BW52" s="86">
        <f>IFERROR(IF(_xlfn.XLOOKUP(B52,'w12'!$B:$B,'w12'!$G:$G)="--",0,_xlfn.XLOOKUP(B52,'w12'!$B:$B,'w12'!$G:$G)),0)</f>
        <v>227</v>
      </c>
      <c r="BX52" s="86">
        <f>_xlfn.RANK.EQ(BW52,BW$3:BW$10000,0)</f>
        <v>35</v>
      </c>
      <c r="BY52" s="89">
        <f>IFERROR(_xlfn.XLOOKUP(B52,'w13'!$B:$B,'w13'!$C:$C),0)</f>
        <v>16.7</v>
      </c>
      <c r="BZ52" s="92">
        <f>_xlfn.RANK.EQ(BY52,BY$3:BY$10000,0)</f>
        <v>48</v>
      </c>
      <c r="CA52" s="93">
        <f>IFERROR(_xlfn.XLOOKUP(B52,'w13'!$B:$B,'w13'!$F:$F),1)</f>
        <v>0.32777777777777778</v>
      </c>
      <c r="CB52" s="92">
        <f>_xlfn.RANK.EQ(CA52,CA$3:CA$10000,1)</f>
        <v>55</v>
      </c>
      <c r="CC52" s="92">
        <f>IFERROR(IF(_xlfn.XLOOKUP(B52,'w13'!$B:$B,'w13'!$G:$G)="--",0,_xlfn.XLOOKUP(B52,'w13'!$B:$B,'w13'!$G:$G)),0)</f>
        <v>76</v>
      </c>
      <c r="CD52" s="92">
        <f>_xlfn.RANK.EQ(CC52,CC$3:CC$10000,0)</f>
        <v>59</v>
      </c>
      <c r="CE52" s="95">
        <f>IFERROR(_xlfn.XLOOKUP(B52,'w14'!$B:$B,'w14'!$C:$C),0)</f>
        <v>23.7</v>
      </c>
      <c r="CF52" s="98">
        <f>_xlfn.RANK.EQ(CE52,CE$3:CE$10000,0)</f>
        <v>40</v>
      </c>
      <c r="CG52" s="99">
        <f>IFERROR(_xlfn.XLOOKUP(B52,'w14'!$B:$B,'w14'!$F:$F),1)</f>
        <v>0.32847222222222222</v>
      </c>
      <c r="CH52" s="98">
        <f>_xlfn.RANK.EQ(CG52,CG$3:CG$10000,1)</f>
        <v>51</v>
      </c>
      <c r="CI52" s="98">
        <f>IFERROR(IF(_xlfn.XLOOKUP(B52,'w14'!$B:$B,'w14'!$G:$G)="--",0,_xlfn.XLOOKUP(B52,'w14'!$B:$B,'w14'!$G:$G)),0)</f>
        <v>314</v>
      </c>
      <c r="CJ52" s="98">
        <f>_xlfn.RANK.EQ(CI52,CI$3:CI$10000,0)</f>
        <v>31</v>
      </c>
      <c r="CK52" s="9">
        <f>_xlfn.RANK.EQ(D52,D$3:D$10000,1)</f>
        <v>50</v>
      </c>
      <c r="CL52" s="26" t="s">
        <v>119</v>
      </c>
      <c r="CM52" s="8">
        <f>SUM(E52,K52,Q52,W52,AC52,AI52,AO52,AU52,BA52,BG52,BM52,BS52,BY52,CE52)</f>
        <v>266</v>
      </c>
      <c r="CN52" s="9">
        <f>_xlfn.RANK.EQ(CM52,CM$3:CM$10000)</f>
        <v>50</v>
      </c>
      <c r="CO52" s="15">
        <f>IFERROR(SUM(PRODUCT(E52,G52),PRODUCT(K52,M52),PRODUCT(Q52,S52),PRODUCT(W52,Y52),PRODUCT(AC52,AE52),PRODUCT(AI52,AK52),PRODUCT(AO52,AQ52),PRODUCT(AU52,AW52),PRODUCT(BA52,BC52),PRODUCT(BG52,BI52),PRODUCT(BM52,BO52),PRODUCT(BS52,BU52),PRODUCT(BY52,CA52),PRODUCT(CE52,CG52))/CM52,1)</f>
        <v>0.30863539055973266</v>
      </c>
      <c r="CP52" s="9">
        <f>_xlfn.RANK.EQ(CO52,CO$3:CO$10000,1)</f>
        <v>61</v>
      </c>
      <c r="CQ52" s="9">
        <f>SUM(I52,O52,U52,AA52,AG52,AM52,AS52,AY52,BE52,BK52,BQ52,BW52,CC52,CI52)</f>
        <v>3650</v>
      </c>
      <c r="CR52" s="9">
        <f>_xlfn.RANK.EQ(CQ52,CQ$3:CQ$10000)</f>
        <v>35</v>
      </c>
      <c r="CS52" s="23"/>
      <c r="CT52" s="25"/>
      <c r="CU52" s="24">
        <f>_xlfn.STDEV.S(F52,L52,R52,X52,AD52,AJ52,AP52,AV52,BB52,BH52,BN52,BT52,BZ52,CF52)</f>
        <v>17.282558062590539</v>
      </c>
      <c r="CV52" s="21">
        <f>_xlfn.RANK.EQ(CU52,CU$3:CU$10000,1)</f>
        <v>81</v>
      </c>
      <c r="CW52" s="24">
        <f>_xlfn.STDEV.S(H52,N52,T52,Z52,AF52,AL52,AR52,AX52,BD52,BJ52,BP52,BV52,CB52,CH52)</f>
        <v>12.375090187261558</v>
      </c>
      <c r="CX52" s="21">
        <f>_xlfn.RANK.EQ(CW52,CW$3:CW$10000,1)</f>
        <v>37</v>
      </c>
      <c r="CY52" s="24">
        <f>_xlfn.STDEV.S(J52,P52,V52,AB52,AH52,AN52,AT52,AZ52,BF52,BL52,BR52,BX52,CD52,CJ52)</f>
        <v>15.605014691325463</v>
      </c>
      <c r="CZ52" s="21">
        <f>_xlfn.RANK.EQ(CY52,CY$3:CY$10000,1)</f>
        <v>58</v>
      </c>
      <c r="DA52">
        <f>SUM(COUNTIF(E52,"&gt;0"),COUNTIF(K52,"&gt;0"),COUNTIF(Q52,"&gt;0"),COUNTIF(W52,"&gt;0"),COUNTIF(AC52,"&gt;0"),COUNTIF(AI52,"&gt;0"),COUNTIF(AO52,"&gt;0"),COUNTIF(AU52,"&gt;0"),COUNTIF(BA52,"&gt;0"),COUNTIF(BG52,"&gt;0"),COUNTIF(BM52,"&gt;0"),COUNTIF(BS52,"&gt;0"),COUNTIF(BY52,"&gt;0"),COUNTIF(CE52,"&gt;0"))</f>
        <v>13</v>
      </c>
    </row>
    <row r="53" spans="1:105" x14ac:dyDescent="0.3">
      <c r="B53" t="s">
        <v>11</v>
      </c>
      <c r="C53" s="18" t="s">
        <v>92</v>
      </c>
      <c r="D53" s="4">
        <f>CN53*$CN$1+CP53*$CP$1+CR53*$CR$1</f>
        <v>51.05</v>
      </c>
      <c r="E53" s="29">
        <f>IFERROR(_xlfn.XLOOKUP(B53,'w1'!$B:$B,'w1'!$C:$C),0)</f>
        <v>56.1</v>
      </c>
      <c r="F53" s="30">
        <f>_xlfn.RANK.EQ(E53,E$3:E$10000,0)</f>
        <v>8</v>
      </c>
      <c r="G53" s="31">
        <f>IFERROR(_xlfn.XLOOKUP(B53,'w1'!$B:$B,'w1'!$F:$F),1)</f>
        <v>0.21527777777777779</v>
      </c>
      <c r="H53" s="30">
        <f>_xlfn.RANK.EQ(G53,G$3:G$10000,1)</f>
        <v>5</v>
      </c>
      <c r="I53" s="30">
        <f>IFERROR(IF(_xlfn.XLOOKUP(B53,'w1'!$B:$B,'w1'!$G:$G)="--",0,_xlfn.XLOOKUP(B53,'w1'!$B:$B,'w1'!$G:$G)),0)</f>
        <v>216</v>
      </c>
      <c r="J53" s="30">
        <f>_xlfn.RANK.EQ(I53,I$3:I$10000,0)</f>
        <v>43</v>
      </c>
      <c r="K53" s="34">
        <f>IFERROR(_xlfn.XLOOKUP(B53,'w2'!$B:$B,'w2'!$C:$C),0)</f>
        <v>0</v>
      </c>
      <c r="L53" s="35">
        <f>_xlfn.RANK.EQ(K53,K$3:K$10000,0)</f>
        <v>73</v>
      </c>
      <c r="M53" s="36">
        <f>IFERROR(_xlfn.XLOOKUP(B53,'w2'!$B:$B,'w2'!$F:$F),1)</f>
        <v>1</v>
      </c>
      <c r="N53" s="35">
        <f>_xlfn.RANK.EQ(M53,M$3:M$10000,1)</f>
        <v>72</v>
      </c>
      <c r="O53" s="35">
        <f>IFERROR(IF(_xlfn.XLOOKUP(B53,'w2'!$B:$B,'w2'!$G:$G)="--",0,_xlfn.XLOOKUP(B53,'w2'!$B:$B,'w2'!$G:$G)),0)</f>
        <v>0</v>
      </c>
      <c r="P53" s="35">
        <f>_xlfn.RANK.EQ(O53,O$3:O$10000,0)</f>
        <v>71</v>
      </c>
      <c r="Q53" s="39">
        <f>IFERROR(_xlfn.XLOOKUP(B53,'w3'!$B:$B,'w3'!$C:$C),0)</f>
        <v>0</v>
      </c>
      <c r="R53" s="40">
        <f>_xlfn.RANK.EQ(Q53,Q$3:Q$10000,0)</f>
        <v>84</v>
      </c>
      <c r="S53" s="41">
        <f>IFERROR(_xlfn.XLOOKUP(B53,'w3'!$B:$B,'w3'!$F:$F),1)</f>
        <v>1</v>
      </c>
      <c r="T53" s="40">
        <f>_xlfn.RANK.EQ(S53,S$3:S$10000,1)</f>
        <v>83</v>
      </c>
      <c r="U53" s="40">
        <f>IFERROR(IF(_xlfn.XLOOKUP(B53,'w3'!$B:$B,'w3'!$G:$G)="--",0,_xlfn.XLOOKUP(B53,'w3'!$B:$B,'w3'!$G:$G)),0)</f>
        <v>0</v>
      </c>
      <c r="V53" s="40">
        <f>_xlfn.RANK.EQ(U53,U$3:U$10000,0)</f>
        <v>80</v>
      </c>
      <c r="W53" s="44">
        <f>IFERROR(_xlfn.XLOOKUP(B53,'w4'!$B:$B,'w4'!$C:$C),0)</f>
        <v>0</v>
      </c>
      <c r="X53" s="45">
        <f>_xlfn.RANK.EQ(W53,W$3:W$10000,0)</f>
        <v>76</v>
      </c>
      <c r="Y53" s="46">
        <f>IFERROR(_xlfn.XLOOKUP(B53,'w4'!$B:$B,'w4'!$F:$F),1)</f>
        <v>1</v>
      </c>
      <c r="Z53" s="45">
        <f>_xlfn.RANK.EQ(Y53,Y$3:Y$10000,1)</f>
        <v>76</v>
      </c>
      <c r="AA53" s="45">
        <f>IFERROR(IF(_xlfn.XLOOKUP(B53,'w4'!$B:$B,'w4'!$G:$G)="--",0,_xlfn.XLOOKUP(B53,'w4'!$B:$B,'w4'!$G:$G)),0)</f>
        <v>0</v>
      </c>
      <c r="AB53" s="45">
        <f>_xlfn.RANK.EQ(AA53,AA$3:AA$10000,0)</f>
        <v>68</v>
      </c>
      <c r="AC53" s="13">
        <f>IFERROR(_xlfn.XLOOKUP(B53,'w5'!$B:$B,'w5'!$C:$C),0)</f>
        <v>13</v>
      </c>
      <c r="AD53" s="12">
        <f>_xlfn.RANK.EQ(AC53,AC$3:AC$10000,0)</f>
        <v>59</v>
      </c>
      <c r="AE53" s="14">
        <f>IFERROR(_xlfn.XLOOKUP(B53,'w5'!$B:$B,'w5'!$F:$F),1)</f>
        <v>0.21875</v>
      </c>
      <c r="AF53" s="12">
        <f>_xlfn.RANK.EQ(AE53,AE$3:AE$10000,1)</f>
        <v>5</v>
      </c>
      <c r="AG53" s="12">
        <f>IFERROR(IF(_xlfn.XLOOKUP(B53,'w5'!$B:$B,'w5'!$G:$G)="--",0,_xlfn.XLOOKUP(B53,'w5'!$B:$B,'w5'!$G:$G)),0)</f>
        <v>0</v>
      </c>
      <c r="AH53" s="12">
        <f>_xlfn.RANK.EQ(AG53,AG$3:AG$10000,0)</f>
        <v>73</v>
      </c>
      <c r="AI53" s="51">
        <f>IFERROR(_xlfn.XLOOKUP(B53,'w6'!$B:$B,'w6'!$C:$C),0)</f>
        <v>0</v>
      </c>
      <c r="AJ53" s="50">
        <f>_xlfn.RANK.EQ(AI53,AI$3:AI$10000,0)</f>
        <v>65</v>
      </c>
      <c r="AK53" s="52">
        <f>IFERROR(_xlfn.XLOOKUP(B53,'w6'!$B:$B,'w6'!$F:$F),1)</f>
        <v>1</v>
      </c>
      <c r="AL53" s="50">
        <f>_xlfn.RANK.EQ(AK53,AK$3:AK$10000,1)</f>
        <v>65</v>
      </c>
      <c r="AM53" s="50">
        <f>IFERROR(IF(_xlfn.XLOOKUP(B53,'w6'!$B:$B,'w6'!$G:$G)="--",0,_xlfn.XLOOKUP(B53,'w6'!$B:$B,'w6'!$G:$G)),0)</f>
        <v>0</v>
      </c>
      <c r="AN53" s="50">
        <f>_xlfn.RANK.EQ(AM53,AM$3:AM$10000,0)</f>
        <v>61</v>
      </c>
      <c r="AO53" s="56">
        <f>IFERROR(_xlfn.XLOOKUP(B53,'w7'!$B:$B,'w7'!$C:$C),0)</f>
        <v>0</v>
      </c>
      <c r="AP53" s="57">
        <f>_xlfn.RANK.EQ(AO53,AO$3:AO$10000,0)</f>
        <v>72</v>
      </c>
      <c r="AQ53" s="58">
        <f>IFERROR(_xlfn.XLOOKUP(B53,'w7'!$B:$B,'w7'!$F:$F),1)</f>
        <v>1</v>
      </c>
      <c r="AR53" s="57">
        <f>_xlfn.RANK.EQ(AQ53,AQ$3:AQ$10000,1)</f>
        <v>72</v>
      </c>
      <c r="AS53" s="57">
        <f>IFERROR(IF(_xlfn.XLOOKUP(B53,'w7'!$B:$B,'w7'!$G:$G)="--",0,_xlfn.XLOOKUP(B53,'w7'!$B:$B,'w7'!$G:$G)),0)</f>
        <v>0</v>
      </c>
      <c r="AT53" s="57">
        <f>_xlfn.RANK.EQ(AS53,AS$3:AS$10000,0)</f>
        <v>69</v>
      </c>
      <c r="AU53" s="62">
        <f>IFERROR(_xlfn.XLOOKUP(B53,'w8'!$B:$B,'w8'!$C:$C),0)</f>
        <v>0</v>
      </c>
      <c r="AV53" s="61">
        <f>_xlfn.RANK.EQ(AU53,AU$3:AU$10000,0)</f>
        <v>73</v>
      </c>
      <c r="AW53" s="63">
        <f>IFERROR(_xlfn.XLOOKUP(B53,'w8'!$B:$B,'w8'!$F:$F),1)</f>
        <v>1</v>
      </c>
      <c r="AX53" s="61">
        <f>_xlfn.RANK.EQ(AW53,AW$3:AW$10000,1)</f>
        <v>73</v>
      </c>
      <c r="AY53" s="61">
        <f>IFERROR(IF(_xlfn.XLOOKUP(B53,'w8'!$B:$B,'w8'!$G:$G)="--",0,_xlfn.XLOOKUP(B53,'w8'!$B:$B,'w8'!$G:$G)),0)</f>
        <v>0</v>
      </c>
      <c r="AZ53" s="61">
        <f>_xlfn.RANK.EQ(AY53,AY$3:AY$10000,0)</f>
        <v>70</v>
      </c>
      <c r="BA53" s="66">
        <f>IFERROR(_xlfn.XLOOKUP(C53,'w9'!$B:$B,'w9'!$C:$C),0)</f>
        <v>0</v>
      </c>
      <c r="BB53" s="67">
        <f>_xlfn.RANK.EQ(BA53,BA$3:BA$10000,0)</f>
        <v>75</v>
      </c>
      <c r="BC53" s="68">
        <f>IFERROR(_xlfn.XLOOKUP(C53,'w9'!$B:$B,'w9'!$F:$F),1)</f>
        <v>1</v>
      </c>
      <c r="BD53" s="67">
        <f>_xlfn.RANK.EQ(BC53,BC$3:BC$10000,1)</f>
        <v>75</v>
      </c>
      <c r="BE53" s="67">
        <f>IFERROR(IF(_xlfn.XLOOKUP(C53,'w9'!$B:$B,'w9'!$G:$G)="--",0,_xlfn.XLOOKUP(C53,'w9'!$B:$B,'w9'!$G:$G)),0)</f>
        <v>0</v>
      </c>
      <c r="BF53" s="67">
        <f>_xlfn.RANK.EQ(BE53,BE$3:BE$10000,0)</f>
        <v>74</v>
      </c>
      <c r="BG53" s="72">
        <f>IFERROR(_xlfn.XLOOKUP(B53,'w10'!$B:$B,'w10'!$C:$C),0)</f>
        <v>53.9</v>
      </c>
      <c r="BH53" s="74">
        <f>_xlfn.RANK.EQ(BG53,BG$3:BG$10000,0)</f>
        <v>9</v>
      </c>
      <c r="BI53" s="75">
        <f>IFERROR(_xlfn.XLOOKUP(B53,'w10'!$B:$B,'w10'!$F:$F),1)</f>
        <v>0.21527777777777779</v>
      </c>
      <c r="BJ53" s="74">
        <f>_xlfn.RANK.EQ(BI53,BI$3:BI$10000,1)</f>
        <v>3</v>
      </c>
      <c r="BK53" s="74">
        <f>IFERROR(IF(_xlfn.XLOOKUP(B53,'w10'!$B:$B,'w10'!$G:$G)="--",0,_xlfn.XLOOKUP(B53,'w10'!$B:$B,'w10'!$G:$G)),0)</f>
        <v>358</v>
      </c>
      <c r="BL53" s="74">
        <f>_xlfn.RANK.EQ(BK53,BK$3:BK$10000,0)</f>
        <v>20</v>
      </c>
      <c r="BM53" s="78">
        <f>IFERROR(_xlfn.XLOOKUP(B53,'w11'!$B:$B,'w11'!$C:$C),0)</f>
        <v>46.2</v>
      </c>
      <c r="BN53" s="80">
        <f>_xlfn.RANK.EQ(BM53,BM$3:BM$10000,0)</f>
        <v>10</v>
      </c>
      <c r="BO53" s="81">
        <f>IFERROR(_xlfn.XLOOKUP(B53,'w11'!$B:$B,'w11'!$F:$F),1)</f>
        <v>0.22708333333333333</v>
      </c>
      <c r="BP53" s="80">
        <f>_xlfn.RANK.EQ(BO53,BO$3:BO$10000,1)</f>
        <v>9</v>
      </c>
      <c r="BQ53" s="80">
        <f>IFERROR(IF(_xlfn.XLOOKUP(B53,'w11'!$B:$B,'w11'!$G:$G)="--",0,_xlfn.XLOOKUP(B53,'w11'!$B:$B,'w11'!$G:$G)),0)</f>
        <v>472</v>
      </c>
      <c r="BR53" s="80">
        <f>_xlfn.RANK.EQ(BQ53,BQ$3:BQ$10000,0)</f>
        <v>19</v>
      </c>
      <c r="BS53" s="83">
        <f>IFERROR(_xlfn.XLOOKUP(B53,'w12'!$B:$B,'w12'!$C:$C),0)</f>
        <v>0</v>
      </c>
      <c r="BT53" s="86">
        <f>_xlfn.RANK.EQ(BS53,BS$3:BS$10000,0)</f>
        <v>76</v>
      </c>
      <c r="BU53" s="87">
        <f>IFERROR(_xlfn.XLOOKUP(B53,'w12'!$B:$B,'w12'!$F:$F),1)</f>
        <v>1</v>
      </c>
      <c r="BV53" s="86">
        <f>_xlfn.RANK.EQ(BU53,BU$3:BU$10000,1)</f>
        <v>76</v>
      </c>
      <c r="BW53" s="86">
        <f>IFERROR(IF(_xlfn.XLOOKUP(B53,'w12'!$B:$B,'w12'!$G:$G)="--",0,_xlfn.XLOOKUP(B53,'w12'!$B:$B,'w12'!$G:$G)),0)</f>
        <v>0</v>
      </c>
      <c r="BX53" s="86">
        <f>_xlfn.RANK.EQ(BW53,BW$3:BW$10000,0)</f>
        <v>73</v>
      </c>
      <c r="BY53" s="89">
        <f>IFERROR(_xlfn.XLOOKUP(B53,'w13'!$B:$B,'w13'!$C:$C),0)</f>
        <v>40.5</v>
      </c>
      <c r="BZ53" s="92">
        <f>_xlfn.RANK.EQ(BY53,BY$3:BY$10000,0)</f>
        <v>13</v>
      </c>
      <c r="CA53" s="93">
        <f>IFERROR(_xlfn.XLOOKUP(B53,'w13'!$B:$B,'w13'!$F:$F),1)</f>
        <v>0.21597222222222223</v>
      </c>
      <c r="CB53" s="92">
        <f>_xlfn.RANK.EQ(CA53,CA$3:CA$10000,1)</f>
        <v>5</v>
      </c>
      <c r="CC53" s="92">
        <f>IFERROR(IF(_xlfn.XLOOKUP(B53,'w13'!$B:$B,'w13'!$G:$G)="--",0,_xlfn.XLOOKUP(B53,'w13'!$B:$B,'w13'!$G:$G)),0)</f>
        <v>257</v>
      </c>
      <c r="CD53" s="92">
        <f>_xlfn.RANK.EQ(CC53,CC$3:CC$10000,0)</f>
        <v>28</v>
      </c>
      <c r="CE53" s="95">
        <f>IFERROR(_xlfn.XLOOKUP(B53,'w14'!$B:$B,'w14'!$C:$C),0)</f>
        <v>25.6</v>
      </c>
      <c r="CF53" s="98">
        <f>_xlfn.RANK.EQ(CE53,CE$3:CE$10000,0)</f>
        <v>36</v>
      </c>
      <c r="CG53" s="99">
        <f>IFERROR(_xlfn.XLOOKUP(B53,'w14'!$B:$B,'w14'!$F:$F),1)</f>
        <v>0.23958333333333334</v>
      </c>
      <c r="CH53" s="98">
        <f>_xlfn.RANK.EQ(CG53,CG$3:CG$10000,1)</f>
        <v>12</v>
      </c>
      <c r="CI53" s="98">
        <f>IFERROR(IF(_xlfn.XLOOKUP(B53,'w14'!$B:$B,'w14'!$G:$G)="--",0,_xlfn.XLOOKUP(B53,'w14'!$B:$B,'w14'!$G:$G)),0)</f>
        <v>273</v>
      </c>
      <c r="CJ53" s="98">
        <f>_xlfn.RANK.EQ(CI53,CI$3:CI$10000,0)</f>
        <v>32</v>
      </c>
      <c r="CK53" s="9">
        <f>_xlfn.RANK.EQ(D53,D$3:D$10000,1)</f>
        <v>51</v>
      </c>
      <c r="CL53" s="26" t="s">
        <v>92</v>
      </c>
      <c r="CM53" s="8">
        <f>SUM(E53,K53,Q53,W53,AC53,AI53,AO53,AU53,BA53,BG53,BM53,BS53,BY53,CE53)</f>
        <v>235.29999999999998</v>
      </c>
      <c r="CN53" s="9">
        <f>_xlfn.RANK.EQ(CM53,CM$3:CM$10000)</f>
        <v>52</v>
      </c>
      <c r="CO53" s="15">
        <f>IFERROR(SUM(PRODUCT(E53,G53),PRODUCT(K53,M53),PRODUCT(Q53,S53),PRODUCT(W53,Y53),PRODUCT(AC53,AE53),PRODUCT(AI53,AK53),PRODUCT(AO53,AQ53),PRODUCT(AU53,AW53),PRODUCT(BA53,BC53),PRODUCT(BG53,BI53),PRODUCT(BM53,BO53),PRODUCT(BS53,BU53),PRODUCT(BY53,CA53),PRODUCT(CE53,CG53))/CM53,1)</f>
        <v>0.22055148274070929</v>
      </c>
      <c r="CP53" s="9">
        <f>_xlfn.RANK.EQ(CO53,CO$3:CO$10000,1)</f>
        <v>2</v>
      </c>
      <c r="CQ53" s="9">
        <f>SUM(I53,O53,U53,AA53,AG53,AM53,AS53,AY53,BE53,BK53,BQ53,BW53,CC53,CI53)</f>
        <v>1576</v>
      </c>
      <c r="CR53" s="9">
        <f>_xlfn.RANK.EQ(CQ53,CQ$3:CQ$10000)</f>
        <v>64</v>
      </c>
      <c r="CS53" s="23"/>
      <c r="CT53" s="25"/>
      <c r="CU53" s="24">
        <f>_xlfn.STDEV.S(F53,L53,R53,X53,AD53,AJ53,AP53,AV53,BB53,BH53,BN53,BT53,BZ53,CF53)</f>
        <v>29.782452979808522</v>
      </c>
      <c r="CV53" s="21">
        <f>_xlfn.RANK.EQ(CU53,CU$3:CU$10000,1)</f>
        <v>106</v>
      </c>
      <c r="CW53" s="24">
        <f>_xlfn.STDEV.S(H53,N53,T53,Z53,AF53,AL53,AR53,AX53,BD53,BJ53,BP53,BV53,CB53,CH53)</f>
        <v>34.925116123840397</v>
      </c>
      <c r="CX53" s="21">
        <f>_xlfn.RANK.EQ(CW53,CW$3:CW$10000,1)</f>
        <v>106</v>
      </c>
      <c r="CY53" s="24">
        <f>_xlfn.STDEV.S(J53,P53,V53,AB53,AH53,AN53,AT53,AZ53,BF53,BL53,BR53,BX53,CD53,CJ53)</f>
        <v>22.240567824200383</v>
      </c>
      <c r="CZ53" s="21">
        <f>_xlfn.RANK.EQ(CY53,CY$3:CY$10000,1)</f>
        <v>97</v>
      </c>
      <c r="DA53">
        <f>SUM(COUNTIF(E53,"&gt;0"),COUNTIF(K53,"&gt;0"),COUNTIF(Q53,"&gt;0"),COUNTIF(W53,"&gt;0"),COUNTIF(AC53,"&gt;0"),COUNTIF(AI53,"&gt;0"),COUNTIF(AO53,"&gt;0"),COUNTIF(AU53,"&gt;0"),COUNTIF(BA53,"&gt;0"),COUNTIF(BG53,"&gt;0"),COUNTIF(BM53,"&gt;0"),COUNTIF(BS53,"&gt;0"),COUNTIF(BY53,"&gt;0"),COUNTIF(CE53,"&gt;0"))</f>
        <v>6</v>
      </c>
    </row>
    <row r="54" spans="1:105" x14ac:dyDescent="0.3">
      <c r="B54" t="s">
        <v>43</v>
      </c>
      <c r="C54" s="18" t="s">
        <v>120</v>
      </c>
      <c r="D54" s="4">
        <f>CN54*$CN$1+CP54*$CP$1+CR54*$CR$1</f>
        <v>51.55</v>
      </c>
      <c r="E54" s="29">
        <f>IFERROR(_xlfn.XLOOKUP(B54,'w1'!$B:$B,'w1'!$C:$C),0)</f>
        <v>22.3</v>
      </c>
      <c r="F54" s="30">
        <f>_xlfn.RANK.EQ(E54,E$3:E$10000,0)</f>
        <v>40</v>
      </c>
      <c r="G54" s="31">
        <f>IFERROR(_xlfn.XLOOKUP(B54,'w1'!$B:$B,'w1'!$F:$F),1)</f>
        <v>0.32777777777777778</v>
      </c>
      <c r="H54" s="30">
        <f>_xlfn.RANK.EQ(G54,G$3:G$10000,1)</f>
        <v>66</v>
      </c>
      <c r="I54" s="30">
        <f>IFERROR(IF(_xlfn.XLOOKUP(B54,'w1'!$B:$B,'w1'!$G:$G)="--",0,_xlfn.XLOOKUP(B54,'w1'!$B:$B,'w1'!$G:$G)),0)</f>
        <v>528</v>
      </c>
      <c r="J54" s="30">
        <f>_xlfn.RANK.EQ(I54,I$3:I$10000,0)</f>
        <v>18</v>
      </c>
      <c r="K54" s="34">
        <f>IFERROR(_xlfn.XLOOKUP(B54,'w2'!$B:$B,'w2'!$C:$C),0)</f>
        <v>0</v>
      </c>
      <c r="L54" s="35">
        <f>_xlfn.RANK.EQ(K54,K$3:K$10000,0)</f>
        <v>73</v>
      </c>
      <c r="M54" s="36">
        <f>IFERROR(_xlfn.XLOOKUP(B54,'w2'!$B:$B,'w2'!$F:$F),1)</f>
        <v>1</v>
      </c>
      <c r="N54" s="35">
        <f>_xlfn.RANK.EQ(M54,M$3:M$10000,1)</f>
        <v>72</v>
      </c>
      <c r="O54" s="35">
        <f>IFERROR(IF(_xlfn.XLOOKUP(B54,'w2'!$B:$B,'w2'!$G:$G)="--",0,_xlfn.XLOOKUP(B54,'w2'!$B:$B,'w2'!$G:$G)),0)</f>
        <v>0</v>
      </c>
      <c r="P54" s="35">
        <f>_xlfn.RANK.EQ(O54,O$3:O$10000,0)</f>
        <v>71</v>
      </c>
      <c r="Q54" s="39">
        <f>IFERROR(_xlfn.XLOOKUP(B54,'w3'!$B:$B,'w3'!$C:$C),0)</f>
        <v>10.6</v>
      </c>
      <c r="R54" s="40">
        <f>_xlfn.RANK.EQ(Q54,Q$3:Q$10000,0)</f>
        <v>63</v>
      </c>
      <c r="S54" s="41">
        <f>IFERROR(_xlfn.XLOOKUP(B54,'w3'!$B:$B,'w3'!$F:$F),1)</f>
        <v>0.32847222222222222</v>
      </c>
      <c r="T54" s="40">
        <f>_xlfn.RANK.EQ(S54,S$3:S$10000,1)</f>
        <v>67</v>
      </c>
      <c r="U54" s="40">
        <f>IFERROR(IF(_xlfn.XLOOKUP(B54,'w3'!$B:$B,'w3'!$G:$G)="--",0,_xlfn.XLOOKUP(B54,'w3'!$B:$B,'w3'!$G:$G)),0)</f>
        <v>137</v>
      </c>
      <c r="V54" s="40">
        <f>_xlfn.RANK.EQ(U54,U$3:U$10000,0)</f>
        <v>44</v>
      </c>
      <c r="W54" s="44">
        <f>IFERROR(_xlfn.XLOOKUP(B54,'w4'!$B:$B,'w4'!$C:$C),0)</f>
        <v>9.3000000000000007</v>
      </c>
      <c r="X54" s="45">
        <f>_xlfn.RANK.EQ(W54,W$3:W$10000,0)</f>
        <v>64</v>
      </c>
      <c r="Y54" s="46">
        <f>IFERROR(_xlfn.XLOOKUP(B54,'w4'!$B:$B,'w4'!$F:$F),1)</f>
        <v>0.34583333333333333</v>
      </c>
      <c r="Z54" s="45">
        <f>_xlfn.RANK.EQ(Y54,Y$3:Y$10000,1)</f>
        <v>63</v>
      </c>
      <c r="AA54" s="45">
        <f>IFERROR(IF(_xlfn.XLOOKUP(B54,'w4'!$B:$B,'w4'!$G:$G)="--",0,_xlfn.XLOOKUP(B54,'w4'!$B:$B,'w4'!$G:$G)),0)</f>
        <v>149</v>
      </c>
      <c r="AB54" s="45">
        <f>_xlfn.RANK.EQ(AA54,AA$3:AA$10000,0)</f>
        <v>40</v>
      </c>
      <c r="AC54" s="13">
        <f>IFERROR(_xlfn.XLOOKUP(B54,'w5'!$B:$B,'w5'!$C:$C),0)</f>
        <v>45</v>
      </c>
      <c r="AD54" s="12">
        <f>_xlfn.RANK.EQ(AC54,AC$3:AC$10000,0)</f>
        <v>14</v>
      </c>
      <c r="AE54" s="14">
        <f>IFERROR(_xlfn.XLOOKUP(B54,'w5'!$B:$B,'w5'!$F:$F),1)</f>
        <v>0.33958333333333335</v>
      </c>
      <c r="AF54" s="12">
        <f>_xlfn.RANK.EQ(AE54,AE$3:AE$10000,1)</f>
        <v>54</v>
      </c>
      <c r="AG54" s="12">
        <f>IFERROR(IF(_xlfn.XLOOKUP(B54,'w5'!$B:$B,'w5'!$G:$G)="--",0,_xlfn.XLOOKUP(B54,'w5'!$B:$B,'w5'!$G:$G)),0)</f>
        <v>664</v>
      </c>
      <c r="AH54" s="12">
        <f>_xlfn.RANK.EQ(AG54,AG$3:AG$10000,0)</f>
        <v>21</v>
      </c>
      <c r="AI54" s="51">
        <f>IFERROR(_xlfn.XLOOKUP(B54,'w6'!$B:$B,'w6'!$C:$C),0)</f>
        <v>10.3</v>
      </c>
      <c r="AJ54" s="50">
        <f>_xlfn.RANK.EQ(AI54,AI$3:AI$10000,0)</f>
        <v>45</v>
      </c>
      <c r="AK54" s="52">
        <f>IFERROR(_xlfn.XLOOKUP(B54,'w6'!$B:$B,'w6'!$F:$F),1)</f>
        <v>0.42638888888888887</v>
      </c>
      <c r="AL54" s="50">
        <f>_xlfn.RANK.EQ(AK54,AK$3:AK$10000,1)</f>
        <v>61</v>
      </c>
      <c r="AM54" s="50">
        <f>IFERROR(IF(_xlfn.XLOOKUP(B54,'w6'!$B:$B,'w6'!$G:$G)="--",0,_xlfn.XLOOKUP(B54,'w6'!$B:$B,'w6'!$G:$G)),0)</f>
        <v>307</v>
      </c>
      <c r="AN54" s="50">
        <f>_xlfn.RANK.EQ(AM54,AM$3:AM$10000,0)</f>
        <v>22</v>
      </c>
      <c r="AO54" s="56">
        <f>IFERROR(_xlfn.XLOOKUP(B54,'w7'!$B:$B,'w7'!$C:$C),0)</f>
        <v>7.4</v>
      </c>
      <c r="AP54" s="57">
        <f>_xlfn.RANK.EQ(AO54,AO$3:AO$10000,0)</f>
        <v>61</v>
      </c>
      <c r="AQ54" s="58">
        <f>IFERROR(_xlfn.XLOOKUP(B54,'w7'!$B:$B,'w7'!$F:$F),1)</f>
        <v>0.42986111111111114</v>
      </c>
      <c r="AR54" s="57">
        <f>_xlfn.RANK.EQ(AQ54,AQ$3:AQ$10000,1)</f>
        <v>64</v>
      </c>
      <c r="AS54" s="57">
        <f>IFERROR(IF(_xlfn.XLOOKUP(B54,'w7'!$B:$B,'w7'!$G:$G)="--",0,_xlfn.XLOOKUP(B54,'w7'!$B:$B,'w7'!$G:$G)),0)</f>
        <v>156</v>
      </c>
      <c r="AT54" s="57">
        <f>_xlfn.RANK.EQ(AS54,AS$3:AS$10000,0)</f>
        <v>40</v>
      </c>
      <c r="AU54" s="62">
        <f>IFERROR(_xlfn.XLOOKUP(B54,'w8'!$B:$B,'w8'!$C:$C),0)</f>
        <v>27.9</v>
      </c>
      <c r="AV54" s="61">
        <f>_xlfn.RANK.EQ(AU54,AU$3:AU$10000,0)</f>
        <v>35</v>
      </c>
      <c r="AW54" s="63">
        <f>IFERROR(_xlfn.XLOOKUP(B54,'w8'!$B:$B,'w8'!$F:$F),1)</f>
        <v>0.41319444444444442</v>
      </c>
      <c r="AX54" s="61">
        <f>_xlfn.RANK.EQ(AW54,AW$3:AW$10000,1)</f>
        <v>68</v>
      </c>
      <c r="AY54" s="61">
        <f>IFERROR(IF(_xlfn.XLOOKUP(B54,'w8'!$B:$B,'w8'!$G:$G)="--",0,_xlfn.XLOOKUP(B54,'w8'!$B:$B,'w8'!$G:$G)),0)</f>
        <v>537</v>
      </c>
      <c r="AZ54" s="61">
        <f>_xlfn.RANK.EQ(AY54,AY$3:AY$10000,0)</f>
        <v>20</v>
      </c>
      <c r="BA54" s="66">
        <f>IFERROR(_xlfn.XLOOKUP(C54,'w9'!$B:$B,'w9'!$C:$C),0)</f>
        <v>36.6</v>
      </c>
      <c r="BB54" s="67">
        <f>_xlfn.RANK.EQ(BA54,BA$3:BA$10000,0)</f>
        <v>27</v>
      </c>
      <c r="BC54" s="68">
        <f>IFERROR(_xlfn.XLOOKUP(C54,'w9'!$B:$B,'w9'!$F:$F),1)</f>
        <v>0.39583333333333331</v>
      </c>
      <c r="BD54" s="67">
        <f>_xlfn.RANK.EQ(BC54,BC$3:BC$10000,1)</f>
        <v>70</v>
      </c>
      <c r="BE54" s="67">
        <f>IFERROR(IF(_xlfn.XLOOKUP(C54,'w9'!$B:$B,'w9'!$G:$G)="--",0,_xlfn.XLOOKUP(C54,'w9'!$B:$B,'w9'!$G:$G)),0)</f>
        <v>488</v>
      </c>
      <c r="BF54" s="67">
        <f>_xlfn.RANK.EQ(BE54,BE$3:BE$10000,0)</f>
        <v>28</v>
      </c>
      <c r="BG54" s="72">
        <f>IFERROR(_xlfn.XLOOKUP(B54,'w10'!$B:$B,'w10'!$C:$C),0)</f>
        <v>18.8</v>
      </c>
      <c r="BH54" s="74">
        <f>_xlfn.RANK.EQ(BG54,BG$3:BG$10000,0)</f>
        <v>46</v>
      </c>
      <c r="BI54" s="75">
        <f>IFERROR(_xlfn.XLOOKUP(B54,'w10'!$B:$B,'w10'!$F:$F),1)</f>
        <v>0.32361111111111113</v>
      </c>
      <c r="BJ54" s="74">
        <f>_xlfn.RANK.EQ(BI54,BI$3:BI$10000,1)</f>
        <v>59</v>
      </c>
      <c r="BK54" s="74">
        <f>IFERROR(IF(_xlfn.XLOOKUP(B54,'w10'!$B:$B,'w10'!$G:$G)="--",0,_xlfn.XLOOKUP(B54,'w10'!$B:$B,'w10'!$G:$G)),0)</f>
        <v>88</v>
      </c>
      <c r="BL54" s="74">
        <f>_xlfn.RANK.EQ(BK54,BK$3:BK$10000,0)</f>
        <v>62</v>
      </c>
      <c r="BM54" s="78">
        <f>IFERROR(_xlfn.XLOOKUP(B54,'w11'!$B:$B,'w11'!$C:$C),0)</f>
        <v>21.1</v>
      </c>
      <c r="BN54" s="80">
        <f>_xlfn.RANK.EQ(BM54,BM$3:BM$10000,0)</f>
        <v>40</v>
      </c>
      <c r="BO54" s="81">
        <f>IFERROR(_xlfn.XLOOKUP(B54,'w11'!$B:$B,'w11'!$F:$F),1)</f>
        <v>0.30277777777777776</v>
      </c>
      <c r="BP54" s="80">
        <f>_xlfn.RANK.EQ(BO54,BO$3:BO$10000,1)</f>
        <v>51</v>
      </c>
      <c r="BQ54" s="80">
        <f>IFERROR(IF(_xlfn.XLOOKUP(B54,'w11'!$B:$B,'w11'!$G:$G)="--",0,_xlfn.XLOOKUP(B54,'w11'!$B:$B,'w11'!$G:$G)),0)</f>
        <v>95</v>
      </c>
      <c r="BR54" s="80">
        <f>_xlfn.RANK.EQ(BQ54,BQ$3:BQ$10000,0)</f>
        <v>56</v>
      </c>
      <c r="BS54" s="83">
        <f>IFERROR(_xlfn.XLOOKUP(B54,'w12'!$B:$B,'w12'!$C:$C),0)</f>
        <v>9</v>
      </c>
      <c r="BT54" s="86">
        <f>_xlfn.RANK.EQ(BS54,BS$3:BS$10000,0)</f>
        <v>65</v>
      </c>
      <c r="BU54" s="87">
        <f>IFERROR(_xlfn.XLOOKUP(B54,'w12'!$B:$B,'w12'!$F:$F),1)</f>
        <v>0.35347222222222224</v>
      </c>
      <c r="BV54" s="86">
        <f>_xlfn.RANK.EQ(BU54,BU$3:BU$10000,1)</f>
        <v>68</v>
      </c>
      <c r="BW54" s="86">
        <f>IFERROR(IF(_xlfn.XLOOKUP(B54,'w12'!$B:$B,'w12'!$G:$G)="--",0,_xlfn.XLOOKUP(B54,'w12'!$B:$B,'w12'!$G:$G)),0)</f>
        <v>249</v>
      </c>
      <c r="BX54" s="86">
        <f>_xlfn.RANK.EQ(BW54,BW$3:BW$10000,0)</f>
        <v>29</v>
      </c>
      <c r="BY54" s="89">
        <f>IFERROR(_xlfn.XLOOKUP(B54,'w13'!$B:$B,'w13'!$C:$C),0)</f>
        <v>9.5</v>
      </c>
      <c r="BZ54" s="92">
        <f>_xlfn.RANK.EQ(BY54,BY$3:BY$10000,0)</f>
        <v>67</v>
      </c>
      <c r="CA54" s="93">
        <f>IFERROR(_xlfn.XLOOKUP(B54,'w13'!$B:$B,'w13'!$F:$F),1)</f>
        <v>0.3659722222222222</v>
      </c>
      <c r="CB54" s="92">
        <f>_xlfn.RANK.EQ(CA54,CA$3:CA$10000,1)</f>
        <v>64</v>
      </c>
      <c r="CC54" s="92">
        <f>IFERROR(IF(_xlfn.XLOOKUP(B54,'w13'!$B:$B,'w13'!$G:$G)="--",0,_xlfn.XLOOKUP(B54,'w13'!$B:$B,'w13'!$G:$G)),0)</f>
        <v>64</v>
      </c>
      <c r="CD54" s="92">
        <f>_xlfn.RANK.EQ(CC54,CC$3:CC$10000,0)</f>
        <v>62</v>
      </c>
      <c r="CE54" s="95">
        <f>IFERROR(_xlfn.XLOOKUP(B54,'w14'!$B:$B,'w14'!$C:$C),0)</f>
        <v>18.2</v>
      </c>
      <c r="CF54" s="98">
        <f>_xlfn.RANK.EQ(CE54,CE$3:CE$10000,0)</f>
        <v>45</v>
      </c>
      <c r="CG54" s="99">
        <f>IFERROR(_xlfn.XLOOKUP(B54,'w14'!$B:$B,'w14'!$F:$F),1)</f>
        <v>0.3611111111111111</v>
      </c>
      <c r="CH54" s="98">
        <f>_xlfn.RANK.EQ(CG54,CG$3:CG$10000,1)</f>
        <v>56</v>
      </c>
      <c r="CI54" s="98">
        <f>IFERROR(IF(_xlfn.XLOOKUP(B54,'w14'!$B:$B,'w14'!$G:$G)="--",0,_xlfn.XLOOKUP(B54,'w14'!$B:$B,'w14'!$G:$G)),0)</f>
        <v>320</v>
      </c>
      <c r="CJ54" s="98">
        <f>_xlfn.RANK.EQ(CI54,CI$3:CI$10000,0)</f>
        <v>30</v>
      </c>
      <c r="CK54" s="9">
        <f>_xlfn.RANK.EQ(D54,D$3:D$10000,1)</f>
        <v>52</v>
      </c>
      <c r="CL54" s="26" t="s">
        <v>120</v>
      </c>
      <c r="CM54" s="8">
        <f>SUM(E54,K54,Q54,W54,AC54,AI54,AO54,AU54,BA54,BG54,BM54,BS54,BY54,CE54)</f>
        <v>246</v>
      </c>
      <c r="CN54" s="9">
        <f>_xlfn.RANK.EQ(CM54,CM$3:CM$10000)</f>
        <v>51</v>
      </c>
      <c r="CO54" s="15">
        <f>IFERROR(SUM(PRODUCT(E54,G54),PRODUCT(K54,M54),PRODUCT(Q54,S54),PRODUCT(W54,Y54),PRODUCT(AC54,AE54),PRODUCT(AI54,AK54),PRODUCT(AO54,AQ54),PRODUCT(AU54,AW54),PRODUCT(BA54,BC54),PRODUCT(BG54,BI54),PRODUCT(BM54,BO54),PRODUCT(BS54,BU54),PRODUCT(BY54,CA54),PRODUCT(CE54,CG54))/CM54,1)</f>
        <v>0.36008073622402897</v>
      </c>
      <c r="CP54" s="9">
        <f>_xlfn.RANK.EQ(CO54,CO$3:CO$10000,1)</f>
        <v>90</v>
      </c>
      <c r="CQ54" s="9">
        <f>SUM(I54,O54,U54,AA54,AG54,AM54,AS54,AY54,BE54,BK54,BQ54,BW54,CC54,CI54)</f>
        <v>3782</v>
      </c>
      <c r="CR54" s="9">
        <f>_xlfn.RANK.EQ(CQ54,CQ$3:CQ$10000)</f>
        <v>34</v>
      </c>
      <c r="CS54" s="23"/>
      <c r="CT54" s="25"/>
      <c r="CU54" s="24">
        <f>_xlfn.STDEV.S(F54,L54,R54,X54,AD54,AJ54,AP54,AV54,BB54,BH54,BN54,BT54,BZ54,CF54)</f>
        <v>17.161962796631599</v>
      </c>
      <c r="CV54" s="21">
        <f>_xlfn.RANK.EQ(CU54,CU$3:CU$10000,1)</f>
        <v>78</v>
      </c>
      <c r="CW54" s="24">
        <f>_xlfn.STDEV.S(H54,N54,T54,Z54,AF54,AL54,AR54,AX54,BD54,BJ54,BP54,BV54,CB54,CH54)</f>
        <v>6.2074928137668461</v>
      </c>
      <c r="CX54" s="21">
        <f>_xlfn.RANK.EQ(CW54,CW$3:CW$10000,1)</f>
        <v>9</v>
      </c>
      <c r="CY54" s="24">
        <f>_xlfn.STDEV.S(J54,P54,V54,AB54,AH54,AN54,AT54,AZ54,BF54,BL54,BR54,BX54,CD54,CJ54)</f>
        <v>17.790138026137146</v>
      </c>
      <c r="CZ54" s="21">
        <f>_xlfn.RANK.EQ(CY54,CY$3:CY$10000,1)</f>
        <v>73</v>
      </c>
      <c r="DA54">
        <f>SUM(COUNTIF(E54,"&gt;0"),COUNTIF(K54,"&gt;0"),COUNTIF(Q54,"&gt;0"),COUNTIF(W54,"&gt;0"),COUNTIF(AC54,"&gt;0"),COUNTIF(AI54,"&gt;0"),COUNTIF(AO54,"&gt;0"),COUNTIF(AU54,"&gt;0"),COUNTIF(BA54,"&gt;0"),COUNTIF(BG54,"&gt;0"),COUNTIF(BM54,"&gt;0"),COUNTIF(BS54,"&gt;0"),COUNTIF(BY54,"&gt;0"),COUNTIF(CE54,"&gt;0"))</f>
        <v>13</v>
      </c>
    </row>
    <row r="55" spans="1:105" x14ac:dyDescent="0.3">
      <c r="B55" t="s">
        <v>16</v>
      </c>
      <c r="C55" s="18" t="s">
        <v>151</v>
      </c>
      <c r="D55" s="4">
        <f>CN55*$CN$1+CP55*$CP$1+CR55*$CR$1</f>
        <v>53.05</v>
      </c>
      <c r="E55" s="29">
        <f>IFERROR(_xlfn.XLOOKUP(B55,'w1'!$B:$B,'w1'!$C:$C),0)</f>
        <v>45.7</v>
      </c>
      <c r="F55" s="30">
        <f>_xlfn.RANK.EQ(E55,E$3:E$10000,0)</f>
        <v>13</v>
      </c>
      <c r="G55" s="31">
        <f>IFERROR(_xlfn.XLOOKUP(B55,'w1'!$B:$B,'w1'!$F:$F),1)</f>
        <v>0.26944444444444443</v>
      </c>
      <c r="H55" s="30">
        <f>_xlfn.RANK.EQ(G55,G$3:G$10000,1)</f>
        <v>37</v>
      </c>
      <c r="I55" s="30">
        <f>IFERROR(IF(_xlfn.XLOOKUP(B55,'w1'!$B:$B,'w1'!$G:$G)="--",0,_xlfn.XLOOKUP(B55,'w1'!$B:$B,'w1'!$G:$G)),0)</f>
        <v>782</v>
      </c>
      <c r="J55" s="30">
        <f>_xlfn.RANK.EQ(I55,I$3:I$10000,0)</f>
        <v>11</v>
      </c>
      <c r="K55" s="34">
        <f>IFERROR(_xlfn.XLOOKUP(B55,'w2'!$B:$B,'w2'!$C:$C),0)</f>
        <v>38.200000000000003</v>
      </c>
      <c r="L55" s="35">
        <f>_xlfn.RANK.EQ(K55,K$3:K$10000,0)</f>
        <v>17</v>
      </c>
      <c r="M55" s="36">
        <f>IFERROR(_xlfn.XLOOKUP(B55,'w2'!$B:$B,'w2'!$F:$F),1)</f>
        <v>0.23958333333333334</v>
      </c>
      <c r="N55" s="35">
        <f>_xlfn.RANK.EQ(M55,M$3:M$10000,1)</f>
        <v>9</v>
      </c>
      <c r="O55" s="35">
        <f>IFERROR(IF(_xlfn.XLOOKUP(B55,'w2'!$B:$B,'w2'!$G:$G)="--",0,_xlfn.XLOOKUP(B55,'w2'!$B:$B,'w2'!$G:$G)),0)</f>
        <v>426</v>
      </c>
      <c r="P55" s="35">
        <f>_xlfn.RANK.EQ(O55,O$3:O$10000,0)</f>
        <v>26</v>
      </c>
      <c r="Q55" s="39">
        <f>IFERROR(_xlfn.XLOOKUP(B55,'w3'!$B:$B,'w3'!$C:$C),0)</f>
        <v>38.5</v>
      </c>
      <c r="R55" s="40">
        <f>_xlfn.RANK.EQ(Q55,Q$3:Q$10000,0)</f>
        <v>20</v>
      </c>
      <c r="S55" s="41">
        <f>IFERROR(_xlfn.XLOOKUP(B55,'w3'!$B:$B,'w3'!$F:$F),1)</f>
        <v>0.31111111111111112</v>
      </c>
      <c r="T55" s="40">
        <f>_xlfn.RANK.EQ(S55,S$3:S$10000,1)</f>
        <v>58</v>
      </c>
      <c r="U55" s="40">
        <f>IFERROR(IF(_xlfn.XLOOKUP(B55,'w3'!$B:$B,'w3'!$G:$G)="--",0,_xlfn.XLOOKUP(B55,'w3'!$B:$B,'w3'!$G:$G)),0)</f>
        <v>1171</v>
      </c>
      <c r="V55" s="40">
        <f>_xlfn.RANK.EQ(U55,U$3:U$10000,0)</f>
        <v>10</v>
      </c>
      <c r="W55" s="44">
        <f>IFERROR(_xlfn.XLOOKUP(B55,'w4'!$B:$B,'w4'!$C:$C),0)</f>
        <v>56.7</v>
      </c>
      <c r="X55" s="45">
        <f>_xlfn.RANK.EQ(W55,W$3:W$10000,0)</f>
        <v>7</v>
      </c>
      <c r="Y55" s="46">
        <f>IFERROR(_xlfn.XLOOKUP(B55,'w4'!$B:$B,'w4'!$F:$F),1)</f>
        <v>0.31944444444444442</v>
      </c>
      <c r="Z55" s="45">
        <f>_xlfn.RANK.EQ(Y55,Y$3:Y$10000,1)</f>
        <v>54</v>
      </c>
      <c r="AA55" s="45">
        <f>IFERROR(IF(_xlfn.XLOOKUP(B55,'w4'!$B:$B,'w4'!$G:$G)="--",0,_xlfn.XLOOKUP(B55,'w4'!$B:$B,'w4'!$G:$G)),0)</f>
        <v>2120</v>
      </c>
      <c r="AB55" s="45">
        <f>_xlfn.RANK.EQ(AA55,AA$3:AA$10000,0)</f>
        <v>3</v>
      </c>
      <c r="AC55" s="13">
        <f>IFERROR(_xlfn.XLOOKUP(B55,'w5'!$B:$B,'w5'!$C:$C),0)</f>
        <v>30.7</v>
      </c>
      <c r="AD55" s="12">
        <f>_xlfn.RANK.EQ(AC55,AC$3:AC$10000,0)</f>
        <v>35</v>
      </c>
      <c r="AE55" s="14">
        <f>IFERROR(_xlfn.XLOOKUP(B55,'w5'!$B:$B,'w5'!$F:$F),1)</f>
        <v>0.23194444444444445</v>
      </c>
      <c r="AF55" s="12">
        <f>_xlfn.RANK.EQ(AE55,AE$3:AE$10000,1)</f>
        <v>10</v>
      </c>
      <c r="AG55" s="12">
        <f>IFERROR(IF(_xlfn.XLOOKUP(B55,'w5'!$B:$B,'w5'!$G:$G)="--",0,_xlfn.XLOOKUP(B55,'w5'!$B:$B,'w5'!$G:$G)),0)</f>
        <v>115</v>
      </c>
      <c r="AH55" s="12">
        <f>_xlfn.RANK.EQ(AG55,AG$3:AG$10000,0)</f>
        <v>59</v>
      </c>
      <c r="AI55" s="51">
        <f>IFERROR(_xlfn.XLOOKUP(B55,'w6'!$B:$B,'w6'!$C:$C),0)</f>
        <v>0</v>
      </c>
      <c r="AJ55" s="50">
        <f>_xlfn.RANK.EQ(AI55,AI$3:AI$10000,0)</f>
        <v>65</v>
      </c>
      <c r="AK55" s="52">
        <f>IFERROR(_xlfn.XLOOKUP(B55,'w6'!$B:$B,'w6'!$F:$F),1)</f>
        <v>1</v>
      </c>
      <c r="AL55" s="50">
        <f>_xlfn.RANK.EQ(AK55,AK$3:AK$10000,1)</f>
        <v>65</v>
      </c>
      <c r="AM55" s="50">
        <f>IFERROR(IF(_xlfn.XLOOKUP(B55,'w6'!$B:$B,'w6'!$G:$G)="--",0,_xlfn.XLOOKUP(B55,'w6'!$B:$B,'w6'!$G:$G)),0)</f>
        <v>0</v>
      </c>
      <c r="AN55" s="50">
        <f>_xlfn.RANK.EQ(AM55,AM$3:AM$10000,0)</f>
        <v>61</v>
      </c>
      <c r="AO55" s="56">
        <f>IFERROR(_xlfn.XLOOKUP(B55,'w7'!$B:$B,'w7'!$C:$C),0)</f>
        <v>0</v>
      </c>
      <c r="AP55" s="57">
        <f>_xlfn.RANK.EQ(AO55,AO$3:AO$10000,0)</f>
        <v>72</v>
      </c>
      <c r="AQ55" s="58">
        <f>IFERROR(_xlfn.XLOOKUP(B55,'w7'!$B:$B,'w7'!$F:$F),1)</f>
        <v>1</v>
      </c>
      <c r="AR55" s="57">
        <f>_xlfn.RANK.EQ(AQ55,AQ$3:AQ$10000,1)</f>
        <v>72</v>
      </c>
      <c r="AS55" s="57">
        <f>IFERROR(IF(_xlfn.XLOOKUP(B55,'w7'!$B:$B,'w7'!$G:$G)="--",0,_xlfn.XLOOKUP(B55,'w7'!$B:$B,'w7'!$G:$G)),0)</f>
        <v>0</v>
      </c>
      <c r="AT55" s="57">
        <f>_xlfn.RANK.EQ(AS55,AS$3:AS$10000,0)</f>
        <v>69</v>
      </c>
      <c r="AU55" s="62">
        <f>IFERROR(_xlfn.XLOOKUP(B55,'w8'!$B:$B,'w8'!$C:$C),0)</f>
        <v>0</v>
      </c>
      <c r="AV55" s="61">
        <f>_xlfn.RANK.EQ(AU55,AU$3:AU$10000,0)</f>
        <v>73</v>
      </c>
      <c r="AW55" s="63">
        <f>IFERROR(_xlfn.XLOOKUP(B55,'w8'!$B:$B,'w8'!$F:$F),1)</f>
        <v>1</v>
      </c>
      <c r="AX55" s="61">
        <f>_xlfn.RANK.EQ(AW55,AW$3:AW$10000,1)</f>
        <v>73</v>
      </c>
      <c r="AY55" s="61">
        <f>IFERROR(IF(_xlfn.XLOOKUP(B55,'w8'!$B:$B,'w8'!$G:$G)="--",0,_xlfn.XLOOKUP(B55,'w8'!$B:$B,'w8'!$G:$G)),0)</f>
        <v>0</v>
      </c>
      <c r="AZ55" s="61">
        <f>_xlfn.RANK.EQ(AY55,AY$3:AY$10000,0)</f>
        <v>70</v>
      </c>
      <c r="BA55" s="66">
        <f>IFERROR(_xlfn.XLOOKUP(C55,'w9'!$B:$B,'w9'!$C:$C),0)</f>
        <v>0</v>
      </c>
      <c r="BB55" s="67">
        <f>_xlfn.RANK.EQ(BA55,BA$3:BA$10000,0)</f>
        <v>75</v>
      </c>
      <c r="BC55" s="68">
        <f>IFERROR(_xlfn.XLOOKUP(C55,'w9'!$B:$B,'w9'!$F:$F),1)</f>
        <v>1</v>
      </c>
      <c r="BD55" s="67">
        <f>_xlfn.RANK.EQ(BC55,BC$3:BC$10000,1)</f>
        <v>75</v>
      </c>
      <c r="BE55" s="67">
        <f>IFERROR(IF(_xlfn.XLOOKUP(C55,'w9'!$B:$B,'w9'!$G:$G)="--",0,_xlfn.XLOOKUP(C55,'w9'!$B:$B,'w9'!$G:$G)),0)</f>
        <v>0</v>
      </c>
      <c r="BF55" s="67">
        <f>_xlfn.RANK.EQ(BE55,BE$3:BE$10000,0)</f>
        <v>74</v>
      </c>
      <c r="BG55" s="72">
        <f>IFERROR(_xlfn.XLOOKUP(B55,'w10'!$B:$B,'w10'!$C:$C),0)</f>
        <v>0</v>
      </c>
      <c r="BH55" s="74">
        <f>_xlfn.RANK.EQ(BG55,BG$3:BG$10000,0)</f>
        <v>77</v>
      </c>
      <c r="BI55" s="75">
        <f>IFERROR(_xlfn.XLOOKUP(B55,'w10'!$B:$B,'w10'!$F:$F),1)</f>
        <v>1</v>
      </c>
      <c r="BJ55" s="74">
        <f>_xlfn.RANK.EQ(BI55,BI$3:BI$10000,1)</f>
        <v>76</v>
      </c>
      <c r="BK55" s="74">
        <f>IFERROR(IF(_xlfn.XLOOKUP(B55,'w10'!$B:$B,'w10'!$G:$G)="--",0,_xlfn.XLOOKUP(B55,'w10'!$B:$B,'w10'!$G:$G)),0)</f>
        <v>0</v>
      </c>
      <c r="BL55" s="74">
        <f>_xlfn.RANK.EQ(BK55,BK$3:BK$10000,0)</f>
        <v>76</v>
      </c>
      <c r="BM55" s="78">
        <f>IFERROR(_xlfn.XLOOKUP(B55,'w11'!$B:$B,'w11'!$C:$C),0)</f>
        <v>0</v>
      </c>
      <c r="BN55" s="80">
        <f>_xlfn.RANK.EQ(BM55,BM$3:BM$10000,0)</f>
        <v>76</v>
      </c>
      <c r="BO55" s="81">
        <f>IFERROR(_xlfn.XLOOKUP(B55,'w11'!$B:$B,'w11'!$F:$F),1)</f>
        <v>1</v>
      </c>
      <c r="BP55" s="80">
        <f>_xlfn.RANK.EQ(BO55,BO$3:BO$10000,1)</f>
        <v>76</v>
      </c>
      <c r="BQ55" s="80">
        <f>IFERROR(IF(_xlfn.XLOOKUP(B55,'w11'!$B:$B,'w11'!$G:$G)="--",0,_xlfn.XLOOKUP(B55,'w11'!$B:$B,'w11'!$G:$G)),0)</f>
        <v>0</v>
      </c>
      <c r="BR55" s="80">
        <f>_xlfn.RANK.EQ(BQ55,BQ$3:BQ$10000,0)</f>
        <v>75</v>
      </c>
      <c r="BS55" s="83">
        <f>IFERROR(_xlfn.XLOOKUP(B55,'w12'!$B:$B,'w12'!$C:$C),0)</f>
        <v>0</v>
      </c>
      <c r="BT55" s="86">
        <f>_xlfn.RANK.EQ(BS55,BS$3:BS$10000,0)</f>
        <v>76</v>
      </c>
      <c r="BU55" s="87">
        <f>IFERROR(_xlfn.XLOOKUP(B55,'w12'!$B:$B,'w12'!$F:$F),1)</f>
        <v>1</v>
      </c>
      <c r="BV55" s="86">
        <f>_xlfn.RANK.EQ(BU55,BU$3:BU$10000,1)</f>
        <v>76</v>
      </c>
      <c r="BW55" s="86">
        <f>IFERROR(IF(_xlfn.XLOOKUP(B55,'w12'!$B:$B,'w12'!$G:$G)="--",0,_xlfn.XLOOKUP(B55,'w12'!$B:$B,'w12'!$G:$G)),0)</f>
        <v>0</v>
      </c>
      <c r="BX55" s="86">
        <f>_xlfn.RANK.EQ(BW55,BW$3:BW$10000,0)</f>
        <v>73</v>
      </c>
      <c r="BY55" s="89">
        <f>IFERROR(_xlfn.XLOOKUP(B55,'w13'!$B:$B,'w13'!$C:$C),0)</f>
        <v>0</v>
      </c>
      <c r="BZ55" s="92">
        <f>_xlfn.RANK.EQ(BY55,BY$3:BY$10000,0)</f>
        <v>76</v>
      </c>
      <c r="CA55" s="93">
        <f>IFERROR(_xlfn.XLOOKUP(B55,'w13'!$B:$B,'w13'!$F:$F),1)</f>
        <v>1</v>
      </c>
      <c r="CB55" s="92">
        <f>_xlfn.RANK.EQ(CA55,CA$3:CA$10000,1)</f>
        <v>76</v>
      </c>
      <c r="CC55" s="92">
        <f>IFERROR(IF(_xlfn.XLOOKUP(B55,'w13'!$B:$B,'w13'!$G:$G)="--",0,_xlfn.XLOOKUP(B55,'w13'!$B:$B,'w13'!$G:$G)),0)</f>
        <v>0</v>
      </c>
      <c r="CD55" s="92">
        <f>_xlfn.RANK.EQ(CC55,CC$3:CC$10000,0)</f>
        <v>76</v>
      </c>
      <c r="CE55" s="95">
        <f>IFERROR(_xlfn.XLOOKUP(B55,'w14'!$B:$B,'w14'!$C:$C),0)</f>
        <v>0</v>
      </c>
      <c r="CF55" s="98">
        <f>_xlfn.RANK.EQ(CE55,CE$3:CE$10000,0)</f>
        <v>69</v>
      </c>
      <c r="CG55" s="99">
        <f>IFERROR(_xlfn.XLOOKUP(B55,'w14'!$B:$B,'w14'!$F:$F),1)</f>
        <v>1</v>
      </c>
      <c r="CH55" s="98">
        <f>_xlfn.RANK.EQ(CG55,CG$3:CG$10000,1)</f>
        <v>69</v>
      </c>
      <c r="CI55" s="98">
        <f>IFERROR(IF(_xlfn.XLOOKUP(B55,'w14'!$B:$B,'w14'!$G:$G)="--",0,_xlfn.XLOOKUP(B55,'w14'!$B:$B,'w14'!$G:$G)),0)</f>
        <v>0</v>
      </c>
      <c r="CJ55" s="98">
        <f>_xlfn.RANK.EQ(CI55,CI$3:CI$10000,0)</f>
        <v>69</v>
      </c>
      <c r="CK55" s="9">
        <f>_xlfn.RANK.EQ(D55,D$3:D$10000,1)</f>
        <v>53</v>
      </c>
      <c r="CL55" s="26" t="s">
        <v>151</v>
      </c>
      <c r="CM55" s="8">
        <f>SUM(E55,K55,Q55,W55,AC55,AI55,AO55,AU55,BA55,BG55,BM55,BS55,BY55,CE55)</f>
        <v>209.8</v>
      </c>
      <c r="CN55" s="9">
        <f>_xlfn.RANK.EQ(CM55,CM$3:CM$10000)</f>
        <v>54</v>
      </c>
      <c r="CO55" s="15">
        <f>IFERROR(SUM(PRODUCT(E55,G55),PRODUCT(K55,M55),PRODUCT(Q55,S55),PRODUCT(W55,Y55),PRODUCT(AC55,AE55),PRODUCT(AI55,AK55),PRODUCT(AO55,AQ55),PRODUCT(AU55,AW55),PRODUCT(BA55,BC55),PRODUCT(BG55,BI55),PRODUCT(BM55,BO55),PRODUCT(BS55,BU55),PRODUCT(BY55,CA55),PRODUCT(CE55,CG55))/CM55,1)</f>
        <v>0.27967905942167143</v>
      </c>
      <c r="CP55" s="9">
        <f>_xlfn.RANK.EQ(CO55,CO$3:CO$10000,1)</f>
        <v>44</v>
      </c>
      <c r="CQ55" s="9">
        <f>SUM(I55,O55,U55,AA55,AG55,AM55,AS55,AY55,BE55,BK55,BQ55,BW55,CC55,CI55)</f>
        <v>4614</v>
      </c>
      <c r="CR55" s="9">
        <f>_xlfn.RANK.EQ(CQ55,CQ$3:CQ$10000)</f>
        <v>26</v>
      </c>
      <c r="CS55" s="23"/>
      <c r="CT55" s="25"/>
      <c r="CU55" s="24">
        <f>_xlfn.STDEV.S(F55,L55,R55,X55,AD55,AJ55,AP55,AV55,BB55,BH55,BN55,BT55,BZ55,CF55)</f>
        <v>28.048329561825799</v>
      </c>
      <c r="CV55" s="21">
        <f>_xlfn.RANK.EQ(CU55,CU$3:CU$10000,1)</f>
        <v>104</v>
      </c>
      <c r="CW55" s="24">
        <f>_xlfn.STDEV.S(H55,N55,T55,Z55,AF55,AL55,AR55,AX55,BD55,BJ55,BP55,BV55,CB55,CH55)</f>
        <v>23.735724454598291</v>
      </c>
      <c r="CX55" s="21">
        <f>_xlfn.RANK.EQ(CW55,CW$3:CW$10000,1)</f>
        <v>91</v>
      </c>
      <c r="CY55" s="24">
        <f>_xlfn.STDEV.S(J55,P55,V55,AB55,AH55,AN55,AT55,AZ55,BF55,BL55,BR55,BX55,CD55,CJ55)</f>
        <v>27.899348135281343</v>
      </c>
      <c r="CZ55" s="21">
        <f>_xlfn.RANK.EQ(CY55,CY$3:CY$10000,1)</f>
        <v>105</v>
      </c>
      <c r="DA55">
        <f>SUM(COUNTIF(E55,"&gt;0"),COUNTIF(K55,"&gt;0"),COUNTIF(Q55,"&gt;0"),COUNTIF(W55,"&gt;0"),COUNTIF(AC55,"&gt;0"),COUNTIF(AI55,"&gt;0"),COUNTIF(AO55,"&gt;0"),COUNTIF(AU55,"&gt;0"),COUNTIF(BA55,"&gt;0"),COUNTIF(BG55,"&gt;0"),COUNTIF(BM55,"&gt;0"),COUNTIF(BS55,"&gt;0"),COUNTIF(BY55,"&gt;0"),COUNTIF(CE55,"&gt;0"))</f>
        <v>5</v>
      </c>
    </row>
    <row r="56" spans="1:105" x14ac:dyDescent="0.3">
      <c r="B56" t="s">
        <v>48</v>
      </c>
      <c r="C56" s="18" t="s">
        <v>124</v>
      </c>
      <c r="D56" s="4">
        <f>CN56*$CN$1+CP56*$CP$1+CR56*$CR$1</f>
        <v>53.074999999999996</v>
      </c>
      <c r="E56" s="29">
        <f>IFERROR(_xlfn.XLOOKUP(B56,'w1'!$B:$B,'w1'!$C:$C),0)</f>
        <v>18.5</v>
      </c>
      <c r="F56" s="30">
        <f>_xlfn.RANK.EQ(E56,E$3:E$10000,0)</f>
        <v>45</v>
      </c>
      <c r="G56" s="31">
        <f>IFERROR(_xlfn.XLOOKUP(B56,'w1'!$B:$B,'w1'!$F:$F),1)</f>
        <v>0.25277777777777777</v>
      </c>
      <c r="H56" s="30">
        <f>_xlfn.RANK.EQ(G56,G$3:G$10000,1)</f>
        <v>21</v>
      </c>
      <c r="I56" s="30">
        <f>IFERROR(IF(_xlfn.XLOOKUP(B56,'w1'!$B:$B,'w1'!$G:$G)="--",0,_xlfn.XLOOKUP(B56,'w1'!$B:$B,'w1'!$G:$G)),0)</f>
        <v>164</v>
      </c>
      <c r="J56" s="30">
        <f>_xlfn.RANK.EQ(I56,I$3:I$10000,0)</f>
        <v>48</v>
      </c>
      <c r="K56" s="34">
        <f>IFERROR(_xlfn.XLOOKUP(B56,'w2'!$B:$B,'w2'!$C:$C),0)</f>
        <v>22.6</v>
      </c>
      <c r="L56" s="35">
        <f>_xlfn.RANK.EQ(K56,K$3:K$10000,0)</f>
        <v>39</v>
      </c>
      <c r="M56" s="36">
        <f>IFERROR(_xlfn.XLOOKUP(B56,'w2'!$B:$B,'w2'!$F:$F),1)</f>
        <v>0.26666666666666666</v>
      </c>
      <c r="N56" s="35">
        <f>_xlfn.RANK.EQ(M56,M$3:M$10000,1)</f>
        <v>24</v>
      </c>
      <c r="O56" s="35">
        <f>IFERROR(IF(_xlfn.XLOOKUP(B56,'w2'!$B:$B,'w2'!$G:$G)="--",0,_xlfn.XLOOKUP(B56,'w2'!$B:$B,'w2'!$G:$G)),0)</f>
        <v>181</v>
      </c>
      <c r="P56" s="35">
        <f>_xlfn.RANK.EQ(O56,O$3:O$10000,0)</f>
        <v>42</v>
      </c>
      <c r="Q56" s="39">
        <f>IFERROR(_xlfn.XLOOKUP(B56,'w3'!$B:$B,'w3'!$C:$C),0)</f>
        <v>25.8</v>
      </c>
      <c r="R56" s="40">
        <f>_xlfn.RANK.EQ(Q56,Q$3:Q$10000,0)</f>
        <v>35</v>
      </c>
      <c r="S56" s="41">
        <f>IFERROR(_xlfn.XLOOKUP(B56,'w3'!$B:$B,'w3'!$F:$F),1)</f>
        <v>0.27291666666666664</v>
      </c>
      <c r="T56" s="40">
        <f>_xlfn.RANK.EQ(S56,S$3:S$10000,1)</f>
        <v>40</v>
      </c>
      <c r="U56" s="40">
        <f>IFERROR(IF(_xlfn.XLOOKUP(B56,'w3'!$B:$B,'w3'!$G:$G)="--",0,_xlfn.XLOOKUP(B56,'w3'!$B:$B,'w3'!$G:$G)),0)</f>
        <v>229</v>
      </c>
      <c r="V56" s="40">
        <f>_xlfn.RANK.EQ(U56,U$3:U$10000,0)</f>
        <v>34</v>
      </c>
      <c r="W56" s="44">
        <f>IFERROR(_xlfn.XLOOKUP(B56,'w4'!$B:$B,'w4'!$C:$C),0)</f>
        <v>15.4</v>
      </c>
      <c r="X56" s="45">
        <f>_xlfn.RANK.EQ(W56,W$3:W$10000,0)</f>
        <v>47</v>
      </c>
      <c r="Y56" s="46">
        <f>IFERROR(_xlfn.XLOOKUP(B56,'w4'!$B:$B,'w4'!$F:$F),1)</f>
        <v>0.29652777777777778</v>
      </c>
      <c r="Z56" s="45">
        <f>_xlfn.RANK.EQ(Y56,Y$3:Y$10000,1)</f>
        <v>47</v>
      </c>
      <c r="AA56" s="45">
        <f>IFERROR(IF(_xlfn.XLOOKUP(B56,'w4'!$B:$B,'w4'!$G:$G)="--",0,_xlfn.XLOOKUP(B56,'w4'!$B:$B,'w4'!$G:$G)),0)</f>
        <v>42</v>
      </c>
      <c r="AB56" s="45">
        <f>_xlfn.RANK.EQ(AA56,AA$3:AA$10000,0)</f>
        <v>58</v>
      </c>
      <c r="AC56" s="13">
        <f>IFERROR(_xlfn.XLOOKUP(B56,'w5'!$B:$B,'w5'!$C:$C),0)</f>
        <v>21.2</v>
      </c>
      <c r="AD56" s="12">
        <f>_xlfn.RANK.EQ(AC56,AC$3:AC$10000,0)</f>
        <v>48</v>
      </c>
      <c r="AE56" s="14">
        <f>IFERROR(_xlfn.XLOOKUP(B56,'w5'!$B:$B,'w5'!$F:$F),1)</f>
        <v>0.29722222222222222</v>
      </c>
      <c r="AF56" s="12">
        <f>_xlfn.RANK.EQ(AE56,AE$3:AE$10000,1)</f>
        <v>42</v>
      </c>
      <c r="AG56" s="12">
        <f>IFERROR(IF(_xlfn.XLOOKUP(B56,'w5'!$B:$B,'w5'!$G:$G)="--",0,_xlfn.XLOOKUP(B56,'w5'!$B:$B,'w5'!$G:$G)),0)</f>
        <v>96</v>
      </c>
      <c r="AH56" s="12">
        <f>_xlfn.RANK.EQ(AG56,AG$3:AG$10000,0)</f>
        <v>61</v>
      </c>
      <c r="AI56" s="51">
        <f>IFERROR(_xlfn.XLOOKUP(B56,'w6'!$B:$B,'w6'!$C:$C),0)</f>
        <v>10.199999999999999</v>
      </c>
      <c r="AJ56" s="50">
        <f>_xlfn.RANK.EQ(AI56,AI$3:AI$10000,0)</f>
        <v>48</v>
      </c>
      <c r="AK56" s="52">
        <f>IFERROR(_xlfn.XLOOKUP(B56,'w6'!$B:$B,'w6'!$F:$F),1)</f>
        <v>0.31597222222222221</v>
      </c>
      <c r="AL56" s="50">
        <f>_xlfn.RANK.EQ(AK56,AK$3:AK$10000,1)</f>
        <v>43</v>
      </c>
      <c r="AM56" s="50">
        <f>IFERROR(IF(_xlfn.XLOOKUP(B56,'w6'!$B:$B,'w6'!$G:$G)="--",0,_xlfn.XLOOKUP(B56,'w6'!$B:$B,'w6'!$G:$G)),0)</f>
        <v>86</v>
      </c>
      <c r="AN56" s="50">
        <f>_xlfn.RANK.EQ(AM56,AM$3:AM$10000,0)</f>
        <v>52</v>
      </c>
      <c r="AO56" s="56">
        <f>IFERROR(_xlfn.XLOOKUP(B56,'w7'!$B:$B,'w7'!$C:$C),0)</f>
        <v>0</v>
      </c>
      <c r="AP56" s="57">
        <f>_xlfn.RANK.EQ(AO56,AO$3:AO$10000,0)</f>
        <v>72</v>
      </c>
      <c r="AQ56" s="58">
        <f>IFERROR(_xlfn.XLOOKUP(B56,'w7'!$B:$B,'w7'!$F:$F),1)</f>
        <v>1</v>
      </c>
      <c r="AR56" s="57">
        <f>_xlfn.RANK.EQ(AQ56,AQ$3:AQ$10000,1)</f>
        <v>72</v>
      </c>
      <c r="AS56" s="57">
        <f>IFERROR(IF(_xlfn.XLOOKUP(B56,'w7'!$B:$B,'w7'!$G:$G)="--",0,_xlfn.XLOOKUP(B56,'w7'!$B:$B,'w7'!$G:$G)),0)</f>
        <v>0</v>
      </c>
      <c r="AT56" s="57">
        <f>_xlfn.RANK.EQ(AS56,AS$3:AS$10000,0)</f>
        <v>69</v>
      </c>
      <c r="AU56" s="62">
        <f>IFERROR(_xlfn.XLOOKUP(B56,'w8'!$B:$B,'w8'!$C:$C),0)</f>
        <v>34</v>
      </c>
      <c r="AV56" s="61">
        <f>_xlfn.RANK.EQ(AU56,AU$3:AU$10000,0)</f>
        <v>28</v>
      </c>
      <c r="AW56" s="63">
        <f>IFERROR(_xlfn.XLOOKUP(B56,'w8'!$B:$B,'w8'!$F:$F),1)</f>
        <v>0.26944444444444443</v>
      </c>
      <c r="AX56" s="61">
        <f>_xlfn.RANK.EQ(AW56,AW$3:AW$10000,1)</f>
        <v>32</v>
      </c>
      <c r="AY56" s="61">
        <f>IFERROR(IF(_xlfn.XLOOKUP(B56,'w8'!$B:$B,'w8'!$G:$G)="--",0,_xlfn.XLOOKUP(B56,'w8'!$B:$B,'w8'!$G:$G)),0)</f>
        <v>141</v>
      </c>
      <c r="AZ56" s="61">
        <f>_xlfn.RANK.EQ(AY56,AY$3:AY$10000,0)</f>
        <v>47</v>
      </c>
      <c r="BA56" s="66">
        <f>IFERROR(_xlfn.XLOOKUP(C56,'w9'!$B:$B,'w9'!$C:$C),0)</f>
        <v>15.2</v>
      </c>
      <c r="BB56" s="67">
        <f>_xlfn.RANK.EQ(BA56,BA$3:BA$10000,0)</f>
        <v>60</v>
      </c>
      <c r="BC56" s="68">
        <f>IFERROR(_xlfn.XLOOKUP(C56,'w9'!$B:$B,'w9'!$F:$F),1)</f>
        <v>0.30833333333333335</v>
      </c>
      <c r="BD56" s="67">
        <f>_xlfn.RANK.EQ(BC56,BC$3:BC$10000,1)</f>
        <v>44</v>
      </c>
      <c r="BE56" s="67">
        <f>IFERROR(IF(_xlfn.XLOOKUP(C56,'w9'!$B:$B,'w9'!$G:$G)="--",0,_xlfn.XLOOKUP(C56,'w9'!$B:$B,'w9'!$G:$G)),0)</f>
        <v>28</v>
      </c>
      <c r="BF56" s="67">
        <f>_xlfn.RANK.EQ(BE56,BE$3:BE$10000,0)</f>
        <v>69</v>
      </c>
      <c r="BG56" s="72">
        <f>IFERROR(_xlfn.XLOOKUP(B56,'w10'!$B:$B,'w10'!$C:$C),0)</f>
        <v>10.7</v>
      </c>
      <c r="BH56" s="74">
        <f>_xlfn.RANK.EQ(BG56,BG$3:BG$10000,0)</f>
        <v>62</v>
      </c>
      <c r="BI56" s="75">
        <f>IFERROR(_xlfn.XLOOKUP(B56,'w10'!$B:$B,'w10'!$F:$F),1)</f>
        <v>0.29375000000000001</v>
      </c>
      <c r="BJ56" s="74">
        <f>_xlfn.RANK.EQ(BI56,BI$3:BI$10000,1)</f>
        <v>48</v>
      </c>
      <c r="BK56" s="74">
        <f>IFERROR(IF(_xlfn.XLOOKUP(B56,'w10'!$B:$B,'w10'!$G:$G)="--",0,_xlfn.XLOOKUP(B56,'w10'!$B:$B,'w10'!$G:$G)),0)</f>
        <v>126</v>
      </c>
      <c r="BL56" s="74">
        <f>_xlfn.RANK.EQ(BK56,BK$3:BK$10000,0)</f>
        <v>51</v>
      </c>
      <c r="BM56" s="78">
        <f>IFERROR(_xlfn.XLOOKUP(B56,'w11'!$B:$B,'w11'!$C:$C),0)</f>
        <v>34</v>
      </c>
      <c r="BN56" s="80">
        <f>_xlfn.RANK.EQ(BM56,BM$3:BM$10000,0)</f>
        <v>22</v>
      </c>
      <c r="BO56" s="81">
        <f>IFERROR(_xlfn.XLOOKUP(B56,'w11'!$B:$B,'w11'!$F:$F),1)</f>
        <v>0.25</v>
      </c>
      <c r="BP56" s="80">
        <f>_xlfn.RANK.EQ(BO56,BO$3:BO$10000,1)</f>
        <v>19</v>
      </c>
      <c r="BQ56" s="80">
        <f>IFERROR(IF(_xlfn.XLOOKUP(B56,'w11'!$B:$B,'w11'!$G:$G)="--",0,_xlfn.XLOOKUP(B56,'w11'!$B:$B,'w11'!$G:$G)),0)</f>
        <v>219</v>
      </c>
      <c r="BR56" s="80">
        <f>_xlfn.RANK.EQ(BQ56,BQ$3:BQ$10000,0)</f>
        <v>38</v>
      </c>
      <c r="BS56" s="83">
        <f>IFERROR(_xlfn.XLOOKUP(B56,'w12'!$B:$B,'w12'!$C:$C),0)</f>
        <v>0</v>
      </c>
      <c r="BT56" s="86">
        <f>_xlfn.RANK.EQ(BS56,BS$3:BS$10000,0)</f>
        <v>76</v>
      </c>
      <c r="BU56" s="87">
        <f>IFERROR(_xlfn.XLOOKUP(B56,'w12'!$B:$B,'w12'!$F:$F),1)</f>
        <v>1</v>
      </c>
      <c r="BV56" s="86">
        <f>_xlfn.RANK.EQ(BU56,BU$3:BU$10000,1)</f>
        <v>76</v>
      </c>
      <c r="BW56" s="86">
        <f>IFERROR(IF(_xlfn.XLOOKUP(B56,'w12'!$B:$B,'w12'!$G:$G)="--",0,_xlfn.XLOOKUP(B56,'w12'!$B:$B,'w12'!$G:$G)),0)</f>
        <v>0</v>
      </c>
      <c r="BX56" s="86">
        <f>_xlfn.RANK.EQ(BW56,BW$3:BW$10000,0)</f>
        <v>73</v>
      </c>
      <c r="BY56" s="89">
        <f>IFERROR(_xlfn.XLOOKUP(B56,'w13'!$B:$B,'w13'!$C:$C),0)</f>
        <v>7.8</v>
      </c>
      <c r="BZ56" s="92">
        <f>_xlfn.RANK.EQ(BY56,BY$3:BY$10000,0)</f>
        <v>69</v>
      </c>
      <c r="CA56" s="93">
        <f>IFERROR(_xlfn.XLOOKUP(B56,'w13'!$B:$B,'w13'!$F:$F),1)</f>
        <v>0.22361111111111112</v>
      </c>
      <c r="CB56" s="92">
        <f>_xlfn.RANK.EQ(CA56,CA$3:CA$10000,1)</f>
        <v>7</v>
      </c>
      <c r="CC56" s="92">
        <f>IFERROR(IF(_xlfn.XLOOKUP(B56,'w13'!$B:$B,'w13'!$G:$G)="--",0,_xlfn.XLOOKUP(B56,'w13'!$B:$B,'w13'!$G:$G)),0)</f>
        <v>59</v>
      </c>
      <c r="CD56" s="92">
        <f>_xlfn.RANK.EQ(CC56,CC$3:CC$10000,0)</f>
        <v>63</v>
      </c>
      <c r="CE56" s="95">
        <f>IFERROR(_xlfn.XLOOKUP(B56,'w14'!$B:$B,'w14'!$C:$C),0)</f>
        <v>8.9</v>
      </c>
      <c r="CF56" s="98">
        <f>_xlfn.RANK.EQ(CE56,CE$3:CE$10000,0)</f>
        <v>62</v>
      </c>
      <c r="CG56" s="99">
        <f>IFERROR(_xlfn.XLOOKUP(B56,'w14'!$B:$B,'w14'!$F:$F),1)</f>
        <v>0.31597222222222221</v>
      </c>
      <c r="CH56" s="98">
        <f>_xlfn.RANK.EQ(CG56,CG$3:CG$10000,1)</f>
        <v>46</v>
      </c>
      <c r="CI56" s="98">
        <f>IFERROR(IF(_xlfn.XLOOKUP(B56,'w14'!$B:$B,'w14'!$G:$G)="--",0,_xlfn.XLOOKUP(B56,'w14'!$B:$B,'w14'!$G:$G)),0)</f>
        <v>2</v>
      </c>
      <c r="CJ56" s="98">
        <f>_xlfn.RANK.EQ(CI56,CI$3:CI$10000,0)</f>
        <v>66</v>
      </c>
      <c r="CK56" s="9">
        <f>_xlfn.RANK.EQ(D56,D$3:D$10000,1)</f>
        <v>54</v>
      </c>
      <c r="CL56" s="26" t="s">
        <v>124</v>
      </c>
      <c r="CM56" s="8">
        <f>SUM(E56,K56,Q56,W56,AC56,AI56,AO56,AU56,BA56,BG56,BM56,BS56,BY56,CE56)</f>
        <v>224.3</v>
      </c>
      <c r="CN56" s="9">
        <f>_xlfn.RANK.EQ(CM56,CM$3:CM$10000)</f>
        <v>53</v>
      </c>
      <c r="CO56" s="15">
        <f>IFERROR(SUM(PRODUCT(E56,G56),PRODUCT(K56,M56),PRODUCT(Q56,S56),PRODUCT(W56,Y56),PRODUCT(AC56,AE56),PRODUCT(AI56,AK56),PRODUCT(AO56,AQ56),PRODUCT(AU56,AW56),PRODUCT(BA56,BC56),PRODUCT(BG56,BI56),PRODUCT(BM56,BO56),PRODUCT(BS56,BU56),PRODUCT(BY56,CA56),PRODUCT(CE56,CG56))/CM56,1)</f>
        <v>0.27588980532025559</v>
      </c>
      <c r="CP56" s="9">
        <f>_xlfn.RANK.EQ(CO56,CO$3:CO$10000,1)</f>
        <v>41</v>
      </c>
      <c r="CQ56" s="9">
        <f>SUM(I56,O56,U56,AA56,AG56,AM56,AS56,AY56,BE56,BK56,BQ56,BW56,CC56,CI56)</f>
        <v>1373</v>
      </c>
      <c r="CR56" s="9">
        <f>_xlfn.RANK.EQ(CQ56,CQ$3:CQ$10000)</f>
        <v>68</v>
      </c>
      <c r="CS56" s="23"/>
      <c r="CT56" s="25"/>
      <c r="CU56" s="24">
        <f>_xlfn.STDEV.S(F56,L56,R56,X56,AD56,AJ56,AP56,AV56,BB56,BH56,BN56,BT56,BZ56,CF56)</f>
        <v>16.531854034021649</v>
      </c>
      <c r="CV56" s="21">
        <f>_xlfn.RANK.EQ(CU56,CU$3:CU$10000,1)</f>
        <v>65</v>
      </c>
      <c r="CW56" s="24">
        <f>_xlfn.STDEV.S(H56,N56,T56,Z56,AF56,AL56,AR56,AX56,BD56,BJ56,BP56,BV56,CB56,CH56)</f>
        <v>19.032216758046729</v>
      </c>
      <c r="CX56" s="21">
        <f>_xlfn.RANK.EQ(CW56,CW$3:CW$10000,1)</f>
        <v>75</v>
      </c>
      <c r="CY56" s="24">
        <f>_xlfn.STDEV.S(J56,P56,V56,AB56,AH56,AN56,AT56,AZ56,BF56,BL56,BR56,BX56,CD56,CJ56)</f>
        <v>12.35042375924677</v>
      </c>
      <c r="CZ56" s="21">
        <f>_xlfn.RANK.EQ(CY56,CY$3:CY$10000,1)</f>
        <v>36</v>
      </c>
      <c r="DA56">
        <f>SUM(COUNTIF(E56,"&gt;0"),COUNTIF(K56,"&gt;0"),COUNTIF(Q56,"&gt;0"),COUNTIF(W56,"&gt;0"),COUNTIF(AC56,"&gt;0"),COUNTIF(AI56,"&gt;0"),COUNTIF(AO56,"&gt;0"),COUNTIF(AU56,"&gt;0"),COUNTIF(BA56,"&gt;0"),COUNTIF(BG56,"&gt;0"),COUNTIF(BM56,"&gt;0"),COUNTIF(BS56,"&gt;0"),COUNTIF(BY56,"&gt;0"),COUNTIF(CE56,"&gt;0"))</f>
        <v>12</v>
      </c>
    </row>
    <row r="57" spans="1:105" x14ac:dyDescent="0.3">
      <c r="B57" t="s">
        <v>73</v>
      </c>
      <c r="C57" s="18" t="s">
        <v>137</v>
      </c>
      <c r="D57" s="4">
        <f>CN57*$CN$1+CP57*$CP$1+CR57*$CR$1</f>
        <v>55.174999999999997</v>
      </c>
      <c r="E57" s="29">
        <f>IFERROR(_xlfn.XLOOKUP(B57,'w1'!$B:$B,'w1'!$C:$C),0)</f>
        <v>10</v>
      </c>
      <c r="F57" s="30">
        <f>_xlfn.RANK.EQ(E57,E$3:E$10000,0)</f>
        <v>69</v>
      </c>
      <c r="G57" s="31">
        <f>IFERROR(_xlfn.XLOOKUP(B57,'w1'!$B:$B,'w1'!$F:$F),1)</f>
        <v>0.26041666666666669</v>
      </c>
      <c r="H57" s="30">
        <f>_xlfn.RANK.EQ(G57,G$3:G$10000,1)</f>
        <v>27</v>
      </c>
      <c r="I57" s="30">
        <f>IFERROR(IF(_xlfn.XLOOKUP(B57,'w1'!$B:$B,'w1'!$G:$G)="--",0,_xlfn.XLOOKUP(B57,'w1'!$B:$B,'w1'!$G:$G)),0)</f>
        <v>50</v>
      </c>
      <c r="J57" s="30">
        <f>_xlfn.RANK.EQ(I57,I$3:I$10000,0)</f>
        <v>66</v>
      </c>
      <c r="K57" s="34">
        <f>IFERROR(_xlfn.XLOOKUP(B57,'w2'!$B:$B,'w2'!$C:$C),0)</f>
        <v>10.4</v>
      </c>
      <c r="L57" s="35">
        <f>_xlfn.RANK.EQ(K57,K$3:K$10000,0)</f>
        <v>58</v>
      </c>
      <c r="M57" s="36">
        <f>IFERROR(_xlfn.XLOOKUP(B57,'w2'!$B:$B,'w2'!$F:$F),1)</f>
        <v>0.42499999999999999</v>
      </c>
      <c r="N57" s="35">
        <f>_xlfn.RANK.EQ(M57,M$3:M$10000,1)</f>
        <v>67</v>
      </c>
      <c r="O57" s="35">
        <f>IFERROR(IF(_xlfn.XLOOKUP(B57,'w2'!$B:$B,'w2'!$G:$G)="--",0,_xlfn.XLOOKUP(B57,'w2'!$B:$B,'w2'!$G:$G)),0)</f>
        <v>70</v>
      </c>
      <c r="P57" s="35">
        <f>_xlfn.RANK.EQ(O57,O$3:O$10000,0)</f>
        <v>58</v>
      </c>
      <c r="Q57" s="39">
        <f>IFERROR(_xlfn.XLOOKUP(B57,'w3'!$B:$B,'w3'!$C:$C),0)</f>
        <v>15.2</v>
      </c>
      <c r="R57" s="40">
        <f>_xlfn.RANK.EQ(Q57,Q$3:Q$10000,0)</f>
        <v>54</v>
      </c>
      <c r="S57" s="41">
        <f>IFERROR(_xlfn.XLOOKUP(B57,'w3'!$B:$B,'w3'!$F:$F),1)</f>
        <v>0.32361111111111113</v>
      </c>
      <c r="T57" s="40">
        <f>_xlfn.RANK.EQ(S57,S$3:S$10000,1)</f>
        <v>65</v>
      </c>
      <c r="U57" s="40">
        <f>IFERROR(IF(_xlfn.XLOOKUP(B57,'w3'!$B:$B,'w3'!$G:$G)="--",0,_xlfn.XLOOKUP(B57,'w3'!$B:$B,'w3'!$G:$G)),0)</f>
        <v>93</v>
      </c>
      <c r="V57" s="40">
        <f>_xlfn.RANK.EQ(U57,U$3:U$10000,0)</f>
        <v>61</v>
      </c>
      <c r="W57" s="44">
        <f>IFERROR(_xlfn.XLOOKUP(B57,'w4'!$B:$B,'w4'!$C:$C),0)</f>
        <v>10</v>
      </c>
      <c r="X57" s="45">
        <f>_xlfn.RANK.EQ(W57,W$3:W$10000,0)</f>
        <v>61</v>
      </c>
      <c r="Y57" s="46">
        <f>IFERROR(_xlfn.XLOOKUP(B57,'w4'!$B:$B,'w4'!$F:$F),1)</f>
        <v>0.24861111111111112</v>
      </c>
      <c r="Z57" s="45">
        <f>_xlfn.RANK.EQ(Y57,Y$3:Y$10000,1)</f>
        <v>23</v>
      </c>
      <c r="AA57" s="45">
        <f>IFERROR(IF(_xlfn.XLOOKUP(B57,'w4'!$B:$B,'w4'!$G:$G)="--",0,_xlfn.XLOOKUP(B57,'w4'!$B:$B,'w4'!$G:$G)),0)</f>
        <v>53</v>
      </c>
      <c r="AB57" s="45">
        <f>_xlfn.RANK.EQ(AA57,AA$3:AA$10000,0)</f>
        <v>56</v>
      </c>
      <c r="AC57" s="13">
        <f>IFERROR(_xlfn.XLOOKUP(B57,'w5'!$B:$B,'w5'!$C:$C),0)</f>
        <v>0</v>
      </c>
      <c r="AD57" s="12">
        <f>_xlfn.RANK.EQ(AC57,AC$3:AC$10000,0)</f>
        <v>77</v>
      </c>
      <c r="AE57" s="14">
        <f>IFERROR(_xlfn.XLOOKUP(B57,'w5'!$B:$B,'w5'!$F:$F),1)</f>
        <v>1</v>
      </c>
      <c r="AF57" s="12">
        <f>_xlfn.RANK.EQ(AE57,AE$3:AE$10000,1)</f>
        <v>76</v>
      </c>
      <c r="AG57" s="12">
        <f>IFERROR(IF(_xlfn.XLOOKUP(B57,'w5'!$B:$B,'w5'!$G:$G)="--",0,_xlfn.XLOOKUP(B57,'w5'!$B:$B,'w5'!$G:$G)),0)</f>
        <v>0</v>
      </c>
      <c r="AH57" s="12">
        <f>_xlfn.RANK.EQ(AG57,AG$3:AG$10000,0)</f>
        <v>73</v>
      </c>
      <c r="AI57" s="51">
        <f>IFERROR(_xlfn.XLOOKUP(B57,'w6'!$B:$B,'w6'!$C:$C),0)</f>
        <v>10</v>
      </c>
      <c r="AJ57" s="50">
        <f>_xlfn.RANK.EQ(AI57,AI$3:AI$10000,0)</f>
        <v>51</v>
      </c>
      <c r="AK57" s="52">
        <f>IFERROR(_xlfn.XLOOKUP(B57,'w6'!$B:$B,'w6'!$F:$F),1)</f>
        <v>0.26250000000000001</v>
      </c>
      <c r="AL57" s="50">
        <f>_xlfn.RANK.EQ(AK57,AK$3:AK$10000,1)</f>
        <v>23</v>
      </c>
      <c r="AM57" s="50">
        <f>IFERROR(IF(_xlfn.XLOOKUP(B57,'w6'!$B:$B,'w6'!$G:$G)="--",0,_xlfn.XLOOKUP(B57,'w6'!$B:$B,'w6'!$G:$G)),0)</f>
        <v>53</v>
      </c>
      <c r="AN57" s="50">
        <f>_xlfn.RANK.EQ(AM57,AM$3:AM$10000,0)</f>
        <v>57</v>
      </c>
      <c r="AO57" s="56">
        <f>IFERROR(_xlfn.XLOOKUP(B57,'w7'!$B:$B,'w7'!$C:$C),0)</f>
        <v>18</v>
      </c>
      <c r="AP57" s="57">
        <f>_xlfn.RANK.EQ(AO57,AO$3:AO$10000,0)</f>
        <v>45</v>
      </c>
      <c r="AQ57" s="58">
        <f>IFERROR(_xlfn.XLOOKUP(B57,'w7'!$B:$B,'w7'!$F:$F),1)</f>
        <v>0.26111111111111113</v>
      </c>
      <c r="AR57" s="57">
        <f>_xlfn.RANK.EQ(AQ57,AQ$3:AQ$10000,1)</f>
        <v>28</v>
      </c>
      <c r="AS57" s="57">
        <f>IFERROR(IF(_xlfn.XLOOKUP(B57,'w7'!$B:$B,'w7'!$G:$G)="--",0,_xlfn.XLOOKUP(B57,'w7'!$B:$B,'w7'!$G:$G)),0)</f>
        <v>103</v>
      </c>
      <c r="AT57" s="57">
        <f>_xlfn.RANK.EQ(AS57,AS$3:AS$10000,0)</f>
        <v>52</v>
      </c>
      <c r="AU57" s="62">
        <f>IFERROR(_xlfn.XLOOKUP(B57,'w8'!$B:$B,'w8'!$C:$C),0)</f>
        <v>16.2</v>
      </c>
      <c r="AV57" s="61">
        <f>_xlfn.RANK.EQ(AU57,AU$3:AU$10000,0)</f>
        <v>57</v>
      </c>
      <c r="AW57" s="63">
        <f>IFERROR(_xlfn.XLOOKUP(B57,'w8'!$B:$B,'w8'!$F:$F),1)</f>
        <v>0.27013888888888887</v>
      </c>
      <c r="AX57" s="61">
        <f>_xlfn.RANK.EQ(AW57,AW$3:AW$10000,1)</f>
        <v>33</v>
      </c>
      <c r="AY57" s="61">
        <f>IFERROR(IF(_xlfn.XLOOKUP(B57,'w8'!$B:$B,'w8'!$G:$G)="--",0,_xlfn.XLOOKUP(B57,'w8'!$B:$B,'w8'!$G:$G)),0)</f>
        <v>108</v>
      </c>
      <c r="AZ57" s="61">
        <f>_xlfn.RANK.EQ(AY57,AY$3:AY$10000,0)</f>
        <v>52</v>
      </c>
      <c r="BA57" s="66">
        <f>IFERROR(_xlfn.XLOOKUP(C57,'w9'!$B:$B,'w9'!$C:$C),0)</f>
        <v>22.6</v>
      </c>
      <c r="BB57" s="67">
        <f>_xlfn.RANK.EQ(BA57,BA$3:BA$10000,0)</f>
        <v>51</v>
      </c>
      <c r="BC57" s="68">
        <f>IFERROR(_xlfn.XLOOKUP(C57,'w9'!$B:$B,'w9'!$F:$F),1)</f>
        <v>0.26458333333333334</v>
      </c>
      <c r="BD57" s="67">
        <f>_xlfn.RANK.EQ(BC57,BC$3:BC$10000,1)</f>
        <v>22</v>
      </c>
      <c r="BE57" s="67">
        <f>IFERROR(IF(_xlfn.XLOOKUP(C57,'w9'!$B:$B,'w9'!$G:$G)="--",0,_xlfn.XLOOKUP(C57,'w9'!$B:$B,'w9'!$G:$G)),0)</f>
        <v>18</v>
      </c>
      <c r="BF57" s="67">
        <f>_xlfn.RANK.EQ(BE57,BE$3:BE$10000,0)</f>
        <v>71</v>
      </c>
      <c r="BG57" s="72">
        <f>IFERROR(_xlfn.XLOOKUP(B57,'w10'!$B:$B,'w10'!$C:$C),0)</f>
        <v>18.100000000000001</v>
      </c>
      <c r="BH57" s="74">
        <f>_xlfn.RANK.EQ(BG57,BG$3:BG$10000,0)</f>
        <v>47</v>
      </c>
      <c r="BI57" s="75">
        <f>IFERROR(_xlfn.XLOOKUP(B57,'w10'!$B:$B,'w10'!$F:$F),1)</f>
        <v>0.26319444444444445</v>
      </c>
      <c r="BJ57" s="74">
        <f>_xlfn.RANK.EQ(BI57,BI$3:BI$10000,1)</f>
        <v>32</v>
      </c>
      <c r="BK57" s="74">
        <f>IFERROR(IF(_xlfn.XLOOKUP(B57,'w10'!$B:$B,'w10'!$G:$G)="--",0,_xlfn.XLOOKUP(B57,'w10'!$B:$B,'w10'!$G:$G)),0)</f>
        <v>105</v>
      </c>
      <c r="BL57" s="74">
        <f>_xlfn.RANK.EQ(BK57,BK$3:BK$10000,0)</f>
        <v>57</v>
      </c>
      <c r="BM57" s="78">
        <f>IFERROR(_xlfn.XLOOKUP(B57,'w11'!$B:$B,'w11'!$C:$C),0)</f>
        <v>18</v>
      </c>
      <c r="BN57" s="80">
        <f>_xlfn.RANK.EQ(BM57,BM$3:BM$10000,0)</f>
        <v>49</v>
      </c>
      <c r="BO57" s="81">
        <f>IFERROR(_xlfn.XLOOKUP(B57,'w11'!$B:$B,'w11'!$F:$F),1)</f>
        <v>0.26180555555555557</v>
      </c>
      <c r="BP57" s="80">
        <f>_xlfn.RANK.EQ(BO57,BO$3:BO$10000,1)</f>
        <v>27</v>
      </c>
      <c r="BQ57" s="80">
        <f>IFERROR(IF(_xlfn.XLOOKUP(B57,'w11'!$B:$B,'w11'!$G:$G)="--",0,_xlfn.XLOOKUP(B57,'w11'!$B:$B,'w11'!$G:$G)),0)</f>
        <v>111</v>
      </c>
      <c r="BR57" s="80">
        <f>_xlfn.RANK.EQ(BQ57,BQ$3:BQ$10000,0)</f>
        <v>54</v>
      </c>
      <c r="BS57" s="83">
        <f>IFERROR(_xlfn.XLOOKUP(B57,'w12'!$B:$B,'w12'!$C:$C),0)</f>
        <v>18</v>
      </c>
      <c r="BT57" s="86">
        <f>_xlfn.RANK.EQ(BS57,BS$3:BS$10000,0)</f>
        <v>41</v>
      </c>
      <c r="BU57" s="87">
        <f>IFERROR(_xlfn.XLOOKUP(B57,'w12'!$B:$B,'w12'!$F:$F),1)</f>
        <v>0.26041666666666669</v>
      </c>
      <c r="BV57" s="86">
        <f>_xlfn.RANK.EQ(BU57,BU$3:BU$10000,1)</f>
        <v>27</v>
      </c>
      <c r="BW57" s="86">
        <f>IFERROR(IF(_xlfn.XLOOKUP(B57,'w12'!$B:$B,'w12'!$G:$G)="--",0,_xlfn.XLOOKUP(B57,'w12'!$B:$B,'w12'!$G:$G)),0)</f>
        <v>109</v>
      </c>
      <c r="BX57" s="86">
        <f>_xlfn.RANK.EQ(BW57,BW$3:BW$10000,0)</f>
        <v>53</v>
      </c>
      <c r="BY57" s="89">
        <f>IFERROR(_xlfn.XLOOKUP(B57,'w13'!$B:$B,'w13'!$C:$C),0)</f>
        <v>10</v>
      </c>
      <c r="BZ57" s="92">
        <f>_xlfn.RANK.EQ(BY57,BY$3:BY$10000,0)</f>
        <v>62</v>
      </c>
      <c r="CA57" s="93">
        <f>IFERROR(_xlfn.XLOOKUP(B57,'w13'!$B:$B,'w13'!$F:$F),1)</f>
        <v>0.26458333333333334</v>
      </c>
      <c r="CB57" s="92">
        <f>_xlfn.RANK.EQ(CA57,CA$3:CA$10000,1)</f>
        <v>32</v>
      </c>
      <c r="CC57" s="92">
        <f>IFERROR(IF(_xlfn.XLOOKUP(B57,'w13'!$B:$B,'w13'!$G:$G)="--",0,_xlfn.XLOOKUP(B57,'w13'!$B:$B,'w13'!$G:$G)),0)</f>
        <v>55</v>
      </c>
      <c r="CD57" s="92">
        <f>_xlfn.RANK.EQ(CC57,CC$3:CC$10000,0)</f>
        <v>66</v>
      </c>
      <c r="CE57" s="95">
        <f>IFERROR(_xlfn.XLOOKUP(B57,'w14'!$B:$B,'w14'!$C:$C),0)</f>
        <v>24.2</v>
      </c>
      <c r="CF57" s="98">
        <f>_xlfn.RANK.EQ(CE57,CE$3:CE$10000,0)</f>
        <v>38</v>
      </c>
      <c r="CG57" s="99">
        <f>IFERROR(_xlfn.XLOOKUP(B57,'w14'!$B:$B,'w14'!$F:$F),1)</f>
        <v>0.30208333333333331</v>
      </c>
      <c r="CH57" s="98">
        <f>_xlfn.RANK.EQ(CG57,CG$3:CG$10000,1)</f>
        <v>42</v>
      </c>
      <c r="CI57" s="98">
        <f>IFERROR(IF(_xlfn.XLOOKUP(B57,'w14'!$B:$B,'w14'!$G:$G)="--",0,_xlfn.XLOOKUP(B57,'w14'!$B:$B,'w14'!$G:$G)),0)</f>
        <v>162</v>
      </c>
      <c r="CJ57" s="98">
        <f>_xlfn.RANK.EQ(CI57,CI$3:CI$10000,0)</f>
        <v>40</v>
      </c>
      <c r="CK57" s="9">
        <f>_xlfn.RANK.EQ(D57,D$3:D$10000,1)</f>
        <v>55</v>
      </c>
      <c r="CL57" s="26" t="s">
        <v>137</v>
      </c>
      <c r="CM57" s="8">
        <f>SUM(E57,K57,Q57,W57,AC57,AI57,AO57,AU57,BA57,BG57,BM57,BS57,BY57,CE57)</f>
        <v>200.7</v>
      </c>
      <c r="CN57" s="9">
        <f>_xlfn.RANK.EQ(CM57,CM$3:CM$10000)</f>
        <v>55</v>
      </c>
      <c r="CO57" s="15">
        <f>IFERROR(SUM(PRODUCT(E57,G57),PRODUCT(K57,M57),PRODUCT(Q57,S57),PRODUCT(W57,Y57),PRODUCT(AC57,AE57),PRODUCT(AI57,AK57),PRODUCT(AO57,AQ57),PRODUCT(AU57,AW57),PRODUCT(BA57,BC57),PRODUCT(BG57,BI57),PRODUCT(BM57,BO57),PRODUCT(BS57,BU57),PRODUCT(BY57,CA57),PRODUCT(CE57,CG57))/CM57,1)</f>
        <v>0.28016975308641978</v>
      </c>
      <c r="CP57" s="9">
        <f>_xlfn.RANK.EQ(CO57,CO$3:CO$10000,1)</f>
        <v>45</v>
      </c>
      <c r="CQ57" s="9">
        <f>SUM(I57,O57,U57,AA57,AG57,AM57,AS57,AY57,BE57,BK57,BQ57,BW57,CC57,CI57)</f>
        <v>1090</v>
      </c>
      <c r="CR57" s="9">
        <f>_xlfn.RANK.EQ(CQ57,CQ$3:CQ$10000)</f>
        <v>72</v>
      </c>
      <c r="CS57" s="23"/>
      <c r="CT57" s="25"/>
      <c r="CU57" s="24">
        <f>_xlfn.STDEV.S(F57,L57,R57,X57,AD57,AJ57,AP57,AV57,BB57,BH57,BN57,BT57,BZ57,CF57)</f>
        <v>10.701750909429386</v>
      </c>
      <c r="CV57" s="21">
        <f>_xlfn.RANK.EQ(CU57,CU$3:CU$10000,1)</f>
        <v>35</v>
      </c>
      <c r="CW57" s="24">
        <f>_xlfn.STDEV.S(H57,N57,T57,Z57,AF57,AL57,AR57,AX57,BD57,BJ57,BP57,BV57,CB57,CH57)</f>
        <v>18.168926498554896</v>
      </c>
      <c r="CX57" s="21">
        <f>_xlfn.RANK.EQ(CW57,CW$3:CW$10000,1)</f>
        <v>72</v>
      </c>
      <c r="CY57" s="24">
        <f>_xlfn.STDEV.S(J57,P57,V57,AB57,AH57,AN57,AT57,AZ57,BF57,BL57,BR57,BX57,CD57,CJ57)</f>
        <v>8.6507320404209143</v>
      </c>
      <c r="CZ57" s="21">
        <f>_xlfn.RANK.EQ(CY57,CY$3:CY$10000,1)</f>
        <v>21</v>
      </c>
      <c r="DA57">
        <f>SUM(COUNTIF(E57,"&gt;0"),COUNTIF(K57,"&gt;0"),COUNTIF(Q57,"&gt;0"),COUNTIF(W57,"&gt;0"),COUNTIF(AC57,"&gt;0"),COUNTIF(AI57,"&gt;0"),COUNTIF(AO57,"&gt;0"),COUNTIF(AU57,"&gt;0"),COUNTIF(BA57,"&gt;0"),COUNTIF(BG57,"&gt;0"),COUNTIF(BM57,"&gt;0"),COUNTIF(BS57,"&gt;0"),COUNTIF(BY57,"&gt;0"),COUNTIF(CE57,"&gt;0"))</f>
        <v>13</v>
      </c>
    </row>
    <row r="58" spans="1:105" x14ac:dyDescent="0.3">
      <c r="B58" t="s">
        <v>70</v>
      </c>
      <c r="C58" s="18" t="s">
        <v>135</v>
      </c>
      <c r="D58" s="4">
        <f>CN58*$CN$1+CP58*$CP$1+CR58*$CR$1</f>
        <v>56.324999999999996</v>
      </c>
      <c r="E58" s="29">
        <f>IFERROR(_xlfn.XLOOKUP(B58,'w1'!$B:$B,'w1'!$C:$C),0)</f>
        <v>10.1</v>
      </c>
      <c r="F58" s="30">
        <f>_xlfn.RANK.EQ(E58,E$3:E$10000,0)</f>
        <v>66</v>
      </c>
      <c r="G58" s="31">
        <f>IFERROR(_xlfn.XLOOKUP(B58,'w1'!$B:$B,'w1'!$F:$F),1)</f>
        <v>0.27152777777777776</v>
      </c>
      <c r="H58" s="30">
        <f>_xlfn.RANK.EQ(G58,G$3:G$10000,1)</f>
        <v>38</v>
      </c>
      <c r="I58" s="30">
        <f>IFERROR(IF(_xlfn.XLOOKUP(B58,'w1'!$B:$B,'w1'!$G:$G)="--",0,_xlfn.XLOOKUP(B58,'w1'!$B:$B,'w1'!$G:$G)),0)</f>
        <v>100</v>
      </c>
      <c r="J58" s="30">
        <f>_xlfn.RANK.EQ(I58,I$3:I$10000,0)</f>
        <v>53</v>
      </c>
      <c r="K58" s="34">
        <f>IFERROR(_xlfn.XLOOKUP(B58,'w2'!$B:$B,'w2'!$C:$C),0)</f>
        <v>13.4</v>
      </c>
      <c r="L58" s="35">
        <f>_xlfn.RANK.EQ(K58,K$3:K$10000,0)</f>
        <v>51</v>
      </c>
      <c r="M58" s="36">
        <f>IFERROR(_xlfn.XLOOKUP(B58,'w2'!$B:$B,'w2'!$F:$F),1)</f>
        <v>0.28958333333333336</v>
      </c>
      <c r="N58" s="35">
        <f>_xlfn.RANK.EQ(M58,M$3:M$10000,1)</f>
        <v>43</v>
      </c>
      <c r="O58" s="35">
        <f>IFERROR(IF(_xlfn.XLOOKUP(B58,'w2'!$B:$B,'w2'!$G:$G)="--",0,_xlfn.XLOOKUP(B58,'w2'!$B:$B,'w2'!$G:$G)),0)</f>
        <v>99</v>
      </c>
      <c r="P58" s="35">
        <f>_xlfn.RANK.EQ(O58,O$3:O$10000,0)</f>
        <v>54</v>
      </c>
      <c r="Q58" s="39">
        <f>IFERROR(_xlfn.XLOOKUP(B58,'w3'!$B:$B,'w3'!$C:$C),0)</f>
        <v>15.6</v>
      </c>
      <c r="R58" s="40">
        <f>_xlfn.RANK.EQ(Q58,Q$3:Q$10000,0)</f>
        <v>53</v>
      </c>
      <c r="S58" s="41">
        <f>IFERROR(_xlfn.XLOOKUP(B58,'w3'!$B:$B,'w3'!$F:$F),1)</f>
        <v>0.27083333333333331</v>
      </c>
      <c r="T58" s="40">
        <f>_xlfn.RANK.EQ(S58,S$3:S$10000,1)</f>
        <v>37</v>
      </c>
      <c r="U58" s="40">
        <f>IFERROR(IF(_xlfn.XLOOKUP(B58,'w3'!$B:$B,'w3'!$G:$G)="--",0,_xlfn.XLOOKUP(B58,'w3'!$B:$B,'w3'!$G:$G)),0)</f>
        <v>99</v>
      </c>
      <c r="V58" s="40">
        <f>_xlfn.RANK.EQ(U58,U$3:U$10000,0)</f>
        <v>59</v>
      </c>
      <c r="W58" s="44">
        <f>IFERROR(_xlfn.XLOOKUP(B58,'w4'!$B:$B,'w4'!$C:$C),0)</f>
        <v>15.3</v>
      </c>
      <c r="X58" s="45">
        <f>_xlfn.RANK.EQ(W58,W$3:W$10000,0)</f>
        <v>48</v>
      </c>
      <c r="Y58" s="46">
        <f>IFERROR(_xlfn.XLOOKUP(B58,'w4'!$B:$B,'w4'!$F:$F),1)</f>
        <v>0.29791666666666666</v>
      </c>
      <c r="Z58" s="45">
        <f>_xlfn.RANK.EQ(Y58,Y$3:Y$10000,1)</f>
        <v>48</v>
      </c>
      <c r="AA58" s="45">
        <f>IFERROR(IF(_xlfn.XLOOKUP(B58,'w4'!$B:$B,'w4'!$G:$G)="--",0,_xlfn.XLOOKUP(B58,'w4'!$B:$B,'w4'!$G:$G)),0)</f>
        <v>42</v>
      </c>
      <c r="AB58" s="45">
        <f>_xlfn.RANK.EQ(AA58,AA$3:AA$10000,0)</f>
        <v>58</v>
      </c>
      <c r="AC58" s="13">
        <f>IFERROR(_xlfn.XLOOKUP(B58,'w5'!$B:$B,'w5'!$C:$C),0)</f>
        <v>21.2</v>
      </c>
      <c r="AD58" s="12">
        <f>_xlfn.RANK.EQ(AC58,AC$3:AC$10000,0)</f>
        <v>48</v>
      </c>
      <c r="AE58" s="14">
        <f>IFERROR(_xlfn.XLOOKUP(B58,'w5'!$B:$B,'w5'!$F:$F),1)</f>
        <v>0.29791666666666666</v>
      </c>
      <c r="AF58" s="12">
        <f>_xlfn.RANK.EQ(AE58,AE$3:AE$10000,1)</f>
        <v>43</v>
      </c>
      <c r="AG58" s="12">
        <f>IFERROR(IF(_xlfn.XLOOKUP(B58,'w5'!$B:$B,'w5'!$G:$G)="--",0,_xlfn.XLOOKUP(B58,'w5'!$B:$B,'w5'!$G:$G)),0)</f>
        <v>96</v>
      </c>
      <c r="AH58" s="12">
        <f>_xlfn.RANK.EQ(AG58,AG$3:AG$10000,0)</f>
        <v>61</v>
      </c>
      <c r="AI58" s="51">
        <f>IFERROR(_xlfn.XLOOKUP(B58,'w6'!$B:$B,'w6'!$C:$C),0)</f>
        <v>11.6</v>
      </c>
      <c r="AJ58" s="50">
        <f>_xlfn.RANK.EQ(AI58,AI$3:AI$10000,0)</f>
        <v>39</v>
      </c>
      <c r="AK58" s="52">
        <f>IFERROR(_xlfn.XLOOKUP(B58,'w6'!$B:$B,'w6'!$F:$F),1)</f>
        <v>0.29305555555555557</v>
      </c>
      <c r="AL58" s="50">
        <f>_xlfn.RANK.EQ(AK58,AK$3:AK$10000,1)</f>
        <v>34</v>
      </c>
      <c r="AM58" s="50">
        <f>IFERROR(IF(_xlfn.XLOOKUP(B58,'w6'!$B:$B,'w6'!$G:$G)="--",0,_xlfn.XLOOKUP(B58,'w6'!$B:$B,'w6'!$G:$G)),0)</f>
        <v>87</v>
      </c>
      <c r="AN58" s="50">
        <f>_xlfn.RANK.EQ(AM58,AM$3:AM$10000,0)</f>
        <v>51</v>
      </c>
      <c r="AO58" s="56">
        <f>IFERROR(_xlfn.XLOOKUP(B58,'w7'!$B:$B,'w7'!$C:$C),0)</f>
        <v>0.7</v>
      </c>
      <c r="AP58" s="57">
        <f>_xlfn.RANK.EQ(AO58,AO$3:AO$10000,0)</f>
        <v>71</v>
      </c>
      <c r="AQ58" s="58">
        <f>IFERROR(_xlfn.XLOOKUP(B58,'w7'!$B:$B,'w7'!$F:$F),1)</f>
        <v>0.32291666666666669</v>
      </c>
      <c r="AR58" s="57">
        <f>_xlfn.RANK.EQ(AQ58,AQ$3:AQ$10000,1)</f>
        <v>49</v>
      </c>
      <c r="AS58" s="57">
        <f>IFERROR(IF(_xlfn.XLOOKUP(B58,'w7'!$B:$B,'w7'!$G:$G)="--",0,_xlfn.XLOOKUP(B58,'w7'!$B:$B,'w7'!$G:$G)),0)</f>
        <v>0</v>
      </c>
      <c r="AT58" s="57">
        <f>_xlfn.RANK.EQ(AS58,AS$3:AS$10000,0)</f>
        <v>69</v>
      </c>
      <c r="AU58" s="62">
        <f>IFERROR(_xlfn.XLOOKUP(B58,'w8'!$B:$B,'w8'!$C:$C),0)</f>
        <v>33.6</v>
      </c>
      <c r="AV58" s="61">
        <f>_xlfn.RANK.EQ(AU58,AU$3:AU$10000,0)</f>
        <v>29</v>
      </c>
      <c r="AW58" s="63">
        <f>IFERROR(_xlfn.XLOOKUP(B58,'w8'!$B:$B,'w8'!$F:$F),1)</f>
        <v>0.28749999999999998</v>
      </c>
      <c r="AX58" s="61">
        <f>_xlfn.RANK.EQ(AW58,AW$3:AW$10000,1)</f>
        <v>39</v>
      </c>
      <c r="AY58" s="61">
        <f>IFERROR(IF(_xlfn.XLOOKUP(B58,'w8'!$B:$B,'w8'!$G:$G)="--",0,_xlfn.XLOOKUP(B58,'w8'!$B:$B,'w8'!$G:$G)),0)</f>
        <v>140</v>
      </c>
      <c r="AZ58" s="61">
        <f>_xlfn.RANK.EQ(AY58,AY$3:AY$10000,0)</f>
        <v>48</v>
      </c>
      <c r="BA58" s="66">
        <f>IFERROR(_xlfn.XLOOKUP(C58,'w9'!$B:$B,'w9'!$C:$C),0)</f>
        <v>15.1</v>
      </c>
      <c r="BB58" s="67">
        <f>_xlfn.RANK.EQ(BA58,BA$3:BA$10000,0)</f>
        <v>61</v>
      </c>
      <c r="BC58" s="68">
        <f>IFERROR(_xlfn.XLOOKUP(C58,'w9'!$B:$B,'w9'!$F:$F),1)</f>
        <v>0.31319444444444444</v>
      </c>
      <c r="BD58" s="67">
        <f>_xlfn.RANK.EQ(BC58,BC$3:BC$10000,1)</f>
        <v>47</v>
      </c>
      <c r="BE58" s="67">
        <f>IFERROR(IF(_xlfn.XLOOKUP(C58,'w9'!$B:$B,'w9'!$G:$G)="--",0,_xlfn.XLOOKUP(C58,'w9'!$B:$B,'w9'!$G:$G)),0)</f>
        <v>32</v>
      </c>
      <c r="BF58" s="67">
        <f>_xlfn.RANK.EQ(BE58,BE$3:BE$10000,0)</f>
        <v>68</v>
      </c>
      <c r="BG58" s="72">
        <f>IFERROR(_xlfn.XLOOKUP(B58,'w10'!$B:$B,'w10'!$C:$C),0)</f>
        <v>10.5</v>
      </c>
      <c r="BH58" s="74">
        <f>_xlfn.RANK.EQ(BG58,BG$3:BG$10000,0)</f>
        <v>63</v>
      </c>
      <c r="BI58" s="75">
        <f>IFERROR(_xlfn.XLOOKUP(B58,'w10'!$B:$B,'w10'!$F:$F),1)</f>
        <v>0.30694444444444446</v>
      </c>
      <c r="BJ58" s="74">
        <f>_xlfn.RANK.EQ(BI58,BI$3:BI$10000,1)</f>
        <v>53</v>
      </c>
      <c r="BK58" s="74">
        <f>IFERROR(IF(_xlfn.XLOOKUP(B58,'w10'!$B:$B,'w10'!$G:$G)="--",0,_xlfn.XLOOKUP(B58,'w10'!$B:$B,'w10'!$G:$G)),0)</f>
        <v>126</v>
      </c>
      <c r="BL58" s="74">
        <f>_xlfn.RANK.EQ(BK58,BK$3:BK$10000,0)</f>
        <v>51</v>
      </c>
      <c r="BM58" s="78">
        <f>IFERROR(_xlfn.XLOOKUP(B58,'w11'!$B:$B,'w11'!$C:$C),0)</f>
        <v>33.9</v>
      </c>
      <c r="BN58" s="80">
        <f>_xlfn.RANK.EQ(BM58,BM$3:BM$10000,0)</f>
        <v>23</v>
      </c>
      <c r="BO58" s="81">
        <f>IFERROR(_xlfn.XLOOKUP(B58,'w11'!$B:$B,'w11'!$F:$F),1)</f>
        <v>0.28125</v>
      </c>
      <c r="BP58" s="80">
        <f>_xlfn.RANK.EQ(BO58,BO$3:BO$10000,1)</f>
        <v>42</v>
      </c>
      <c r="BQ58" s="80">
        <f>IFERROR(IF(_xlfn.XLOOKUP(B58,'w11'!$B:$B,'w11'!$G:$G)="--",0,_xlfn.XLOOKUP(B58,'w11'!$B:$B,'w11'!$G:$G)),0)</f>
        <v>220</v>
      </c>
      <c r="BR58" s="80">
        <f>_xlfn.RANK.EQ(BQ58,BQ$3:BQ$10000,0)</f>
        <v>37</v>
      </c>
      <c r="BS58" s="83">
        <f>IFERROR(_xlfn.XLOOKUP(B58,'w12'!$B:$B,'w12'!$C:$C),0)</f>
        <v>0</v>
      </c>
      <c r="BT58" s="86">
        <f>_xlfn.RANK.EQ(BS58,BS$3:BS$10000,0)</f>
        <v>76</v>
      </c>
      <c r="BU58" s="87">
        <f>IFERROR(_xlfn.XLOOKUP(B58,'w12'!$B:$B,'w12'!$F:$F),1)</f>
        <v>1</v>
      </c>
      <c r="BV58" s="86">
        <f>_xlfn.RANK.EQ(BU58,BU$3:BU$10000,1)</f>
        <v>76</v>
      </c>
      <c r="BW58" s="86">
        <f>IFERROR(IF(_xlfn.XLOOKUP(B58,'w12'!$B:$B,'w12'!$G:$G)="--",0,_xlfn.XLOOKUP(B58,'w12'!$B:$B,'w12'!$G:$G)),0)</f>
        <v>0</v>
      </c>
      <c r="BX58" s="86">
        <f>_xlfn.RANK.EQ(BW58,BW$3:BW$10000,0)</f>
        <v>73</v>
      </c>
      <c r="BY58" s="89">
        <f>IFERROR(_xlfn.XLOOKUP(B58,'w13'!$B:$B,'w13'!$C:$C),0)</f>
        <v>6.1</v>
      </c>
      <c r="BZ58" s="92">
        <f>_xlfn.RANK.EQ(BY58,BY$3:BY$10000,0)</f>
        <v>70</v>
      </c>
      <c r="CA58" s="93">
        <f>IFERROR(_xlfn.XLOOKUP(B58,'w13'!$B:$B,'w13'!$F:$F),1)</f>
        <v>0.26944444444444443</v>
      </c>
      <c r="CB58" s="92">
        <f>_xlfn.RANK.EQ(CA58,CA$3:CA$10000,1)</f>
        <v>34</v>
      </c>
      <c r="CC58" s="92">
        <f>IFERROR(IF(_xlfn.XLOOKUP(B58,'w13'!$B:$B,'w13'!$G:$G)="--",0,_xlfn.XLOOKUP(B58,'w13'!$B:$B,'w13'!$G:$G)),0)</f>
        <v>30</v>
      </c>
      <c r="CD58" s="92">
        <f>_xlfn.RANK.EQ(CC58,CC$3:CC$10000,0)</f>
        <v>70</v>
      </c>
      <c r="CE58" s="95">
        <f>IFERROR(_xlfn.XLOOKUP(B58,'w14'!$B:$B,'w14'!$C:$C),0)</f>
        <v>9.9</v>
      </c>
      <c r="CF58" s="98">
        <f>_xlfn.RANK.EQ(CE58,CE$3:CE$10000,0)</f>
        <v>61</v>
      </c>
      <c r="CG58" s="99">
        <f>IFERROR(_xlfn.XLOOKUP(B58,'w14'!$B:$B,'w14'!$F:$F),1)</f>
        <v>0.29166666666666669</v>
      </c>
      <c r="CH58" s="98">
        <f>_xlfn.RANK.EQ(CG58,CG$3:CG$10000,1)</f>
        <v>40</v>
      </c>
      <c r="CI58" s="98">
        <f>IFERROR(IF(_xlfn.XLOOKUP(B58,'w14'!$B:$B,'w14'!$G:$G)="--",0,_xlfn.XLOOKUP(B58,'w14'!$B:$B,'w14'!$G:$G)),0)</f>
        <v>3</v>
      </c>
      <c r="CJ58" s="98">
        <f>_xlfn.RANK.EQ(CI58,CI$3:CI$10000,0)</f>
        <v>64</v>
      </c>
      <c r="CK58" s="9">
        <f>_xlfn.RANK.EQ(D58,D$3:D$10000,1)</f>
        <v>56</v>
      </c>
      <c r="CL58" s="26" t="s">
        <v>135</v>
      </c>
      <c r="CM58" s="8">
        <f>SUM(E58,K58,Q58,W58,AC58,AI58,AO58,AU58,BA58,BG58,BM58,BS58,BY58,CE58)</f>
        <v>197</v>
      </c>
      <c r="CN58" s="9">
        <f>_xlfn.RANK.EQ(CM58,CM$3:CM$10000)</f>
        <v>56</v>
      </c>
      <c r="CO58" s="15">
        <f>IFERROR(SUM(PRODUCT(E58,G58),PRODUCT(K58,M58),PRODUCT(Q58,S58),PRODUCT(W58,Y58),PRODUCT(AC58,AE58),PRODUCT(AI58,AK58),PRODUCT(AO58,AQ58),PRODUCT(AU58,AW58),PRODUCT(BA58,BC58),PRODUCT(BG58,BI58),PRODUCT(BM58,BO58),PRODUCT(BS58,BU58),PRODUCT(BY58,CA58),PRODUCT(CE58,CG58))/CM58,1)</f>
        <v>0.28946665256627191</v>
      </c>
      <c r="CP58" s="9">
        <f>_xlfn.RANK.EQ(CO58,CO$3:CO$10000,1)</f>
        <v>51</v>
      </c>
      <c r="CQ58" s="9">
        <f>SUM(I58,O58,U58,AA58,AG58,AM58,AS58,AY58,BE58,BK58,BQ58,BW58,CC58,CI58)</f>
        <v>1074</v>
      </c>
      <c r="CR58" s="9">
        <f>_xlfn.RANK.EQ(CQ58,CQ$3:CQ$10000)</f>
        <v>74</v>
      </c>
      <c r="CS58" s="23"/>
      <c r="CT58" s="25"/>
      <c r="CU58" s="24">
        <f>_xlfn.STDEV.S(F58,L58,R58,X58,AD58,AJ58,AP58,AV58,BB58,BH58,BN58,BT58,BZ58,CF58)</f>
        <v>15.797655967450812</v>
      </c>
      <c r="CV58" s="21">
        <f>_xlfn.RANK.EQ(CU58,CU$3:CU$10000,1)</f>
        <v>60</v>
      </c>
      <c r="CW58" s="24">
        <f>_xlfn.STDEV.S(H58,N58,T58,Z58,AF58,AL58,AR58,AX58,BD58,BJ58,BP58,BV58,CB58,CH58)</f>
        <v>10.68248026515306</v>
      </c>
      <c r="CX58" s="21">
        <f>_xlfn.RANK.EQ(CW58,CW$3:CW$10000,1)</f>
        <v>30</v>
      </c>
      <c r="CY58" s="24">
        <f>_xlfn.STDEV.S(J58,P58,V58,AB58,AH58,AN58,AT58,AZ58,BF58,BL58,BR58,BX58,CD58,CJ58)</f>
        <v>10.056980518170317</v>
      </c>
      <c r="CZ58" s="21">
        <f>_xlfn.RANK.EQ(CY58,CY$3:CY$10000,1)</f>
        <v>27</v>
      </c>
      <c r="DA58">
        <f>SUM(COUNTIF(E58,"&gt;0"),COUNTIF(K58,"&gt;0"),COUNTIF(Q58,"&gt;0"),COUNTIF(W58,"&gt;0"),COUNTIF(AC58,"&gt;0"),COUNTIF(AI58,"&gt;0"),COUNTIF(AO58,"&gt;0"),COUNTIF(AU58,"&gt;0"),COUNTIF(BA58,"&gt;0"),COUNTIF(BG58,"&gt;0"),COUNTIF(BM58,"&gt;0"),COUNTIF(BS58,"&gt;0"),COUNTIF(BY58,"&gt;0"),COUNTIF(CE58,"&gt;0"))</f>
        <v>13</v>
      </c>
    </row>
    <row r="59" spans="1:105" x14ac:dyDescent="0.3">
      <c r="B59" t="s">
        <v>18</v>
      </c>
      <c r="C59" s="18" t="s">
        <v>98</v>
      </c>
      <c r="D59" s="4">
        <f>CN59*$CN$1+CP59*$CP$1+CR59*$CR$1</f>
        <v>56.45</v>
      </c>
      <c r="E59" s="29">
        <f>IFERROR(_xlfn.XLOOKUP(B59,'w1'!$B:$B,'w1'!$C:$C),0)</f>
        <v>44.2</v>
      </c>
      <c r="F59" s="30">
        <f>_xlfn.RANK.EQ(E59,E$3:E$10000,0)</f>
        <v>15</v>
      </c>
      <c r="G59" s="31">
        <f>IFERROR(_xlfn.XLOOKUP(B59,'w1'!$B:$B,'w1'!$F:$F),1)</f>
        <v>0.31388888888888888</v>
      </c>
      <c r="H59" s="30">
        <f>_xlfn.RANK.EQ(G59,G$3:G$10000,1)</f>
        <v>57</v>
      </c>
      <c r="I59" s="30">
        <f>IFERROR(IF(_xlfn.XLOOKUP(B59,'w1'!$B:$B,'w1'!$G:$G)="--",0,_xlfn.XLOOKUP(B59,'w1'!$B:$B,'w1'!$G:$G)),0)</f>
        <v>1306</v>
      </c>
      <c r="J59" s="30">
        <f>_xlfn.RANK.EQ(I59,I$3:I$10000,0)</f>
        <v>5</v>
      </c>
      <c r="K59" s="34">
        <f>IFERROR(_xlfn.XLOOKUP(B59,'w2'!$B:$B,'w2'!$C:$C),0)</f>
        <v>0</v>
      </c>
      <c r="L59" s="35">
        <f>_xlfn.RANK.EQ(K59,K$3:K$10000,0)</f>
        <v>73</v>
      </c>
      <c r="M59" s="36">
        <f>IFERROR(_xlfn.XLOOKUP(B59,'w2'!$B:$B,'w2'!$F:$F),1)</f>
        <v>1</v>
      </c>
      <c r="N59" s="35">
        <f>_xlfn.RANK.EQ(M59,M$3:M$10000,1)</f>
        <v>72</v>
      </c>
      <c r="O59" s="35">
        <f>IFERROR(IF(_xlfn.XLOOKUP(B59,'w2'!$B:$B,'w2'!$G:$G)="--",0,_xlfn.XLOOKUP(B59,'w2'!$B:$B,'w2'!$G:$G)),0)</f>
        <v>0</v>
      </c>
      <c r="P59" s="35">
        <f>_xlfn.RANK.EQ(O59,O$3:O$10000,0)</f>
        <v>71</v>
      </c>
      <c r="Q59" s="39">
        <f>IFERROR(_xlfn.XLOOKUP(B59,'w3'!$B:$B,'w3'!$C:$C),0)</f>
        <v>19.899999999999999</v>
      </c>
      <c r="R59" s="40">
        <f>_xlfn.RANK.EQ(Q59,Q$3:Q$10000,0)</f>
        <v>47</v>
      </c>
      <c r="S59" s="41">
        <f>IFERROR(_xlfn.XLOOKUP(B59,'w3'!$B:$B,'w3'!$F:$F),1)</f>
        <v>0.24097222222222223</v>
      </c>
      <c r="T59" s="40">
        <f>_xlfn.RANK.EQ(S59,S$3:S$10000,1)</f>
        <v>11</v>
      </c>
      <c r="U59" s="40">
        <f>IFERROR(IF(_xlfn.XLOOKUP(B59,'w3'!$B:$B,'w3'!$G:$G)="--",0,_xlfn.XLOOKUP(B59,'w3'!$B:$B,'w3'!$G:$G)),0)</f>
        <v>464</v>
      </c>
      <c r="V59" s="40">
        <f>_xlfn.RANK.EQ(U59,U$3:U$10000,0)</f>
        <v>21</v>
      </c>
      <c r="W59" s="44">
        <f>IFERROR(_xlfn.XLOOKUP(B59,'w4'!$B:$B,'w4'!$C:$C),0)</f>
        <v>46.4</v>
      </c>
      <c r="X59" s="45">
        <f>_xlfn.RANK.EQ(W59,W$3:W$10000,0)</f>
        <v>12</v>
      </c>
      <c r="Y59" s="46">
        <f>IFERROR(_xlfn.XLOOKUP(B59,'w4'!$B:$B,'w4'!$F:$F),1)</f>
        <v>0.31180555555555556</v>
      </c>
      <c r="Z59" s="45">
        <f>_xlfn.RANK.EQ(Y59,Y$3:Y$10000,1)</f>
        <v>52</v>
      </c>
      <c r="AA59" s="45">
        <f>IFERROR(IF(_xlfn.XLOOKUP(B59,'w4'!$B:$B,'w4'!$G:$G)="--",0,_xlfn.XLOOKUP(B59,'w4'!$B:$B,'w4'!$G:$G)),0)</f>
        <v>1573</v>
      </c>
      <c r="AB59" s="45">
        <f>_xlfn.RANK.EQ(AA59,AA$3:AA$10000,0)</f>
        <v>6</v>
      </c>
      <c r="AC59" s="13">
        <f>IFERROR(_xlfn.XLOOKUP(B59,'w5'!$B:$B,'w5'!$C:$C),0)</f>
        <v>17.7</v>
      </c>
      <c r="AD59" s="12">
        <f>_xlfn.RANK.EQ(AC59,AC$3:AC$10000,0)</f>
        <v>55</v>
      </c>
      <c r="AE59" s="14">
        <f>IFERROR(_xlfn.XLOOKUP(B59,'w5'!$B:$B,'w5'!$F:$F),1)</f>
        <v>0.3576388888888889</v>
      </c>
      <c r="AF59" s="12">
        <f>_xlfn.RANK.EQ(AE59,AE$3:AE$10000,1)</f>
        <v>59</v>
      </c>
      <c r="AG59" s="12">
        <f>IFERROR(IF(_xlfn.XLOOKUP(B59,'w5'!$B:$B,'w5'!$G:$G)="--",0,_xlfn.XLOOKUP(B59,'w5'!$B:$B,'w5'!$G:$G)),0)</f>
        <v>751</v>
      </c>
      <c r="AH59" s="12">
        <f>_xlfn.RANK.EQ(AG59,AG$3:AG$10000,0)</f>
        <v>19</v>
      </c>
      <c r="AI59" s="51">
        <f>IFERROR(_xlfn.XLOOKUP(B59,'w6'!$B:$B,'w6'!$C:$C),0)</f>
        <v>0</v>
      </c>
      <c r="AJ59" s="50">
        <f>_xlfn.RANK.EQ(AI59,AI$3:AI$10000,0)</f>
        <v>65</v>
      </c>
      <c r="AK59" s="52">
        <f>IFERROR(_xlfn.XLOOKUP(B59,'w6'!$B:$B,'w6'!$F:$F),1)</f>
        <v>1</v>
      </c>
      <c r="AL59" s="50">
        <f>_xlfn.RANK.EQ(AK59,AK$3:AK$10000,1)</f>
        <v>65</v>
      </c>
      <c r="AM59" s="50">
        <f>IFERROR(IF(_xlfn.XLOOKUP(B59,'w6'!$B:$B,'w6'!$G:$G)="--",0,_xlfn.XLOOKUP(B59,'w6'!$B:$B,'w6'!$G:$G)),0)</f>
        <v>0</v>
      </c>
      <c r="AN59" s="50">
        <f>_xlfn.RANK.EQ(AM59,AM$3:AM$10000,0)</f>
        <v>61</v>
      </c>
      <c r="AO59" s="56">
        <f>IFERROR(_xlfn.XLOOKUP(B59,'w7'!$B:$B,'w7'!$C:$C),0)</f>
        <v>29</v>
      </c>
      <c r="AP59" s="57">
        <f>_xlfn.RANK.EQ(AO59,AO$3:AO$10000,0)</f>
        <v>27</v>
      </c>
      <c r="AQ59" s="58">
        <f>IFERROR(_xlfn.XLOOKUP(B59,'w7'!$B:$B,'w7'!$F:$F),1)</f>
        <v>0.38194444444444442</v>
      </c>
      <c r="AR59" s="57">
        <f>_xlfn.RANK.EQ(AQ59,AQ$3:AQ$10000,1)</f>
        <v>60</v>
      </c>
      <c r="AS59" s="57">
        <f>IFERROR(IF(_xlfn.XLOOKUP(B59,'w7'!$B:$B,'w7'!$G:$G)="--",0,_xlfn.XLOOKUP(B59,'w7'!$B:$B,'w7'!$G:$G)),0)</f>
        <v>1357</v>
      </c>
      <c r="AT59" s="57">
        <f>_xlfn.RANK.EQ(AS59,AS$3:AS$10000,0)</f>
        <v>10</v>
      </c>
      <c r="AU59" s="62">
        <f>IFERROR(_xlfn.XLOOKUP(B59,'w8'!$B:$B,'w8'!$C:$C),0)</f>
        <v>0</v>
      </c>
      <c r="AV59" s="61">
        <f>_xlfn.RANK.EQ(AU59,AU$3:AU$10000,0)</f>
        <v>73</v>
      </c>
      <c r="AW59" s="63">
        <f>IFERROR(_xlfn.XLOOKUP(B59,'w8'!$B:$B,'w8'!$F:$F),1)</f>
        <v>1</v>
      </c>
      <c r="AX59" s="61">
        <f>_xlfn.RANK.EQ(AW59,AW$3:AW$10000,1)</f>
        <v>73</v>
      </c>
      <c r="AY59" s="61">
        <f>IFERROR(IF(_xlfn.XLOOKUP(B59,'w8'!$B:$B,'w8'!$G:$G)="--",0,_xlfn.XLOOKUP(B59,'w8'!$B:$B,'w8'!$G:$G)),0)</f>
        <v>0</v>
      </c>
      <c r="AZ59" s="61">
        <f>_xlfn.RANK.EQ(AY59,AY$3:AY$10000,0)</f>
        <v>70</v>
      </c>
      <c r="BA59" s="66">
        <f>IFERROR(_xlfn.XLOOKUP(C59,'w9'!$B:$B,'w9'!$C:$C),0)</f>
        <v>14.8</v>
      </c>
      <c r="BB59" s="67">
        <f>_xlfn.RANK.EQ(BA59,BA$3:BA$10000,0)</f>
        <v>62</v>
      </c>
      <c r="BC59" s="68">
        <f>IFERROR(_xlfn.XLOOKUP(C59,'w9'!$B:$B,'w9'!$F:$F),1)</f>
        <v>0.22777777777777777</v>
      </c>
      <c r="BD59" s="67">
        <f>_xlfn.RANK.EQ(BC59,BC$3:BC$10000,1)</f>
        <v>7</v>
      </c>
      <c r="BE59" s="67">
        <f>IFERROR(IF(_xlfn.XLOOKUP(C59,'w9'!$B:$B,'w9'!$G:$G)="--",0,_xlfn.XLOOKUP(C59,'w9'!$B:$B,'w9'!$G:$G)),0)</f>
        <v>252</v>
      </c>
      <c r="BF59" s="67">
        <f>_xlfn.RANK.EQ(BE59,BE$3:BE$10000,0)</f>
        <v>47</v>
      </c>
      <c r="BG59" s="72">
        <f>IFERROR(_xlfn.XLOOKUP(B59,'w10'!$B:$B,'w10'!$C:$C),0)</f>
        <v>23.7</v>
      </c>
      <c r="BH59" s="74">
        <f>_xlfn.RANK.EQ(BG59,BG$3:BG$10000,0)</f>
        <v>35</v>
      </c>
      <c r="BI59" s="75">
        <f>IFERROR(_xlfn.XLOOKUP(B59,'w10'!$B:$B,'w10'!$F:$F),1)</f>
        <v>0.3576388888888889</v>
      </c>
      <c r="BJ59" s="74">
        <f>_xlfn.RANK.EQ(BI59,BI$3:BI$10000,1)</f>
        <v>69</v>
      </c>
      <c r="BK59" s="74">
        <f>IFERROR(IF(_xlfn.XLOOKUP(B59,'w10'!$B:$B,'w10'!$G:$G)="--",0,_xlfn.XLOOKUP(B59,'w10'!$B:$B,'w10'!$G:$G)),0)</f>
        <v>1052</v>
      </c>
      <c r="BL59" s="74">
        <f>_xlfn.RANK.EQ(BK59,BK$3:BK$10000,0)</f>
        <v>10</v>
      </c>
      <c r="BM59" s="78">
        <f>IFERROR(_xlfn.XLOOKUP(B59,'w11'!$B:$B,'w11'!$C:$C),0)</f>
        <v>0</v>
      </c>
      <c r="BN59" s="80">
        <f>_xlfn.RANK.EQ(BM59,BM$3:BM$10000,0)</f>
        <v>76</v>
      </c>
      <c r="BO59" s="81">
        <f>IFERROR(_xlfn.XLOOKUP(B59,'w11'!$B:$B,'w11'!$F:$F),1)</f>
        <v>1</v>
      </c>
      <c r="BP59" s="80">
        <f>_xlfn.RANK.EQ(BO59,BO$3:BO$10000,1)</f>
        <v>76</v>
      </c>
      <c r="BQ59" s="80">
        <f>IFERROR(IF(_xlfn.XLOOKUP(B59,'w11'!$B:$B,'w11'!$G:$G)="--",0,_xlfn.XLOOKUP(B59,'w11'!$B:$B,'w11'!$G:$G)),0)</f>
        <v>0</v>
      </c>
      <c r="BR59" s="80">
        <f>_xlfn.RANK.EQ(BQ59,BQ$3:BQ$10000,0)</f>
        <v>75</v>
      </c>
      <c r="BS59" s="83">
        <f>IFERROR(_xlfn.XLOOKUP(B59,'w12'!$B:$B,'w12'!$C:$C),0)</f>
        <v>0</v>
      </c>
      <c r="BT59" s="86">
        <f>_xlfn.RANK.EQ(BS59,BS$3:BS$10000,0)</f>
        <v>76</v>
      </c>
      <c r="BU59" s="87">
        <f>IFERROR(_xlfn.XLOOKUP(B59,'w12'!$B:$B,'w12'!$F:$F),1)</f>
        <v>1</v>
      </c>
      <c r="BV59" s="86">
        <f>_xlfn.RANK.EQ(BU59,BU$3:BU$10000,1)</f>
        <v>76</v>
      </c>
      <c r="BW59" s="86">
        <f>IFERROR(IF(_xlfn.XLOOKUP(B59,'w12'!$B:$B,'w12'!$G:$G)="--",0,_xlfn.XLOOKUP(B59,'w12'!$B:$B,'w12'!$G:$G)),0)</f>
        <v>0</v>
      </c>
      <c r="BX59" s="86">
        <f>_xlfn.RANK.EQ(BW59,BW$3:BW$10000,0)</f>
        <v>73</v>
      </c>
      <c r="BY59" s="89">
        <f>IFERROR(_xlfn.XLOOKUP(B59,'w13'!$B:$B,'w13'!$C:$C),0)</f>
        <v>0</v>
      </c>
      <c r="BZ59" s="92">
        <f>_xlfn.RANK.EQ(BY59,BY$3:BY$10000,0)</f>
        <v>76</v>
      </c>
      <c r="CA59" s="93">
        <f>IFERROR(_xlfn.XLOOKUP(B59,'w13'!$B:$B,'w13'!$F:$F),1)</f>
        <v>1</v>
      </c>
      <c r="CB59" s="92">
        <f>_xlfn.RANK.EQ(CA59,CA$3:CA$10000,1)</f>
        <v>76</v>
      </c>
      <c r="CC59" s="92">
        <f>IFERROR(IF(_xlfn.XLOOKUP(B59,'w13'!$B:$B,'w13'!$G:$G)="--",0,_xlfn.XLOOKUP(B59,'w13'!$B:$B,'w13'!$G:$G)),0)</f>
        <v>0</v>
      </c>
      <c r="CD59" s="92">
        <f>_xlfn.RANK.EQ(CC59,CC$3:CC$10000,0)</f>
        <v>76</v>
      </c>
      <c r="CE59" s="95">
        <f>IFERROR(_xlfn.XLOOKUP(B59,'w14'!$B:$B,'w14'!$C:$C),0)</f>
        <v>0</v>
      </c>
      <c r="CF59" s="98">
        <f>_xlfn.RANK.EQ(CE59,CE$3:CE$10000,0)</f>
        <v>69</v>
      </c>
      <c r="CG59" s="99">
        <f>IFERROR(_xlfn.XLOOKUP(B59,'w14'!$B:$B,'w14'!$F:$F),1)</f>
        <v>1</v>
      </c>
      <c r="CH59" s="98">
        <f>_xlfn.RANK.EQ(CG59,CG$3:CG$10000,1)</f>
        <v>69</v>
      </c>
      <c r="CI59" s="98">
        <f>IFERROR(IF(_xlfn.XLOOKUP(B59,'w14'!$B:$B,'w14'!$G:$G)="--",0,_xlfn.XLOOKUP(B59,'w14'!$B:$B,'w14'!$G:$G)),0)</f>
        <v>0</v>
      </c>
      <c r="CJ59" s="98">
        <f>_xlfn.RANK.EQ(CI59,CI$3:CI$10000,0)</f>
        <v>69</v>
      </c>
      <c r="CK59" s="9">
        <f>_xlfn.RANK.EQ(D59,D$3:D$10000,1)</f>
        <v>57</v>
      </c>
      <c r="CL59" s="26" t="s">
        <v>98</v>
      </c>
      <c r="CM59" s="8">
        <f>SUM(E59,K59,Q59,W59,AC59,AI59,AO59,AU59,BA59,BG59,BM59,BS59,BY59,CE59)</f>
        <v>195.7</v>
      </c>
      <c r="CN59" s="9">
        <f>_xlfn.RANK.EQ(CM59,CM$3:CM$10000)</f>
        <v>57</v>
      </c>
      <c r="CO59" s="15">
        <f>IFERROR(SUM(PRODUCT(E59,G59),PRODUCT(K59,M59),PRODUCT(Q59,S59),PRODUCT(W59,Y59),PRODUCT(AC59,AE59),PRODUCT(AI59,AK59),PRODUCT(AO59,AQ59),PRODUCT(AU59,AW59),PRODUCT(BA59,BC59),PRODUCT(BG59,BI59),PRODUCT(BM59,BO59),PRODUCT(BS59,BU59),PRODUCT(BY59,CA59),PRODUCT(CE59,CG59))/CM59,1)</f>
        <v>0.31880819565093965</v>
      </c>
      <c r="CP59" s="9">
        <f>_xlfn.RANK.EQ(CO59,CO$3:CO$10000,1)</f>
        <v>69</v>
      </c>
      <c r="CQ59" s="9">
        <f>SUM(I59,O59,U59,AA59,AG59,AM59,AS59,AY59,BE59,BK59,BQ59,BW59,CC59,CI59)</f>
        <v>6755</v>
      </c>
      <c r="CR59" s="9">
        <f>_xlfn.RANK.EQ(CQ59,CQ$3:CQ$10000)</f>
        <v>23</v>
      </c>
      <c r="CS59" s="23"/>
      <c r="CT59" s="25"/>
      <c r="CU59" s="24">
        <f>_xlfn.STDEV.S(F59,L59,R59,X59,AD59,AJ59,AP59,AV59,BB59,BH59,BN59,BT59,BZ59,CF59)</f>
        <v>23.216728527432181</v>
      </c>
      <c r="CV59" s="21">
        <f>_xlfn.RANK.EQ(CU59,CU$3:CU$10000,1)</f>
        <v>97</v>
      </c>
      <c r="CW59" s="24">
        <f>_xlfn.STDEV.S(H59,N59,T59,Z59,AF59,AL59,AR59,AX59,BD59,BJ59,BP59,BV59,CB59,CH59)</f>
        <v>22.410260601335729</v>
      </c>
      <c r="CX59" s="21">
        <f>_xlfn.RANK.EQ(CW59,CW$3:CW$10000,1)</f>
        <v>82</v>
      </c>
      <c r="CY59" s="24">
        <f>_xlfn.STDEV.S(J59,P59,V59,AB59,AH59,AN59,AT59,AZ59,BF59,BL59,BR59,BX59,CD59,CJ59)</f>
        <v>29.851371754148843</v>
      </c>
      <c r="CZ59" s="21">
        <f>_xlfn.RANK.EQ(CY59,CY$3:CY$10000,1)</f>
        <v>106</v>
      </c>
      <c r="DA59">
        <f>SUM(COUNTIF(E59,"&gt;0"),COUNTIF(K59,"&gt;0"),COUNTIF(Q59,"&gt;0"),COUNTIF(W59,"&gt;0"),COUNTIF(AC59,"&gt;0"),COUNTIF(AI59,"&gt;0"),COUNTIF(AO59,"&gt;0"),COUNTIF(AU59,"&gt;0"),COUNTIF(BA59,"&gt;0"),COUNTIF(BG59,"&gt;0"),COUNTIF(BM59,"&gt;0"),COUNTIF(BS59,"&gt;0"),COUNTIF(BY59,"&gt;0"),COUNTIF(CE59,"&gt;0"))</f>
        <v>7</v>
      </c>
    </row>
    <row r="60" spans="1:105" x14ac:dyDescent="0.3">
      <c r="A60" t="s">
        <v>171</v>
      </c>
      <c r="B60" t="s">
        <v>28</v>
      </c>
      <c r="C60" s="18" t="s">
        <v>108</v>
      </c>
      <c r="D60" s="4">
        <f>CN60*$CN$1+CP60*$CP$1+CR60*$CR$1</f>
        <v>57.974999999999994</v>
      </c>
      <c r="E60" s="29">
        <f>IFERROR(_xlfn.XLOOKUP(B60,'w1'!$B:$B,'w1'!$C:$C),0)</f>
        <v>30.9</v>
      </c>
      <c r="F60" s="30">
        <f>_xlfn.RANK.EQ(E60,E$3:E$10000,0)</f>
        <v>25</v>
      </c>
      <c r="G60" s="31">
        <f>IFERROR(_xlfn.XLOOKUP(B60,'w1'!$B:$B,'w1'!$F:$F),1)</f>
        <v>0.26041666666666669</v>
      </c>
      <c r="H60" s="30">
        <f>_xlfn.RANK.EQ(G60,G$3:G$10000,1)</f>
        <v>27</v>
      </c>
      <c r="I60" s="30">
        <f>IFERROR(IF(_xlfn.XLOOKUP(B60,'w1'!$B:$B,'w1'!$G:$G)="--",0,_xlfn.XLOOKUP(B60,'w1'!$B:$B,'w1'!$G:$G)),0)</f>
        <v>32</v>
      </c>
      <c r="J60" s="30">
        <f>_xlfn.RANK.EQ(I60,I$3:I$10000,0)</f>
        <v>71</v>
      </c>
      <c r="K60" s="34">
        <f>IFERROR(_xlfn.XLOOKUP(B60,'w2'!$B:$B,'w2'!$C:$C),0)</f>
        <v>24.7</v>
      </c>
      <c r="L60" s="35">
        <f>_xlfn.RANK.EQ(K60,K$3:K$10000,0)</f>
        <v>37</v>
      </c>
      <c r="M60" s="36">
        <f>IFERROR(_xlfn.XLOOKUP(B60,'w2'!$B:$B,'w2'!$F:$F),1)</f>
        <v>0.25</v>
      </c>
      <c r="N60" s="35">
        <f>_xlfn.RANK.EQ(M60,M$3:M$10000,1)</f>
        <v>13</v>
      </c>
      <c r="O60" s="35">
        <f>IFERROR(IF(_xlfn.XLOOKUP(B60,'w2'!$B:$B,'w2'!$G:$G)="--",0,_xlfn.XLOOKUP(B60,'w2'!$B:$B,'w2'!$G:$G)),0)</f>
        <v>93</v>
      </c>
      <c r="P60" s="35">
        <f>_xlfn.RANK.EQ(O60,O$3:O$10000,0)</f>
        <v>57</v>
      </c>
      <c r="Q60" s="39">
        <f>IFERROR(_xlfn.XLOOKUP(B60,'w3'!$B:$B,'w3'!$C:$C),0)</f>
        <v>29.8</v>
      </c>
      <c r="R60" s="40">
        <f>_xlfn.RANK.EQ(Q60,Q$3:Q$10000,0)</f>
        <v>31</v>
      </c>
      <c r="S60" s="41">
        <f>IFERROR(_xlfn.XLOOKUP(B60,'w3'!$B:$B,'w3'!$F:$F),1)</f>
        <v>0.29305555555555557</v>
      </c>
      <c r="T60" s="40">
        <f>_xlfn.RANK.EQ(S60,S$3:S$10000,1)</f>
        <v>47</v>
      </c>
      <c r="U60" s="40">
        <f>IFERROR(IF(_xlfn.XLOOKUP(B60,'w3'!$B:$B,'w3'!$G:$G)="--",0,_xlfn.XLOOKUP(B60,'w3'!$B:$B,'w3'!$G:$G)),0)</f>
        <v>94</v>
      </c>
      <c r="V60" s="40">
        <f>_xlfn.RANK.EQ(U60,U$3:U$10000,0)</f>
        <v>60</v>
      </c>
      <c r="W60" s="44">
        <f>IFERROR(_xlfn.XLOOKUP(B60,'w4'!$B:$B,'w4'!$C:$C),0)</f>
        <v>35.9</v>
      </c>
      <c r="X60" s="45">
        <f>_xlfn.RANK.EQ(W60,W$3:W$10000,0)</f>
        <v>19</v>
      </c>
      <c r="Y60" s="46">
        <f>IFERROR(_xlfn.XLOOKUP(B60,'w4'!$B:$B,'w4'!$F:$F),1)</f>
        <v>0.2722222222222222</v>
      </c>
      <c r="Z60" s="45">
        <f>_xlfn.RANK.EQ(Y60,Y$3:Y$10000,1)</f>
        <v>39</v>
      </c>
      <c r="AA60" s="45">
        <f>IFERROR(IF(_xlfn.XLOOKUP(B60,'w4'!$B:$B,'w4'!$G:$G)="--",0,_xlfn.XLOOKUP(B60,'w4'!$B:$B,'w4'!$G:$G)),0)</f>
        <v>115</v>
      </c>
      <c r="AB60" s="45">
        <f>_xlfn.RANK.EQ(AA60,AA$3:AA$10000,0)</f>
        <v>46</v>
      </c>
      <c r="AC60" s="13">
        <f>IFERROR(_xlfn.XLOOKUP(B60,'w5'!$B:$B,'w5'!$C:$C),0)</f>
        <v>37.700000000000003</v>
      </c>
      <c r="AD60" s="12">
        <f>_xlfn.RANK.EQ(AC60,AC$3:AC$10000,0)</f>
        <v>26</v>
      </c>
      <c r="AE60" s="14">
        <f>IFERROR(_xlfn.XLOOKUP(B60,'w5'!$B:$B,'w5'!$F:$F),1)</f>
        <v>0.25208333333333333</v>
      </c>
      <c r="AF60" s="12">
        <f>_xlfn.RANK.EQ(AE60,AE$3:AE$10000,1)</f>
        <v>20</v>
      </c>
      <c r="AG60" s="12">
        <f>IFERROR(IF(_xlfn.XLOOKUP(B60,'w5'!$B:$B,'w5'!$G:$G)="--",0,_xlfn.XLOOKUP(B60,'w5'!$B:$B,'w5'!$G:$G)),0)</f>
        <v>192</v>
      </c>
      <c r="AH60" s="12">
        <f>_xlfn.RANK.EQ(AG60,AG$3:AG$10000,0)</f>
        <v>45</v>
      </c>
      <c r="AI60" s="51">
        <f>IFERROR(_xlfn.XLOOKUP(B60,'w6'!$B:$B,'w6'!$C:$C),0)</f>
        <v>23.3</v>
      </c>
      <c r="AJ60" s="50">
        <f>_xlfn.RANK.EQ(AI60,AI$3:AI$10000,0)</f>
        <v>25</v>
      </c>
      <c r="AK60" s="52">
        <f>IFERROR(_xlfn.XLOOKUP(B60,'w6'!$B:$B,'w6'!$F:$F),1)</f>
        <v>0.25486111111111109</v>
      </c>
      <c r="AL60" s="50">
        <f>_xlfn.RANK.EQ(AK60,AK$3:AK$10000,1)</f>
        <v>17</v>
      </c>
      <c r="AM60" s="50">
        <f>IFERROR(IF(_xlfn.XLOOKUP(B60,'w6'!$B:$B,'w6'!$G:$G)="--",0,_xlfn.XLOOKUP(B60,'w6'!$B:$B,'w6'!$G:$G)),0)</f>
        <v>116</v>
      </c>
      <c r="AN60" s="50">
        <f>_xlfn.RANK.EQ(AM60,AM$3:AM$10000,0)</f>
        <v>48</v>
      </c>
      <c r="AO60" s="56">
        <f>IFERROR(_xlfn.XLOOKUP(B60,'w7'!$B:$B,'w7'!$C:$C),0)</f>
        <v>0</v>
      </c>
      <c r="AP60" s="57">
        <f>_xlfn.RANK.EQ(AO60,AO$3:AO$10000,0)</f>
        <v>72</v>
      </c>
      <c r="AQ60" s="58">
        <f>IFERROR(_xlfn.XLOOKUP(B60,'w7'!$B:$B,'w7'!$F:$F),1)</f>
        <v>1</v>
      </c>
      <c r="AR60" s="57">
        <f>_xlfn.RANK.EQ(AQ60,AQ$3:AQ$10000,1)</f>
        <v>72</v>
      </c>
      <c r="AS60" s="57">
        <f>IFERROR(IF(_xlfn.XLOOKUP(B60,'w7'!$B:$B,'w7'!$G:$G)="--",0,_xlfn.XLOOKUP(B60,'w7'!$B:$B,'w7'!$G:$G)),0)</f>
        <v>0</v>
      </c>
      <c r="AT60" s="57">
        <f>_xlfn.RANK.EQ(AS60,AS$3:AS$10000,0)</f>
        <v>69</v>
      </c>
      <c r="AU60" s="62">
        <f>IFERROR(_xlfn.XLOOKUP(B60,'w8'!$B:$B,'w8'!$C:$C),0)</f>
        <v>0</v>
      </c>
      <c r="AV60" s="61">
        <f>_xlfn.RANK.EQ(AU60,AU$3:AU$10000,0)</f>
        <v>73</v>
      </c>
      <c r="AW60" s="63">
        <f>IFERROR(_xlfn.XLOOKUP(B60,'w8'!$B:$B,'w8'!$F:$F),1)</f>
        <v>1</v>
      </c>
      <c r="AX60" s="61">
        <f>_xlfn.RANK.EQ(AW60,AW$3:AW$10000,1)</f>
        <v>73</v>
      </c>
      <c r="AY60" s="61">
        <f>IFERROR(IF(_xlfn.XLOOKUP(B60,'w8'!$B:$B,'w8'!$G:$G)="--",0,_xlfn.XLOOKUP(B60,'w8'!$B:$B,'w8'!$G:$G)),0)</f>
        <v>0</v>
      </c>
      <c r="AZ60" s="61">
        <f>_xlfn.RANK.EQ(AY60,AY$3:AY$10000,0)</f>
        <v>70</v>
      </c>
      <c r="BA60" s="66">
        <f>IFERROR(_xlfn.XLOOKUP(C60,'w9'!$B:$B,'w9'!$C:$C),0)</f>
        <v>0</v>
      </c>
      <c r="BB60" s="67">
        <f>_xlfn.RANK.EQ(BA60,BA$3:BA$10000,0)</f>
        <v>75</v>
      </c>
      <c r="BC60" s="68">
        <f>IFERROR(_xlfn.XLOOKUP(C60,'w9'!$B:$B,'w9'!$F:$F),1)</f>
        <v>1</v>
      </c>
      <c r="BD60" s="67">
        <f>_xlfn.RANK.EQ(BC60,BC$3:BC$10000,1)</f>
        <v>75</v>
      </c>
      <c r="BE60" s="67">
        <f>IFERROR(IF(_xlfn.XLOOKUP(C60,'w9'!$B:$B,'w9'!$G:$G)="--",0,_xlfn.XLOOKUP(C60,'w9'!$B:$B,'w9'!$G:$G)),0)</f>
        <v>0</v>
      </c>
      <c r="BF60" s="67">
        <f>_xlfn.RANK.EQ(BE60,BE$3:BE$10000,0)</f>
        <v>74</v>
      </c>
      <c r="BG60" s="72">
        <f>IFERROR(_xlfn.XLOOKUP(B60,'w10'!$B:$B,'w10'!$C:$C),0)</f>
        <v>0</v>
      </c>
      <c r="BH60" s="74">
        <f>_xlfn.RANK.EQ(BG60,BG$3:BG$10000,0)</f>
        <v>77</v>
      </c>
      <c r="BI60" s="75">
        <f>IFERROR(_xlfn.XLOOKUP(B60,'w10'!$B:$B,'w10'!$F:$F),1)</f>
        <v>1</v>
      </c>
      <c r="BJ60" s="74">
        <f>_xlfn.RANK.EQ(BI60,BI$3:BI$10000,1)</f>
        <v>76</v>
      </c>
      <c r="BK60" s="74">
        <f>IFERROR(IF(_xlfn.XLOOKUP(B60,'w10'!$B:$B,'w10'!$G:$G)="--",0,_xlfn.XLOOKUP(B60,'w10'!$B:$B,'w10'!$G:$G)),0)</f>
        <v>0</v>
      </c>
      <c r="BL60" s="74">
        <f>_xlfn.RANK.EQ(BK60,BK$3:BK$10000,0)</f>
        <v>76</v>
      </c>
      <c r="BM60" s="78">
        <f>IFERROR(_xlfn.XLOOKUP(B60,'w11'!$B:$B,'w11'!$C:$C),0)</f>
        <v>6</v>
      </c>
      <c r="BN60" s="80">
        <f>_xlfn.RANK.EQ(BM60,BM$3:BM$10000,0)</f>
        <v>72</v>
      </c>
      <c r="BO60" s="81">
        <f>IFERROR(_xlfn.XLOOKUP(B60,'w11'!$B:$B,'w11'!$F:$F),1)</f>
        <v>0.31111111111111112</v>
      </c>
      <c r="BP60" s="80">
        <f>_xlfn.RANK.EQ(BO60,BO$3:BO$10000,1)</f>
        <v>54</v>
      </c>
      <c r="BQ60" s="80">
        <f>IFERROR(IF(_xlfn.XLOOKUP(B60,'w11'!$B:$B,'w11'!$G:$G)="--",0,_xlfn.XLOOKUP(B60,'w11'!$B:$B,'w11'!$G:$G)),0)</f>
        <v>14</v>
      </c>
      <c r="BR60" s="80">
        <f>_xlfn.RANK.EQ(BQ60,BQ$3:BQ$10000,0)</f>
        <v>71</v>
      </c>
      <c r="BS60" s="83">
        <f>IFERROR(_xlfn.XLOOKUP(B60,'w12'!$B:$B,'w12'!$C:$C),0)</f>
        <v>0</v>
      </c>
      <c r="BT60" s="86">
        <f>_xlfn.RANK.EQ(BS60,BS$3:BS$10000,0)</f>
        <v>76</v>
      </c>
      <c r="BU60" s="87">
        <f>IFERROR(_xlfn.XLOOKUP(B60,'w12'!$B:$B,'w12'!$F:$F),1)</f>
        <v>1</v>
      </c>
      <c r="BV60" s="86">
        <f>_xlfn.RANK.EQ(BU60,BU$3:BU$10000,1)</f>
        <v>76</v>
      </c>
      <c r="BW60" s="86">
        <f>IFERROR(IF(_xlfn.XLOOKUP(B60,'w12'!$B:$B,'w12'!$G:$G)="--",0,_xlfn.XLOOKUP(B60,'w12'!$B:$B,'w12'!$G:$G)),0)</f>
        <v>0</v>
      </c>
      <c r="BX60" s="86">
        <f>_xlfn.RANK.EQ(BW60,BW$3:BW$10000,0)</f>
        <v>73</v>
      </c>
      <c r="BY60" s="89">
        <f>IFERROR(_xlfn.XLOOKUP(B60,'w13'!$B:$B,'w13'!$C:$C),0)</f>
        <v>0</v>
      </c>
      <c r="BZ60" s="92">
        <f>_xlfn.RANK.EQ(BY60,BY$3:BY$10000,0)</f>
        <v>76</v>
      </c>
      <c r="CA60" s="93">
        <f>IFERROR(_xlfn.XLOOKUP(B60,'w13'!$B:$B,'w13'!$F:$F),1)</f>
        <v>1</v>
      </c>
      <c r="CB60" s="92">
        <f>_xlfn.RANK.EQ(CA60,CA$3:CA$10000,1)</f>
        <v>76</v>
      </c>
      <c r="CC60" s="92">
        <f>IFERROR(IF(_xlfn.XLOOKUP(B60,'w13'!$B:$B,'w13'!$G:$G)="--",0,_xlfn.XLOOKUP(B60,'w13'!$B:$B,'w13'!$G:$G)),0)</f>
        <v>0</v>
      </c>
      <c r="CD60" s="92">
        <f>_xlfn.RANK.EQ(CC60,CC$3:CC$10000,0)</f>
        <v>76</v>
      </c>
      <c r="CE60" s="95">
        <f>IFERROR(_xlfn.XLOOKUP(B60,'w14'!$B:$B,'w14'!$C:$C),0)</f>
        <v>0</v>
      </c>
      <c r="CF60" s="98">
        <f>_xlfn.RANK.EQ(CE60,CE$3:CE$10000,0)</f>
        <v>69</v>
      </c>
      <c r="CG60" s="99">
        <f>IFERROR(_xlfn.XLOOKUP(B60,'w14'!$B:$B,'w14'!$F:$F),1)</f>
        <v>1</v>
      </c>
      <c r="CH60" s="98">
        <f>_xlfn.RANK.EQ(CG60,CG$3:CG$10000,1)</f>
        <v>69</v>
      </c>
      <c r="CI60" s="98">
        <f>IFERROR(IF(_xlfn.XLOOKUP(B60,'w14'!$B:$B,'w14'!$G:$G)="--",0,_xlfn.XLOOKUP(B60,'w14'!$B:$B,'w14'!$G:$G)),0)</f>
        <v>0</v>
      </c>
      <c r="CJ60" s="98">
        <f>_xlfn.RANK.EQ(CI60,CI$3:CI$10000,0)</f>
        <v>69</v>
      </c>
      <c r="CK60" s="9">
        <f>_xlfn.RANK.EQ(D60,D$3:D$10000,1)</f>
        <v>58</v>
      </c>
      <c r="CL60" s="26" t="s">
        <v>108</v>
      </c>
      <c r="CM60" s="8">
        <f>SUM(E60,K60,Q60,W60,AC60,AI60,AO60,AU60,BA60,BG60,BM60,BS60,BY60,CE60)</f>
        <v>188.3</v>
      </c>
      <c r="CN60" s="9">
        <f>_xlfn.RANK.EQ(CM60,CM$3:CM$10000)</f>
        <v>58</v>
      </c>
      <c r="CO60" s="15">
        <f>IFERROR(SUM(PRODUCT(E60,G60),PRODUCT(K60,M60),PRODUCT(Q60,S60),PRODUCT(W60,Y60),PRODUCT(AC60,AE60),PRODUCT(AI60,AK60),PRODUCT(AO60,AQ60),PRODUCT(AU60,AW60),PRODUCT(BA60,BC60),PRODUCT(BG60,BI60),PRODUCT(BM60,BO60),PRODUCT(BS60,BU60),PRODUCT(BY60,CA60),PRODUCT(CE60,CG60))/CM60,1)</f>
        <v>0.26572586593497377</v>
      </c>
      <c r="CP60" s="9">
        <f>_xlfn.RANK.EQ(CO60,CO$3:CO$10000,1)</f>
        <v>33</v>
      </c>
      <c r="CQ60" s="9">
        <f>SUM(I60,O60,U60,AA60,AG60,AM60,AS60,AY60,BE60,BK60,BQ60,BW60,CC60,CI60)</f>
        <v>656</v>
      </c>
      <c r="CR60" s="9">
        <f>_xlfn.RANK.EQ(CQ60,CQ$3:CQ$10000)</f>
        <v>82</v>
      </c>
      <c r="CS60" s="23"/>
      <c r="CT60" s="25"/>
      <c r="CU60" s="24">
        <f>_xlfn.STDEV.S(F60,L60,R60,X60,AD60,AJ60,AP60,AV60,BB60,BH60,BN60,BT60,BZ60,CF60)</f>
        <v>24.306309948174022</v>
      </c>
      <c r="CV60" s="21">
        <f>_xlfn.RANK.EQ(CU60,CU$3:CU$10000,1)</f>
        <v>101</v>
      </c>
      <c r="CW60" s="24">
        <f>_xlfn.STDEV.S(H60,N60,T60,Z60,AF60,AL60,AR60,AX60,BD60,BJ60,BP60,BV60,CB60,CH60)</f>
        <v>24.771926684219615</v>
      </c>
      <c r="CX60" s="21">
        <f>_xlfn.RANK.EQ(CW60,CW$3:CW$10000,1)</f>
        <v>96</v>
      </c>
      <c r="CY60" s="24">
        <f>_xlfn.STDEV.S(J60,P60,V60,AB60,AH60,AN60,AT60,AZ60,BF60,BL60,BR60,BX60,CD60,CJ60)</f>
        <v>11.276982294493923</v>
      </c>
      <c r="CZ60" s="21">
        <f>_xlfn.RANK.EQ(CY60,CY$3:CY$10000,1)</f>
        <v>33</v>
      </c>
      <c r="DA60">
        <f>SUM(COUNTIF(E60,"&gt;0"),COUNTIF(K60,"&gt;0"),COUNTIF(Q60,"&gt;0"),COUNTIF(W60,"&gt;0"),COUNTIF(AC60,"&gt;0"),COUNTIF(AI60,"&gt;0"),COUNTIF(AO60,"&gt;0"),COUNTIF(AU60,"&gt;0"),COUNTIF(BA60,"&gt;0"),COUNTIF(BG60,"&gt;0"),COUNTIF(BM60,"&gt;0"),COUNTIF(BS60,"&gt;0"),COUNTIF(BY60,"&gt;0"),COUNTIF(CE60,"&gt;0"))</f>
        <v>7</v>
      </c>
    </row>
    <row r="61" spans="1:105" x14ac:dyDescent="0.3">
      <c r="B61" t="s">
        <v>76</v>
      </c>
      <c r="C61" s="18" t="s">
        <v>139</v>
      </c>
      <c r="D61" s="4">
        <f>CN61*$CN$1+CP61*$CP$1+CR61*$CR$1</f>
        <v>58.15</v>
      </c>
      <c r="E61" s="29">
        <f>IFERROR(_xlfn.XLOOKUP(B61,'w1'!$B:$B,'w1'!$C:$C),0)</f>
        <v>6.5</v>
      </c>
      <c r="F61" s="30">
        <f>_xlfn.RANK.EQ(E61,E$3:E$10000,0)</f>
        <v>73</v>
      </c>
      <c r="G61" s="31">
        <f>IFERROR(_xlfn.XLOOKUP(B61,'w1'!$B:$B,'w1'!$F:$F),1)</f>
        <v>0.27500000000000002</v>
      </c>
      <c r="H61" s="30">
        <f>_xlfn.RANK.EQ(G61,G$3:G$10000,1)</f>
        <v>42</v>
      </c>
      <c r="I61" s="30">
        <f>IFERROR(IF(_xlfn.XLOOKUP(B61,'w1'!$B:$B,'w1'!$G:$G)="--",0,_xlfn.XLOOKUP(B61,'w1'!$B:$B,'w1'!$G:$G)),0)</f>
        <v>72</v>
      </c>
      <c r="J61" s="30">
        <f>_xlfn.RANK.EQ(I61,I$3:I$10000,0)</f>
        <v>58</v>
      </c>
      <c r="K61" s="34">
        <f>IFERROR(_xlfn.XLOOKUP(B61,'w2'!$B:$B,'w2'!$C:$C),0)</f>
        <v>21.3</v>
      </c>
      <c r="L61" s="35">
        <f>_xlfn.RANK.EQ(K61,K$3:K$10000,0)</f>
        <v>44</v>
      </c>
      <c r="M61" s="36">
        <f>IFERROR(_xlfn.XLOOKUP(B61,'w2'!$B:$B,'w2'!$F:$F),1)</f>
        <v>0.26666666666666666</v>
      </c>
      <c r="N61" s="35">
        <f>_xlfn.RANK.EQ(M61,M$3:M$10000,1)</f>
        <v>24</v>
      </c>
      <c r="O61" s="35">
        <f>IFERROR(IF(_xlfn.XLOOKUP(B61,'w2'!$B:$B,'w2'!$G:$G)="--",0,_xlfn.XLOOKUP(B61,'w2'!$B:$B,'w2'!$G:$G)),0)</f>
        <v>132</v>
      </c>
      <c r="P61" s="35">
        <f>_xlfn.RANK.EQ(O61,O$3:O$10000,0)</f>
        <v>51</v>
      </c>
      <c r="Q61" s="39">
        <f>IFERROR(_xlfn.XLOOKUP(B61,'w3'!$B:$B,'w3'!$C:$C),0)</f>
        <v>13</v>
      </c>
      <c r="R61" s="40">
        <f>_xlfn.RANK.EQ(Q61,Q$3:Q$10000,0)</f>
        <v>58</v>
      </c>
      <c r="S61" s="41">
        <f>IFERROR(_xlfn.XLOOKUP(B61,'w3'!$B:$B,'w3'!$F:$F),1)</f>
        <v>0.24236111111111111</v>
      </c>
      <c r="T61" s="40">
        <f>_xlfn.RANK.EQ(S61,S$3:S$10000,1)</f>
        <v>13</v>
      </c>
      <c r="U61" s="40">
        <f>IFERROR(IF(_xlfn.XLOOKUP(B61,'w3'!$B:$B,'w3'!$G:$G)="--",0,_xlfn.XLOOKUP(B61,'w3'!$B:$B,'w3'!$G:$G)),0)</f>
        <v>116</v>
      </c>
      <c r="V61" s="40">
        <f>_xlfn.RANK.EQ(U61,U$3:U$10000,0)</f>
        <v>54</v>
      </c>
      <c r="W61" s="44">
        <f>IFERROR(_xlfn.XLOOKUP(B61,'w4'!$B:$B,'w4'!$C:$C),0)</f>
        <v>0</v>
      </c>
      <c r="X61" s="45">
        <f>_xlfn.RANK.EQ(W61,W$3:W$10000,0)</f>
        <v>76</v>
      </c>
      <c r="Y61" s="46">
        <f>IFERROR(_xlfn.XLOOKUP(B61,'w4'!$B:$B,'w4'!$F:$F),1)</f>
        <v>1</v>
      </c>
      <c r="Z61" s="45">
        <f>_xlfn.RANK.EQ(Y61,Y$3:Y$10000,1)</f>
        <v>76</v>
      </c>
      <c r="AA61" s="45">
        <f>IFERROR(IF(_xlfn.XLOOKUP(B61,'w4'!$B:$B,'w4'!$G:$G)="--",0,_xlfn.XLOOKUP(B61,'w4'!$B:$B,'w4'!$G:$G)),0)</f>
        <v>0</v>
      </c>
      <c r="AB61" s="45">
        <f>_xlfn.RANK.EQ(AA61,AA$3:AA$10000,0)</f>
        <v>68</v>
      </c>
      <c r="AC61" s="13">
        <f>IFERROR(_xlfn.XLOOKUP(B61,'w5'!$B:$B,'w5'!$C:$C),0)</f>
        <v>10.1</v>
      </c>
      <c r="AD61" s="12">
        <f>_xlfn.RANK.EQ(AC61,AC$3:AC$10000,0)</f>
        <v>66</v>
      </c>
      <c r="AE61" s="14">
        <f>IFERROR(_xlfn.XLOOKUP(B61,'w5'!$B:$B,'w5'!$F:$F),1)</f>
        <v>0.27430555555555558</v>
      </c>
      <c r="AF61" s="12">
        <f>_xlfn.RANK.EQ(AE61,AE$3:AE$10000,1)</f>
        <v>34</v>
      </c>
      <c r="AG61" s="12">
        <f>IFERROR(IF(_xlfn.XLOOKUP(B61,'w5'!$B:$B,'w5'!$G:$G)="--",0,_xlfn.XLOOKUP(B61,'w5'!$B:$B,'w5'!$G:$G)),0)</f>
        <v>16</v>
      </c>
      <c r="AH61" s="12">
        <f>_xlfn.RANK.EQ(AG61,AG$3:AG$10000,0)</f>
        <v>72</v>
      </c>
      <c r="AI61" s="51">
        <f>IFERROR(_xlfn.XLOOKUP(B61,'w6'!$B:$B,'w6'!$C:$C),0)</f>
        <v>0</v>
      </c>
      <c r="AJ61" s="50">
        <f>_xlfn.RANK.EQ(AI61,AI$3:AI$10000,0)</f>
        <v>65</v>
      </c>
      <c r="AK61" s="52">
        <f>IFERROR(_xlfn.XLOOKUP(B61,'w6'!$B:$B,'w6'!$F:$F),1)</f>
        <v>1</v>
      </c>
      <c r="AL61" s="50">
        <f>_xlfn.RANK.EQ(AK61,AK$3:AK$10000,1)</f>
        <v>65</v>
      </c>
      <c r="AM61" s="50">
        <f>IFERROR(IF(_xlfn.XLOOKUP(B61,'w6'!$B:$B,'w6'!$G:$G)="--",0,_xlfn.XLOOKUP(B61,'w6'!$B:$B,'w6'!$G:$G)),0)</f>
        <v>0</v>
      </c>
      <c r="AN61" s="50">
        <f>_xlfn.RANK.EQ(AM61,AM$3:AM$10000,0)</f>
        <v>61</v>
      </c>
      <c r="AO61" s="56">
        <f>IFERROR(_xlfn.XLOOKUP(B61,'w7'!$B:$B,'w7'!$C:$C),0)</f>
        <v>0</v>
      </c>
      <c r="AP61" s="57">
        <f>_xlfn.RANK.EQ(AO61,AO$3:AO$10000,0)</f>
        <v>72</v>
      </c>
      <c r="AQ61" s="58">
        <f>IFERROR(_xlfn.XLOOKUP(B61,'w7'!$B:$B,'w7'!$F:$F),1)</f>
        <v>1</v>
      </c>
      <c r="AR61" s="57">
        <f>_xlfn.RANK.EQ(AQ61,AQ$3:AQ$10000,1)</f>
        <v>72</v>
      </c>
      <c r="AS61" s="57">
        <f>IFERROR(IF(_xlfn.XLOOKUP(B61,'w7'!$B:$B,'w7'!$G:$G)="--",0,_xlfn.XLOOKUP(B61,'w7'!$B:$B,'w7'!$G:$G)),0)</f>
        <v>0</v>
      </c>
      <c r="AT61" s="57">
        <f>_xlfn.RANK.EQ(AS61,AS$3:AS$10000,0)</f>
        <v>69</v>
      </c>
      <c r="AU61" s="62">
        <f>IFERROR(_xlfn.XLOOKUP(B61,'w8'!$B:$B,'w8'!$C:$C),0)</f>
        <v>19.399999999999999</v>
      </c>
      <c r="AV61" s="61">
        <f>_xlfn.RANK.EQ(AU61,AU$3:AU$10000,0)</f>
        <v>50</v>
      </c>
      <c r="AW61" s="63">
        <f>IFERROR(_xlfn.XLOOKUP(B61,'w8'!$B:$B,'w8'!$F:$F),1)</f>
        <v>0.24930555555555556</v>
      </c>
      <c r="AX61" s="61">
        <f>_xlfn.RANK.EQ(AW61,AW$3:AW$10000,1)</f>
        <v>13</v>
      </c>
      <c r="AY61" s="61">
        <f>IFERROR(IF(_xlfn.XLOOKUP(B61,'w8'!$B:$B,'w8'!$G:$G)="--",0,_xlfn.XLOOKUP(B61,'w8'!$B:$B,'w8'!$G:$G)),0)</f>
        <v>124</v>
      </c>
      <c r="AZ61" s="61">
        <f>_xlfn.RANK.EQ(AY61,AY$3:AY$10000,0)</f>
        <v>50</v>
      </c>
      <c r="BA61" s="66">
        <f>IFERROR(_xlfn.XLOOKUP(C61,'w9'!$B:$B,'w9'!$C:$C),0)</f>
        <v>0</v>
      </c>
      <c r="BB61" s="67">
        <f>_xlfn.RANK.EQ(BA61,BA$3:BA$10000,0)</f>
        <v>75</v>
      </c>
      <c r="BC61" s="68">
        <f>IFERROR(_xlfn.XLOOKUP(C61,'w9'!$B:$B,'w9'!$F:$F),1)</f>
        <v>1</v>
      </c>
      <c r="BD61" s="67">
        <f>_xlfn.RANK.EQ(BC61,BC$3:BC$10000,1)</f>
        <v>75</v>
      </c>
      <c r="BE61" s="67">
        <f>IFERROR(IF(_xlfn.XLOOKUP(C61,'w9'!$B:$B,'w9'!$G:$G)="--",0,_xlfn.XLOOKUP(C61,'w9'!$B:$B,'w9'!$G:$G)),0)</f>
        <v>0</v>
      </c>
      <c r="BF61" s="67">
        <f>_xlfn.RANK.EQ(BE61,BE$3:BE$10000,0)</f>
        <v>74</v>
      </c>
      <c r="BG61" s="72">
        <f>IFERROR(_xlfn.XLOOKUP(B61,'w10'!$B:$B,'w10'!$C:$C),0)</f>
        <v>23.6</v>
      </c>
      <c r="BH61" s="74">
        <f>_xlfn.RANK.EQ(BG61,BG$3:BG$10000,0)</f>
        <v>36</v>
      </c>
      <c r="BI61" s="75">
        <f>IFERROR(_xlfn.XLOOKUP(B61,'w10'!$B:$B,'w10'!$F:$F),1)</f>
        <v>0.28194444444444444</v>
      </c>
      <c r="BJ61" s="74">
        <f>_xlfn.RANK.EQ(BI61,BI$3:BI$10000,1)</f>
        <v>41</v>
      </c>
      <c r="BK61" s="74">
        <f>IFERROR(IF(_xlfn.XLOOKUP(B61,'w10'!$B:$B,'w10'!$G:$G)="--",0,_xlfn.XLOOKUP(B61,'w10'!$B:$B,'w10'!$G:$G)),0)</f>
        <v>310</v>
      </c>
      <c r="BL61" s="74">
        <f>_xlfn.RANK.EQ(BK61,BK$3:BK$10000,0)</f>
        <v>24</v>
      </c>
      <c r="BM61" s="78">
        <f>IFERROR(_xlfn.XLOOKUP(B61,'w11'!$B:$B,'w11'!$C:$C),0)</f>
        <v>28</v>
      </c>
      <c r="BN61" s="80">
        <f>_xlfn.RANK.EQ(BM61,BM$3:BM$10000,0)</f>
        <v>30</v>
      </c>
      <c r="BO61" s="81">
        <f>IFERROR(_xlfn.XLOOKUP(B61,'w11'!$B:$B,'w11'!$F:$F),1)</f>
        <v>0.25277777777777777</v>
      </c>
      <c r="BP61" s="80">
        <f>_xlfn.RANK.EQ(BO61,BO$3:BO$10000,1)</f>
        <v>24</v>
      </c>
      <c r="BQ61" s="80">
        <f>IFERROR(IF(_xlfn.XLOOKUP(B61,'w11'!$B:$B,'w11'!$G:$G)="--",0,_xlfn.XLOOKUP(B61,'w11'!$B:$B,'w11'!$G:$G)),0)</f>
        <v>343</v>
      </c>
      <c r="BR61" s="80">
        <f>_xlfn.RANK.EQ(BQ61,BQ$3:BQ$10000,0)</f>
        <v>25</v>
      </c>
      <c r="BS61" s="83">
        <f>IFERROR(_xlfn.XLOOKUP(B61,'w12'!$B:$B,'w12'!$C:$C),0)</f>
        <v>38.1</v>
      </c>
      <c r="BT61" s="86">
        <f>_xlfn.RANK.EQ(BS61,BS$3:BS$10000,0)</f>
        <v>15</v>
      </c>
      <c r="BU61" s="87">
        <f>IFERROR(_xlfn.XLOOKUP(B61,'w12'!$B:$B,'w12'!$F:$F),1)</f>
        <v>0.23194444444444445</v>
      </c>
      <c r="BV61" s="86">
        <f>_xlfn.RANK.EQ(BU61,BU$3:BU$10000,1)</f>
        <v>11</v>
      </c>
      <c r="BW61" s="86">
        <f>IFERROR(IF(_xlfn.XLOOKUP(B61,'w12'!$B:$B,'w12'!$G:$G)="--",0,_xlfn.XLOOKUP(B61,'w12'!$B:$B,'w12'!$G:$G)),0)</f>
        <v>232</v>
      </c>
      <c r="BX61" s="86">
        <f>_xlfn.RANK.EQ(BW61,BW$3:BW$10000,0)</f>
        <v>33</v>
      </c>
      <c r="BY61" s="89">
        <f>IFERROR(_xlfn.XLOOKUP(B61,'w13'!$B:$B,'w13'!$C:$C),0)</f>
        <v>16.600000000000001</v>
      </c>
      <c r="BZ61" s="92">
        <f>_xlfn.RANK.EQ(BY61,BY$3:BY$10000,0)</f>
        <v>49</v>
      </c>
      <c r="CA61" s="93">
        <f>IFERROR(_xlfn.XLOOKUP(B61,'w13'!$B:$B,'w13'!$F:$F),1)</f>
        <v>0.22916666666666666</v>
      </c>
      <c r="CB61" s="92">
        <f>_xlfn.RANK.EQ(CA61,CA$3:CA$10000,1)</f>
        <v>11</v>
      </c>
      <c r="CC61" s="92">
        <f>IFERROR(IF(_xlfn.XLOOKUP(B61,'w13'!$B:$B,'w13'!$G:$G)="--",0,_xlfn.XLOOKUP(B61,'w13'!$B:$B,'w13'!$G:$G)),0)</f>
        <v>224</v>
      </c>
      <c r="CD61" s="92">
        <f>_xlfn.RANK.EQ(CC61,CC$3:CC$10000,0)</f>
        <v>34</v>
      </c>
      <c r="CE61" s="95">
        <f>IFERROR(_xlfn.XLOOKUP(B61,'w14'!$B:$B,'w14'!$C:$C),0)</f>
        <v>10.1</v>
      </c>
      <c r="CF61" s="98">
        <f>_xlfn.RANK.EQ(CE61,CE$3:CE$10000,0)</f>
        <v>57</v>
      </c>
      <c r="CG61" s="99">
        <f>IFERROR(_xlfn.XLOOKUP(B61,'w14'!$B:$B,'w14'!$F:$F),1)</f>
        <v>0.26597222222222222</v>
      </c>
      <c r="CH61" s="98">
        <f>_xlfn.RANK.EQ(CG61,CG$3:CG$10000,1)</f>
        <v>27</v>
      </c>
      <c r="CI61" s="98">
        <f>IFERROR(IF(_xlfn.XLOOKUP(B61,'w14'!$B:$B,'w14'!$G:$G)="--",0,_xlfn.XLOOKUP(B61,'w14'!$B:$B,'w14'!$G:$G)),0)</f>
        <v>53</v>
      </c>
      <c r="CJ61" s="98">
        <f>_xlfn.RANK.EQ(CI61,CI$3:CI$10000,0)</f>
        <v>57</v>
      </c>
      <c r="CK61" s="9">
        <f>_xlfn.RANK.EQ(D61,D$3:D$10000,1)</f>
        <v>59</v>
      </c>
      <c r="CL61" s="26" t="s">
        <v>139</v>
      </c>
      <c r="CM61" s="8">
        <f>SUM(E61,K61,Q61,W61,AC61,AI61,AO61,AU61,BA61,BG61,BM61,BS61,BY61,CE61)</f>
        <v>186.7</v>
      </c>
      <c r="CN61" s="9">
        <f>_xlfn.RANK.EQ(CM61,CM$3:CM$10000)</f>
        <v>59</v>
      </c>
      <c r="CO61" s="15">
        <f>IFERROR(SUM(PRODUCT(E61,G61),PRODUCT(K61,M61),PRODUCT(Q61,S61),PRODUCT(W61,Y61),PRODUCT(AC61,AE61),PRODUCT(AI61,AK61),PRODUCT(AO61,AQ61),PRODUCT(AU61,AW61),PRODUCT(BA61,BC61),PRODUCT(BG61,BI61),PRODUCT(BM61,BO61),PRODUCT(BS61,BU61),PRODUCT(BY61,CA61),PRODUCT(CE61,CG61))/CM61,1)</f>
        <v>0.25326429804201633</v>
      </c>
      <c r="CP61" s="9">
        <f>_xlfn.RANK.EQ(CO61,CO$3:CO$10000,1)</f>
        <v>21</v>
      </c>
      <c r="CQ61" s="9">
        <f>SUM(I61,O61,U61,AA61,AG61,AM61,AS61,AY61,BE61,BK61,BQ61,BW61,CC61,CI61)</f>
        <v>1622</v>
      </c>
      <c r="CR61" s="9">
        <f>_xlfn.RANK.EQ(CQ61,CQ$3:CQ$10000)</f>
        <v>63</v>
      </c>
      <c r="CS61" s="23"/>
      <c r="CT61" s="25"/>
      <c r="CU61" s="24">
        <f>_xlfn.STDEV.S(F61,L61,R61,X61,AD61,AJ61,AP61,AV61,BB61,BH61,BN61,BT61,BZ61,CF61)</f>
        <v>18.511653591219744</v>
      </c>
      <c r="CV61" s="21">
        <f>_xlfn.RANK.EQ(CU61,CU$3:CU$10000,1)</f>
        <v>84</v>
      </c>
      <c r="CW61" s="24">
        <f>_xlfn.STDEV.S(H61,N61,T61,Z61,AF61,AL61,AR61,AX61,BD61,BJ61,BP61,BV61,CB61,CH61)</f>
        <v>24.743075399387607</v>
      </c>
      <c r="CX61" s="21">
        <f>_xlfn.RANK.EQ(CW61,CW$3:CW$10000,1)</f>
        <v>95</v>
      </c>
      <c r="CY61" s="24">
        <f>_xlfn.STDEV.S(J61,P61,V61,AB61,AH61,AN61,AT61,AZ61,BF61,BL61,BR61,BX61,CD61,CJ61)</f>
        <v>17.046800479662053</v>
      </c>
      <c r="CZ61" s="21">
        <f>_xlfn.RANK.EQ(CY61,CY$3:CY$10000,1)</f>
        <v>69</v>
      </c>
      <c r="DA61">
        <f>SUM(COUNTIF(E61,"&gt;0"),COUNTIF(K61,"&gt;0"),COUNTIF(Q61,"&gt;0"),COUNTIF(W61,"&gt;0"),COUNTIF(AC61,"&gt;0"),COUNTIF(AI61,"&gt;0"),COUNTIF(AO61,"&gt;0"),COUNTIF(AU61,"&gt;0"),COUNTIF(BA61,"&gt;0"),COUNTIF(BG61,"&gt;0"),COUNTIF(BM61,"&gt;0"),COUNTIF(BS61,"&gt;0"),COUNTIF(BY61,"&gt;0"),COUNTIF(CE61,"&gt;0"))</f>
        <v>10</v>
      </c>
    </row>
    <row r="62" spans="1:105" x14ac:dyDescent="0.3">
      <c r="B62" t="s">
        <v>37</v>
      </c>
      <c r="C62" s="18" t="s">
        <v>149</v>
      </c>
      <c r="D62" s="4">
        <f>CN62*$CN$1+CP62*$CP$1+CR62*$CR$1</f>
        <v>59.6</v>
      </c>
      <c r="E62" s="29">
        <f>IFERROR(_xlfn.XLOOKUP(B62,'w1'!$B:$B,'w1'!$C:$C),0)</f>
        <v>23.3</v>
      </c>
      <c r="F62" s="30">
        <f>_xlfn.RANK.EQ(E62,E$3:E$10000,0)</f>
        <v>34</v>
      </c>
      <c r="G62" s="31">
        <f>IFERROR(_xlfn.XLOOKUP(B62,'w1'!$B:$B,'w1'!$F:$F),1)</f>
        <v>0.42986111111111114</v>
      </c>
      <c r="H62" s="30">
        <f>_xlfn.RANK.EQ(G62,G$3:G$10000,1)</f>
        <v>77</v>
      </c>
      <c r="I62" s="30">
        <f>IFERROR(IF(_xlfn.XLOOKUP(B62,'w1'!$B:$B,'w1'!$G:$G)="--",0,_xlfn.XLOOKUP(B62,'w1'!$B:$B,'w1'!$G:$G)),0)</f>
        <v>817</v>
      </c>
      <c r="J62" s="30">
        <f>_xlfn.RANK.EQ(I62,I$3:I$10000,0)</f>
        <v>10</v>
      </c>
      <c r="K62" s="34">
        <f>IFERROR(_xlfn.XLOOKUP(B62,'w2'!$B:$B,'w2'!$C:$C),0)</f>
        <v>11</v>
      </c>
      <c r="L62" s="35">
        <f>_xlfn.RANK.EQ(K62,K$3:K$10000,0)</f>
        <v>55</v>
      </c>
      <c r="M62" s="36">
        <f>IFERROR(_xlfn.XLOOKUP(B62,'w2'!$B:$B,'w2'!$F:$F),1)</f>
        <v>0.28055555555555556</v>
      </c>
      <c r="N62" s="35">
        <f>_xlfn.RANK.EQ(M62,M$3:M$10000,1)</f>
        <v>38</v>
      </c>
      <c r="O62" s="35">
        <f>IFERROR(IF(_xlfn.XLOOKUP(B62,'w2'!$B:$B,'w2'!$G:$G)="--",0,_xlfn.XLOOKUP(B62,'w2'!$B:$B,'w2'!$G:$G)),0)</f>
        <v>186</v>
      </c>
      <c r="P62" s="35">
        <f>_xlfn.RANK.EQ(O62,O$3:O$10000,0)</f>
        <v>41</v>
      </c>
      <c r="Q62" s="39">
        <f>IFERROR(_xlfn.XLOOKUP(B62,'w3'!$B:$B,'w3'!$C:$C),0)</f>
        <v>0</v>
      </c>
      <c r="R62" s="40">
        <f>_xlfn.RANK.EQ(Q62,Q$3:Q$10000,0)</f>
        <v>84</v>
      </c>
      <c r="S62" s="41">
        <f>IFERROR(_xlfn.XLOOKUP(B62,'w3'!$B:$B,'w3'!$F:$F),1)</f>
        <v>1</v>
      </c>
      <c r="T62" s="40">
        <f>_xlfn.RANK.EQ(S62,S$3:S$10000,1)</f>
        <v>83</v>
      </c>
      <c r="U62" s="40">
        <f>IFERROR(IF(_xlfn.XLOOKUP(B62,'w3'!$B:$B,'w3'!$G:$G)="--",0,_xlfn.XLOOKUP(B62,'w3'!$B:$B,'w3'!$G:$G)),0)</f>
        <v>0</v>
      </c>
      <c r="V62" s="40">
        <f>_xlfn.RANK.EQ(U62,U$3:U$10000,0)</f>
        <v>80</v>
      </c>
      <c r="W62" s="44">
        <f>IFERROR(_xlfn.XLOOKUP(B62,'w4'!$B:$B,'w4'!$C:$C),0)</f>
        <v>5</v>
      </c>
      <c r="X62" s="45">
        <f>_xlfn.RANK.EQ(W62,W$3:W$10000,0)</f>
        <v>71</v>
      </c>
      <c r="Y62" s="46">
        <f>IFERROR(_xlfn.XLOOKUP(B62,'w4'!$B:$B,'w4'!$F:$F),1)</f>
        <v>0.26319444444444445</v>
      </c>
      <c r="Z62" s="45">
        <f>_xlfn.RANK.EQ(Y62,Y$3:Y$10000,1)</f>
        <v>32</v>
      </c>
      <c r="AA62" s="45">
        <f>IFERROR(IF(_xlfn.XLOOKUP(B62,'w4'!$B:$B,'w4'!$G:$G)="--",0,_xlfn.XLOOKUP(B62,'w4'!$B:$B,'w4'!$G:$G)),0)</f>
        <v>83</v>
      </c>
      <c r="AB62" s="45">
        <f>_xlfn.RANK.EQ(AA62,AA$3:AA$10000,0)</f>
        <v>52</v>
      </c>
      <c r="AC62" s="13">
        <f>IFERROR(_xlfn.XLOOKUP(B62,'w5'!$B:$B,'w5'!$C:$C),0)</f>
        <v>23.6</v>
      </c>
      <c r="AD62" s="12">
        <f>_xlfn.RANK.EQ(AC62,AC$3:AC$10000,0)</f>
        <v>45</v>
      </c>
      <c r="AE62" s="14">
        <f>IFERROR(_xlfn.XLOOKUP(B62,'w5'!$B:$B,'w5'!$F:$F),1)</f>
        <v>0.35486111111111113</v>
      </c>
      <c r="AF62" s="12">
        <f>_xlfn.RANK.EQ(AE62,AE$3:AE$10000,1)</f>
        <v>58</v>
      </c>
      <c r="AG62" s="12">
        <f>IFERROR(IF(_xlfn.XLOOKUP(B62,'w5'!$B:$B,'w5'!$G:$G)="--",0,_xlfn.XLOOKUP(B62,'w5'!$B:$B,'w5'!$G:$G)),0)</f>
        <v>820</v>
      </c>
      <c r="AH62" s="12">
        <f>_xlfn.RANK.EQ(AG62,AG$3:AG$10000,0)</f>
        <v>18</v>
      </c>
      <c r="AI62" s="51">
        <f>IFERROR(_xlfn.XLOOKUP(B62,'w6'!$B:$B,'w6'!$C:$C),0)</f>
        <v>0</v>
      </c>
      <c r="AJ62" s="50">
        <f>_xlfn.RANK.EQ(AI62,AI$3:AI$10000,0)</f>
        <v>65</v>
      </c>
      <c r="AK62" s="52">
        <f>IFERROR(_xlfn.XLOOKUP(B62,'w6'!$B:$B,'w6'!$F:$F),1)</f>
        <v>1</v>
      </c>
      <c r="AL62" s="50">
        <f>_xlfn.RANK.EQ(AK62,AK$3:AK$10000,1)</f>
        <v>65</v>
      </c>
      <c r="AM62" s="50">
        <f>IFERROR(IF(_xlfn.XLOOKUP(B62,'w6'!$B:$B,'w6'!$G:$G)="--",0,_xlfn.XLOOKUP(B62,'w6'!$B:$B,'w6'!$G:$G)),0)</f>
        <v>0</v>
      </c>
      <c r="AN62" s="50">
        <f>_xlfn.RANK.EQ(AM62,AM$3:AM$10000,0)</f>
        <v>61</v>
      </c>
      <c r="AO62" s="56">
        <f>IFERROR(_xlfn.XLOOKUP(B62,'w7'!$B:$B,'w7'!$C:$C),0)</f>
        <v>0</v>
      </c>
      <c r="AP62" s="57">
        <f>_xlfn.RANK.EQ(AO62,AO$3:AO$10000,0)</f>
        <v>72</v>
      </c>
      <c r="AQ62" s="58">
        <f>IFERROR(_xlfn.XLOOKUP(B62,'w7'!$B:$B,'w7'!$F:$F),1)</f>
        <v>1</v>
      </c>
      <c r="AR62" s="57">
        <f>_xlfn.RANK.EQ(AQ62,AQ$3:AQ$10000,1)</f>
        <v>72</v>
      </c>
      <c r="AS62" s="57">
        <f>IFERROR(IF(_xlfn.XLOOKUP(B62,'w7'!$B:$B,'w7'!$G:$G)="--",0,_xlfn.XLOOKUP(B62,'w7'!$B:$B,'w7'!$G:$G)),0)</f>
        <v>0</v>
      </c>
      <c r="AT62" s="57">
        <f>_xlfn.RANK.EQ(AS62,AS$3:AS$10000,0)</f>
        <v>69</v>
      </c>
      <c r="AU62" s="62">
        <f>IFERROR(_xlfn.XLOOKUP(B62,'w8'!$B:$B,'w8'!$C:$C),0)</f>
        <v>16.3</v>
      </c>
      <c r="AV62" s="61">
        <f>_xlfn.RANK.EQ(AU62,AU$3:AU$10000,0)</f>
        <v>56</v>
      </c>
      <c r="AW62" s="63">
        <f>IFERROR(_xlfn.XLOOKUP(B62,'w8'!$B:$B,'w8'!$F:$F),1)</f>
        <v>0.29791666666666666</v>
      </c>
      <c r="AX62" s="61">
        <f>_xlfn.RANK.EQ(AW62,AW$3:AW$10000,1)</f>
        <v>46</v>
      </c>
      <c r="AY62" s="61">
        <f>IFERROR(IF(_xlfn.XLOOKUP(B62,'w8'!$B:$B,'w8'!$G:$G)="--",0,_xlfn.XLOOKUP(B62,'w8'!$B:$B,'w8'!$G:$G)),0)</f>
        <v>289</v>
      </c>
      <c r="AZ62" s="61">
        <f>_xlfn.RANK.EQ(AY62,AY$3:AY$10000,0)</f>
        <v>32</v>
      </c>
      <c r="BA62" s="66">
        <f>IFERROR(_xlfn.XLOOKUP(C62,'w9'!$B:$B,'w9'!$C:$C),0)</f>
        <v>19.8</v>
      </c>
      <c r="BB62" s="67">
        <f>_xlfn.RANK.EQ(BA62,BA$3:BA$10000,0)</f>
        <v>55</v>
      </c>
      <c r="BC62" s="68">
        <f>IFERROR(_xlfn.XLOOKUP(C62,'w9'!$B:$B,'w9'!$F:$F),1)</f>
        <v>0.28125</v>
      </c>
      <c r="BD62" s="67">
        <f>_xlfn.RANK.EQ(BC62,BC$3:BC$10000,1)</f>
        <v>33</v>
      </c>
      <c r="BE62" s="67">
        <f>IFERROR(IF(_xlfn.XLOOKUP(C62,'w9'!$B:$B,'w9'!$G:$G)="--",0,_xlfn.XLOOKUP(C62,'w9'!$B:$B,'w9'!$G:$G)),0)</f>
        <v>367</v>
      </c>
      <c r="BF62" s="67">
        <f>_xlfn.RANK.EQ(BE62,BE$3:BE$10000,0)</f>
        <v>40</v>
      </c>
      <c r="BG62" s="72">
        <f>IFERROR(_xlfn.XLOOKUP(B62,'w10'!$B:$B,'w10'!$C:$C),0)</f>
        <v>10</v>
      </c>
      <c r="BH62" s="74">
        <f>_xlfn.RANK.EQ(BG62,BG$3:BG$10000,0)</f>
        <v>67</v>
      </c>
      <c r="BI62" s="75">
        <f>IFERROR(_xlfn.XLOOKUP(B62,'w10'!$B:$B,'w10'!$F:$F),1)</f>
        <v>0.29097222222222224</v>
      </c>
      <c r="BJ62" s="74">
        <f>_xlfn.RANK.EQ(BI62,BI$3:BI$10000,1)</f>
        <v>46</v>
      </c>
      <c r="BK62" s="74">
        <f>IFERROR(IF(_xlfn.XLOOKUP(B62,'w10'!$B:$B,'w10'!$G:$G)="--",0,_xlfn.XLOOKUP(B62,'w10'!$B:$B,'w10'!$G:$G)),0)</f>
        <v>231</v>
      </c>
      <c r="BL62" s="74">
        <f>_xlfn.RANK.EQ(BK62,BK$3:BK$10000,0)</f>
        <v>31</v>
      </c>
      <c r="BM62" s="78">
        <f>IFERROR(_xlfn.XLOOKUP(B62,'w11'!$B:$B,'w11'!$C:$C),0)</f>
        <v>20.2</v>
      </c>
      <c r="BN62" s="80">
        <f>_xlfn.RANK.EQ(BM62,BM$3:BM$10000,0)</f>
        <v>43</v>
      </c>
      <c r="BO62" s="81">
        <f>IFERROR(_xlfn.XLOOKUP(B62,'w11'!$B:$B,'w11'!$F:$F),1)</f>
        <v>0.28749999999999998</v>
      </c>
      <c r="BP62" s="80">
        <f>_xlfn.RANK.EQ(BO62,BO$3:BO$10000,1)</f>
        <v>46</v>
      </c>
      <c r="BQ62" s="80">
        <f>IFERROR(IF(_xlfn.XLOOKUP(B62,'w11'!$B:$B,'w11'!$G:$G)="--",0,_xlfn.XLOOKUP(B62,'w11'!$B:$B,'w11'!$G:$G)),0)</f>
        <v>309</v>
      </c>
      <c r="BR62" s="80">
        <f>_xlfn.RANK.EQ(BQ62,BQ$3:BQ$10000,0)</f>
        <v>29</v>
      </c>
      <c r="BS62" s="83">
        <f>IFERROR(_xlfn.XLOOKUP(B62,'w12'!$B:$B,'w12'!$C:$C),0)</f>
        <v>21.3</v>
      </c>
      <c r="BT62" s="86">
        <f>_xlfn.RANK.EQ(BS62,BS$3:BS$10000,0)</f>
        <v>32</v>
      </c>
      <c r="BU62" s="87">
        <f>IFERROR(_xlfn.XLOOKUP(B62,'w12'!$B:$B,'w12'!$F:$F),1)</f>
        <v>0.29375000000000001</v>
      </c>
      <c r="BV62" s="86">
        <f>_xlfn.RANK.EQ(BU62,BU$3:BU$10000,1)</f>
        <v>45</v>
      </c>
      <c r="BW62" s="86">
        <f>IFERROR(IF(_xlfn.XLOOKUP(B62,'w12'!$B:$B,'w12'!$G:$G)="--",0,_xlfn.XLOOKUP(B62,'w12'!$B:$B,'w12'!$G:$G)),0)</f>
        <v>441</v>
      </c>
      <c r="BX62" s="86">
        <f>_xlfn.RANK.EQ(BW62,BW$3:BW$10000,0)</f>
        <v>12</v>
      </c>
      <c r="BY62" s="89">
        <f>IFERROR(_xlfn.XLOOKUP(B62,'w13'!$B:$B,'w13'!$C:$C),0)</f>
        <v>12.5</v>
      </c>
      <c r="BZ62" s="92">
        <f>_xlfn.RANK.EQ(BY62,BY$3:BY$10000,0)</f>
        <v>59</v>
      </c>
      <c r="CA62" s="93">
        <f>IFERROR(_xlfn.XLOOKUP(B62,'w13'!$B:$B,'w13'!$F:$F),1)</f>
        <v>0.28888888888888886</v>
      </c>
      <c r="CB62" s="92">
        <f>_xlfn.RANK.EQ(CA62,CA$3:CA$10000,1)</f>
        <v>45</v>
      </c>
      <c r="CC62" s="92">
        <f>IFERROR(IF(_xlfn.XLOOKUP(B62,'w13'!$B:$B,'w13'!$G:$G)="--",0,_xlfn.XLOOKUP(B62,'w13'!$B:$B,'w13'!$G:$G)),0)</f>
        <v>235</v>
      </c>
      <c r="CD62" s="92">
        <f>_xlfn.RANK.EQ(CC62,CC$3:CC$10000,0)</f>
        <v>32</v>
      </c>
      <c r="CE62" s="95">
        <f>IFERROR(_xlfn.XLOOKUP(B62,'w14'!$B:$B,'w14'!$C:$C),0)</f>
        <v>20.5</v>
      </c>
      <c r="CF62" s="98">
        <f>_xlfn.RANK.EQ(CE62,CE$3:CE$10000,0)</f>
        <v>42</v>
      </c>
      <c r="CG62" s="99">
        <f>IFERROR(_xlfn.XLOOKUP(B62,'w14'!$B:$B,'w14'!$F:$F),1)</f>
        <v>0.37569444444444444</v>
      </c>
      <c r="CH62" s="98">
        <f>_xlfn.RANK.EQ(CG62,CG$3:CG$10000,1)</f>
        <v>59</v>
      </c>
      <c r="CI62" s="98">
        <f>IFERROR(IF(_xlfn.XLOOKUP(B62,'w14'!$B:$B,'w14'!$G:$G)="--",0,_xlfn.XLOOKUP(B62,'w14'!$B:$B,'w14'!$G:$G)),0)</f>
        <v>330</v>
      </c>
      <c r="CJ62" s="98">
        <f>_xlfn.RANK.EQ(CI62,CI$3:CI$10000,0)</f>
        <v>28</v>
      </c>
      <c r="CK62" s="9">
        <f>_xlfn.RANK.EQ(D62,D$3:D$10000,1)</f>
        <v>60</v>
      </c>
      <c r="CL62" s="26" t="s">
        <v>149</v>
      </c>
      <c r="CM62" s="8">
        <f>SUM(E62,K62,Q62,W62,AC62,AI62,AO62,AU62,BA62,BG62,BM62,BS62,BY62,CE62)</f>
        <v>183.5</v>
      </c>
      <c r="CN62" s="9">
        <f>_xlfn.RANK.EQ(CM62,CM$3:CM$10000)</f>
        <v>60</v>
      </c>
      <c r="CO62" s="15">
        <f>IFERROR(SUM(PRODUCT(E62,G62),PRODUCT(K62,M62),PRODUCT(Q62,S62),PRODUCT(W62,Y62),PRODUCT(AC62,AE62),PRODUCT(AI62,AK62),PRODUCT(AO62,AQ62),PRODUCT(AU62,AW62),PRODUCT(BA62,BC62),PRODUCT(BG62,BI62),PRODUCT(BM62,BO62),PRODUCT(BS62,BU62),PRODUCT(BY62,CA62),PRODUCT(CE62,CG62))/CM62,1)</f>
        <v>0.32427414471692401</v>
      </c>
      <c r="CP62" s="9">
        <f>_xlfn.RANK.EQ(CO62,CO$3:CO$10000,1)</f>
        <v>73</v>
      </c>
      <c r="CQ62" s="9">
        <f>SUM(I62,O62,U62,AA62,AG62,AM62,AS62,AY62,BE62,BK62,BQ62,BW62,CC62,CI62)</f>
        <v>4108</v>
      </c>
      <c r="CR62" s="9">
        <f>_xlfn.RANK.EQ(CQ62,CQ$3:CQ$10000)</f>
        <v>31</v>
      </c>
      <c r="CS62" s="23"/>
      <c r="CT62" s="25"/>
      <c r="CU62" s="24">
        <f>_xlfn.STDEV.S(F62,L62,R62,X62,AD62,AJ62,AP62,AV62,BB62,BH62,BN62,BT62,BZ62,CF62)</f>
        <v>15.24885151503131</v>
      </c>
      <c r="CV62" s="21">
        <f>_xlfn.RANK.EQ(CU62,CU$3:CU$10000,1)</f>
        <v>57</v>
      </c>
      <c r="CW62" s="24">
        <f>_xlfn.STDEV.S(H62,N62,T62,Z62,AF62,AL62,AR62,AX62,BD62,BJ62,BP62,BV62,CB62,CH62)</f>
        <v>16.130136970321079</v>
      </c>
      <c r="CX62" s="21">
        <f>_xlfn.RANK.EQ(CW62,CW$3:CW$10000,1)</f>
        <v>58</v>
      </c>
      <c r="CY62" s="24">
        <f>_xlfn.STDEV.S(J62,P62,V62,AB62,AH62,AN62,AT62,AZ62,BF62,BL62,BR62,BX62,CD62,CJ62)</f>
        <v>20.800068681205286</v>
      </c>
      <c r="CZ62" s="21">
        <f>_xlfn.RANK.EQ(CY62,CY$3:CY$10000,1)</f>
        <v>91</v>
      </c>
      <c r="DA62">
        <f>SUM(COUNTIF(E62,"&gt;0"),COUNTIF(K62,"&gt;0"),COUNTIF(Q62,"&gt;0"),COUNTIF(W62,"&gt;0"),COUNTIF(AC62,"&gt;0"),COUNTIF(AI62,"&gt;0"),COUNTIF(AO62,"&gt;0"),COUNTIF(AU62,"&gt;0"),COUNTIF(BA62,"&gt;0"),COUNTIF(BG62,"&gt;0"),COUNTIF(BM62,"&gt;0"),COUNTIF(BS62,"&gt;0"),COUNTIF(BY62,"&gt;0"),COUNTIF(CE62,"&gt;0"))</f>
        <v>11</v>
      </c>
    </row>
    <row r="63" spans="1:105" x14ac:dyDescent="0.3">
      <c r="B63" t="s">
        <v>178</v>
      </c>
      <c r="C63" s="18" t="s">
        <v>188</v>
      </c>
      <c r="D63" s="4">
        <f>CN63*$CN$1+CP63*$CP$1+CR63*$CR$1</f>
        <v>60.324999999999996</v>
      </c>
      <c r="E63" s="29">
        <f>IFERROR(_xlfn.XLOOKUP(B63,'w1'!$B:$B,'w1'!$C:$C),0)</f>
        <v>0</v>
      </c>
      <c r="F63" s="30">
        <f>_xlfn.RANK.EQ(E63,E$3:E$10000,0)</f>
        <v>79</v>
      </c>
      <c r="G63" s="31">
        <f>IFERROR(_xlfn.XLOOKUP(B63,'w1'!$B:$B,'w1'!$F:$F),1)</f>
        <v>1</v>
      </c>
      <c r="H63" s="30">
        <f>_xlfn.RANK.EQ(G63,G$3:G$10000,1)</f>
        <v>79</v>
      </c>
      <c r="I63" s="30">
        <f>IFERROR(IF(_xlfn.XLOOKUP(B63,'w1'!$B:$B,'w1'!$G:$G)="--",0,_xlfn.XLOOKUP(B63,'w1'!$B:$B,'w1'!$G:$G)),0)</f>
        <v>0</v>
      </c>
      <c r="J63" s="30">
        <f>_xlfn.RANK.EQ(I63,I$3:I$10000,0)</f>
        <v>77</v>
      </c>
      <c r="K63" s="34">
        <f>IFERROR(_xlfn.XLOOKUP(B63,'w2'!$B:$B,'w2'!$C:$C),0)</f>
        <v>10.1</v>
      </c>
      <c r="L63" s="35">
        <f>_xlfn.RANK.EQ(K63,K$3:K$10000,0)</f>
        <v>61</v>
      </c>
      <c r="M63" s="36">
        <f>IFERROR(_xlfn.XLOOKUP(B63,'w2'!$B:$B,'w2'!$F:$F),1)</f>
        <v>0.25624999999999998</v>
      </c>
      <c r="N63" s="35">
        <f>_xlfn.RANK.EQ(M63,M$3:M$10000,1)</f>
        <v>18</v>
      </c>
      <c r="O63" s="35">
        <f>IFERROR(IF(_xlfn.XLOOKUP(B63,'w2'!$B:$B,'w2'!$G:$G)="--",0,_xlfn.XLOOKUP(B63,'w2'!$B:$B,'w2'!$G:$G)),0)</f>
        <v>56</v>
      </c>
      <c r="P63" s="35">
        <f>_xlfn.RANK.EQ(O63,O$3:O$10000,0)</f>
        <v>63</v>
      </c>
      <c r="Q63" s="39">
        <f>IFERROR(_xlfn.XLOOKUP(B63,'w3'!$B:$B,'w3'!$C:$C),0)</f>
        <v>20</v>
      </c>
      <c r="R63" s="40">
        <f>_xlfn.RANK.EQ(Q63,Q$3:Q$10000,0)</f>
        <v>46</v>
      </c>
      <c r="S63" s="41">
        <f>IFERROR(_xlfn.XLOOKUP(B63,'w3'!$B:$B,'w3'!$F:$F),1)</f>
        <v>0.26250000000000001</v>
      </c>
      <c r="T63" s="40">
        <f>_xlfn.RANK.EQ(S63,S$3:S$10000,1)</f>
        <v>32</v>
      </c>
      <c r="U63" s="40">
        <f>IFERROR(IF(_xlfn.XLOOKUP(B63,'w3'!$B:$B,'w3'!$G:$G)="--",0,_xlfn.XLOOKUP(B63,'w3'!$B:$B,'w3'!$G:$G)),0)</f>
        <v>241</v>
      </c>
      <c r="V63" s="40">
        <f>_xlfn.RANK.EQ(U63,U$3:U$10000,0)</f>
        <v>33</v>
      </c>
      <c r="W63" s="44">
        <f>IFERROR(_xlfn.XLOOKUP(B63,'w4'!$B:$B,'w4'!$C:$C),0)</f>
        <v>10.1</v>
      </c>
      <c r="X63" s="45">
        <f>_xlfn.RANK.EQ(W63,W$3:W$10000,0)</f>
        <v>59</v>
      </c>
      <c r="Y63" s="46">
        <f>IFERROR(_xlfn.XLOOKUP(B63,'w4'!$B:$B,'w4'!$F:$F),1)</f>
        <v>0.26666666666666666</v>
      </c>
      <c r="Z63" s="45">
        <f>_xlfn.RANK.EQ(Y63,Y$3:Y$10000,1)</f>
        <v>34</v>
      </c>
      <c r="AA63" s="45">
        <f>IFERROR(IF(_xlfn.XLOOKUP(B63,'w4'!$B:$B,'w4'!$G:$G)="--",0,_xlfn.XLOOKUP(B63,'w4'!$B:$B,'w4'!$G:$G)),0)</f>
        <v>99</v>
      </c>
      <c r="AB63" s="45">
        <f>_xlfn.RANK.EQ(AA63,AA$3:AA$10000,0)</f>
        <v>47</v>
      </c>
      <c r="AC63" s="13">
        <f>IFERROR(_xlfn.XLOOKUP(B63,'w5'!$B:$B,'w5'!$C:$C),0)</f>
        <v>10.4</v>
      </c>
      <c r="AD63" s="12">
        <f>_xlfn.RANK.EQ(AC63,AC$3:AC$10000,0)</f>
        <v>62</v>
      </c>
      <c r="AE63" s="14">
        <f>IFERROR(_xlfn.XLOOKUP(B63,'w5'!$B:$B,'w5'!$F:$F),1)</f>
        <v>0.27291666666666664</v>
      </c>
      <c r="AF63" s="12">
        <f>_xlfn.RANK.EQ(AE63,AE$3:AE$10000,1)</f>
        <v>32</v>
      </c>
      <c r="AG63" s="12">
        <f>IFERROR(IF(_xlfn.XLOOKUP(B63,'w5'!$B:$B,'w5'!$G:$G)="--",0,_xlfn.XLOOKUP(B63,'w5'!$B:$B,'w5'!$G:$G)),0)</f>
        <v>117</v>
      </c>
      <c r="AH63" s="12">
        <f>_xlfn.RANK.EQ(AG63,AG$3:AG$10000,0)</f>
        <v>58</v>
      </c>
      <c r="AI63" s="51">
        <f>IFERROR(_xlfn.XLOOKUP(B63,'w6'!$B:$B,'w6'!$C:$C),0)</f>
        <v>10</v>
      </c>
      <c r="AJ63" s="50">
        <f>_xlfn.RANK.EQ(AI63,AI$3:AI$10000,0)</f>
        <v>51</v>
      </c>
      <c r="AK63" s="52">
        <f>IFERROR(_xlfn.XLOOKUP(B63,'w6'!$B:$B,'w6'!$F:$F),1)</f>
        <v>0.27777777777777779</v>
      </c>
      <c r="AL63" s="50">
        <f>_xlfn.RANK.EQ(AK63,AK$3:AK$10000,1)</f>
        <v>31</v>
      </c>
      <c r="AM63" s="50">
        <f>IFERROR(IF(_xlfn.XLOOKUP(B63,'w6'!$B:$B,'w6'!$G:$G)="--",0,_xlfn.XLOOKUP(B63,'w6'!$B:$B,'w6'!$G:$G)),0)</f>
        <v>135</v>
      </c>
      <c r="AN63" s="50">
        <f>_xlfn.RANK.EQ(AM63,AM$3:AM$10000,0)</f>
        <v>45</v>
      </c>
      <c r="AO63" s="56">
        <f>IFERROR(_xlfn.XLOOKUP(B63,'w7'!$B:$B,'w7'!$C:$C),0)</f>
        <v>10.1</v>
      </c>
      <c r="AP63" s="57">
        <f>_xlfn.RANK.EQ(AO63,AO$3:AO$10000,0)</f>
        <v>54</v>
      </c>
      <c r="AQ63" s="58">
        <f>IFERROR(_xlfn.XLOOKUP(B63,'w7'!$B:$B,'w7'!$F:$F),1)</f>
        <v>0.25624999999999998</v>
      </c>
      <c r="AR63" s="57">
        <f>_xlfn.RANK.EQ(AQ63,AQ$3:AQ$10000,1)</f>
        <v>25</v>
      </c>
      <c r="AS63" s="57">
        <f>IFERROR(IF(_xlfn.XLOOKUP(B63,'w7'!$B:$B,'w7'!$G:$G)="--",0,_xlfn.XLOOKUP(B63,'w7'!$B:$B,'w7'!$G:$G)),0)</f>
        <v>139</v>
      </c>
      <c r="AT63" s="57">
        <f>_xlfn.RANK.EQ(AS63,AS$3:AS$10000,0)</f>
        <v>43</v>
      </c>
      <c r="AU63" s="62">
        <f>IFERROR(_xlfn.XLOOKUP(B63,'w8'!$B:$B,'w8'!$C:$C),0)</f>
        <v>21.7</v>
      </c>
      <c r="AV63" s="61">
        <f>_xlfn.RANK.EQ(AU63,AU$3:AU$10000,0)</f>
        <v>47</v>
      </c>
      <c r="AW63" s="63">
        <f>IFERROR(_xlfn.XLOOKUP(B63,'w8'!$B:$B,'w8'!$F:$F),1)</f>
        <v>0.30833333333333335</v>
      </c>
      <c r="AX63" s="61">
        <f>_xlfn.RANK.EQ(AW63,AW$3:AW$10000,1)</f>
        <v>49</v>
      </c>
      <c r="AY63" s="61">
        <f>IFERROR(IF(_xlfn.XLOOKUP(B63,'w8'!$B:$B,'w8'!$G:$G)="--",0,_xlfn.XLOOKUP(B63,'w8'!$B:$B,'w8'!$G:$G)),0)</f>
        <v>521</v>
      </c>
      <c r="AZ63" s="61">
        <f>_xlfn.RANK.EQ(AY63,AY$3:AY$10000,0)</f>
        <v>21</v>
      </c>
      <c r="BA63" s="66">
        <f>IFERROR(_xlfn.XLOOKUP(C63,'w9'!$B:$B,'w9'!$C:$C),0)</f>
        <v>25.1</v>
      </c>
      <c r="BB63" s="67">
        <f>_xlfn.RANK.EQ(BA63,BA$3:BA$10000,0)</f>
        <v>46</v>
      </c>
      <c r="BC63" s="68">
        <f>IFERROR(_xlfn.XLOOKUP(C63,'w9'!$B:$B,'w9'!$F:$F),1)</f>
        <v>0.32708333333333334</v>
      </c>
      <c r="BD63" s="67">
        <f>_xlfn.RANK.EQ(BC63,BC$3:BC$10000,1)</f>
        <v>53</v>
      </c>
      <c r="BE63" s="67">
        <f>IFERROR(IF(_xlfn.XLOOKUP(C63,'w9'!$B:$B,'w9'!$G:$G)="--",0,_xlfn.XLOOKUP(C63,'w9'!$B:$B,'w9'!$G:$G)),0)</f>
        <v>559</v>
      </c>
      <c r="BF63" s="67">
        <f>_xlfn.RANK.EQ(BE63,BE$3:BE$10000,0)</f>
        <v>20</v>
      </c>
      <c r="BG63" s="72">
        <f>IFERROR(_xlfn.XLOOKUP(B63,'w10'!$B:$B,'w10'!$C:$C),0)</f>
        <v>21.6</v>
      </c>
      <c r="BH63" s="74">
        <f>_xlfn.RANK.EQ(BG63,BG$3:BG$10000,0)</f>
        <v>39</v>
      </c>
      <c r="BI63" s="75">
        <f>IFERROR(_xlfn.XLOOKUP(B63,'w10'!$B:$B,'w10'!$F:$F),1)</f>
        <v>0.2590277777777778</v>
      </c>
      <c r="BJ63" s="74">
        <f>_xlfn.RANK.EQ(BI63,BI$3:BI$10000,1)</f>
        <v>26</v>
      </c>
      <c r="BK63" s="74">
        <f>IFERROR(IF(_xlfn.XLOOKUP(B63,'w10'!$B:$B,'w10'!$G:$G)="--",0,_xlfn.XLOOKUP(B63,'w10'!$B:$B,'w10'!$G:$G)),0)</f>
        <v>137</v>
      </c>
      <c r="BL63" s="74">
        <f>_xlfn.RANK.EQ(BK63,BK$3:BK$10000,0)</f>
        <v>46</v>
      </c>
      <c r="BM63" s="78">
        <f>IFERROR(_xlfn.XLOOKUP(B63,'w11'!$B:$B,'w11'!$C:$C),0)</f>
        <v>10</v>
      </c>
      <c r="BN63" s="80">
        <f>_xlfn.RANK.EQ(BM63,BM$3:BM$10000,0)</f>
        <v>62</v>
      </c>
      <c r="BO63" s="81">
        <f>IFERROR(_xlfn.XLOOKUP(B63,'w11'!$B:$B,'w11'!$F:$F),1)</f>
        <v>0.27430555555555558</v>
      </c>
      <c r="BP63" s="80">
        <f>_xlfn.RANK.EQ(BO63,BO$3:BO$10000,1)</f>
        <v>37</v>
      </c>
      <c r="BQ63" s="80">
        <f>IFERROR(IF(_xlfn.XLOOKUP(B63,'w11'!$B:$B,'w11'!$G:$G)="--",0,_xlfn.XLOOKUP(B63,'w11'!$B:$B,'w11'!$G:$G)),0)</f>
        <v>131</v>
      </c>
      <c r="BR63" s="80">
        <f>_xlfn.RANK.EQ(BQ63,BQ$3:BQ$10000,0)</f>
        <v>51</v>
      </c>
      <c r="BS63" s="83">
        <f>IFERROR(_xlfn.XLOOKUP(B63,'w12'!$B:$B,'w12'!$C:$C),0)</f>
        <v>22.6</v>
      </c>
      <c r="BT63" s="86">
        <f>_xlfn.RANK.EQ(BS63,BS$3:BS$10000,0)</f>
        <v>25</v>
      </c>
      <c r="BU63" s="87">
        <f>IFERROR(_xlfn.XLOOKUP(B63,'w12'!$B:$B,'w12'!$F:$F),1)</f>
        <v>0.29791666666666666</v>
      </c>
      <c r="BV63" s="86">
        <f>_xlfn.RANK.EQ(BU63,BU$3:BU$10000,1)</f>
        <v>49</v>
      </c>
      <c r="BW63" s="86">
        <f>IFERROR(IF(_xlfn.XLOOKUP(B63,'w12'!$B:$B,'w12'!$G:$G)="--",0,_xlfn.XLOOKUP(B63,'w12'!$B:$B,'w12'!$G:$G)),0)</f>
        <v>205</v>
      </c>
      <c r="BX63" s="86">
        <f>_xlfn.RANK.EQ(BW63,BW$3:BW$10000,0)</f>
        <v>40</v>
      </c>
      <c r="BY63" s="89">
        <f>IFERROR(_xlfn.XLOOKUP(B63,'w13'!$B:$B,'w13'!$C:$C),0)</f>
        <v>10</v>
      </c>
      <c r="BZ63" s="92">
        <f>_xlfn.RANK.EQ(BY63,BY$3:BY$10000,0)</f>
        <v>62</v>
      </c>
      <c r="CA63" s="93">
        <f>IFERROR(_xlfn.XLOOKUP(B63,'w13'!$B:$B,'w13'!$F:$F),1)</f>
        <v>0.27430555555555558</v>
      </c>
      <c r="CB63" s="92">
        <f>_xlfn.RANK.EQ(CA63,CA$3:CA$10000,1)</f>
        <v>37</v>
      </c>
      <c r="CC63" s="92">
        <f>IFERROR(IF(_xlfn.XLOOKUP(B63,'w13'!$B:$B,'w13'!$G:$G)="--",0,_xlfn.XLOOKUP(B63,'w13'!$B:$B,'w13'!$G:$G)),0)</f>
        <v>119</v>
      </c>
      <c r="CD63" s="92">
        <f>_xlfn.RANK.EQ(CC63,CC$3:CC$10000,0)</f>
        <v>49</v>
      </c>
      <c r="CE63" s="95">
        <f>IFERROR(_xlfn.XLOOKUP(B63,'w14'!$B:$B,'w14'!$C:$C),0)</f>
        <v>0</v>
      </c>
      <c r="CF63" s="98">
        <f>_xlfn.RANK.EQ(CE63,CE$3:CE$10000,0)</f>
        <v>69</v>
      </c>
      <c r="CG63" s="99">
        <f>IFERROR(_xlfn.XLOOKUP(B63,'w14'!$B:$B,'w14'!$F:$F),1)</f>
        <v>1</v>
      </c>
      <c r="CH63" s="98">
        <f>_xlfn.RANK.EQ(CG63,CG$3:CG$10000,1)</f>
        <v>69</v>
      </c>
      <c r="CI63" s="98">
        <f>IFERROR(IF(_xlfn.XLOOKUP(B63,'w14'!$B:$B,'w14'!$G:$G)="--",0,_xlfn.XLOOKUP(B63,'w14'!$B:$B,'w14'!$G:$G)),0)</f>
        <v>0</v>
      </c>
      <c r="CJ63" s="98">
        <f>_xlfn.RANK.EQ(CI63,CI$3:CI$10000,0)</f>
        <v>69</v>
      </c>
      <c r="CK63" s="9">
        <f>_xlfn.RANK.EQ(D63,D$3:D$10000,1)</f>
        <v>61</v>
      </c>
      <c r="CL63" s="26" t="s">
        <v>188</v>
      </c>
      <c r="CM63" s="8">
        <f>SUM(E63,K63,Q63,W63,AC63,AI63,AO63,AU63,BA63,BG63,BM63,BS63,BY63,CE63)</f>
        <v>181.7</v>
      </c>
      <c r="CN63" s="9">
        <f>_xlfn.RANK.EQ(CM63,CM$3:CM$10000)</f>
        <v>61</v>
      </c>
      <c r="CO63" s="15">
        <f>IFERROR(SUM(PRODUCT(E63,G63),PRODUCT(K63,M63),PRODUCT(Q63,S63),PRODUCT(W63,Y63),PRODUCT(AC63,AE63),PRODUCT(AI63,AK63),PRODUCT(AO63,AQ63),PRODUCT(AU63,AW63),PRODUCT(BA63,BC63),PRODUCT(BG63,BI63),PRODUCT(BM63,BO63),PRODUCT(BS63,BU63),PRODUCT(BY63,CA63),PRODUCT(CE63,CG63))/CM63,1)</f>
        <v>0.28316096434904908</v>
      </c>
      <c r="CP63" s="9">
        <f>_xlfn.RANK.EQ(CO63,CO$3:CO$10000,1)</f>
        <v>48</v>
      </c>
      <c r="CQ63" s="9">
        <f>SUM(I63,O63,U63,AA63,AG63,AM63,AS63,AY63,BE63,BK63,BQ63,BW63,CC63,CI63)</f>
        <v>2459</v>
      </c>
      <c r="CR63" s="9">
        <f>_xlfn.RANK.EQ(CQ63,CQ$3:CQ$10000)</f>
        <v>47</v>
      </c>
      <c r="CS63" s="23"/>
      <c r="CT63" s="25"/>
      <c r="CU63" s="24">
        <f>_xlfn.STDEV.S(F63,L63,R63,X63,AD63,AJ63,AP63,AV63,BB63,BH63,BN63,BT63,BZ63,CF63)</f>
        <v>13.489108345477993</v>
      </c>
      <c r="CV63" s="21">
        <f>_xlfn.RANK.EQ(CU63,CU$3:CU$10000,1)</f>
        <v>49</v>
      </c>
      <c r="CW63" s="24">
        <f>_xlfn.STDEV.S(H63,N63,T63,Z63,AF63,AL63,AR63,AX63,BD63,BJ63,BP63,BV63,CB63,CH63)</f>
        <v>17.214388308480924</v>
      </c>
      <c r="CX63" s="21">
        <f>_xlfn.RANK.EQ(CW63,CW$3:CW$10000,1)</f>
        <v>64</v>
      </c>
      <c r="CY63" s="24">
        <f>_xlfn.STDEV.S(J63,P63,V63,AB63,AH63,AN63,AT63,AZ63,BF63,BL63,BR63,BX63,CD63,CJ63)</f>
        <v>16.292653235447851</v>
      </c>
      <c r="CZ63" s="21">
        <f>_xlfn.RANK.EQ(CY63,CY$3:CY$10000,1)</f>
        <v>62</v>
      </c>
      <c r="DA63">
        <f>SUM(COUNTIF(E63,"&gt;0"),COUNTIF(K63,"&gt;0"),COUNTIF(Q63,"&gt;0"),COUNTIF(W63,"&gt;0"),COUNTIF(AC63,"&gt;0"),COUNTIF(AI63,"&gt;0"),COUNTIF(AO63,"&gt;0"),COUNTIF(AU63,"&gt;0"),COUNTIF(BA63,"&gt;0"),COUNTIF(BG63,"&gt;0"),COUNTIF(BM63,"&gt;0"),COUNTIF(BS63,"&gt;0"),COUNTIF(BY63,"&gt;0"),COUNTIF(CE63,"&gt;0"))</f>
        <v>12</v>
      </c>
    </row>
    <row r="64" spans="1:105" x14ac:dyDescent="0.3">
      <c r="B64" t="s">
        <v>195</v>
      </c>
      <c r="C64" s="18" t="s">
        <v>202</v>
      </c>
      <c r="D64" s="4">
        <f>CN64*$CN$1+CP64*$CP$1+CR64*$CR$1</f>
        <v>61.174999999999997</v>
      </c>
      <c r="E64" s="29">
        <f>IFERROR(_xlfn.XLOOKUP(B64,'w1'!$B:$B,'w1'!$C:$C),0)</f>
        <v>0</v>
      </c>
      <c r="F64" s="30">
        <f>_xlfn.RANK.EQ(E64,E$3:E$10000,0)</f>
        <v>79</v>
      </c>
      <c r="G64" s="31">
        <f>IFERROR(_xlfn.XLOOKUP(B64,'w1'!$B:$B,'w1'!$F:$F),1)</f>
        <v>1</v>
      </c>
      <c r="H64" s="30">
        <f>_xlfn.RANK.EQ(G64,G$3:G$10000,1)</f>
        <v>79</v>
      </c>
      <c r="I64" s="30">
        <f>IFERROR(IF(_xlfn.XLOOKUP(B64,'w1'!$B:$B,'w1'!$G:$G)="--",0,_xlfn.XLOOKUP(B64,'w1'!$B:$B,'w1'!$G:$G)),0)</f>
        <v>0</v>
      </c>
      <c r="J64" s="30">
        <f>_xlfn.RANK.EQ(I64,I$3:I$10000,0)</f>
        <v>77</v>
      </c>
      <c r="K64" s="34">
        <f>IFERROR(_xlfn.XLOOKUP(B64,'w2'!$B:$B,'w2'!$C:$C),0)</f>
        <v>0</v>
      </c>
      <c r="L64" s="35">
        <f>_xlfn.RANK.EQ(K64,K$3:K$10000,0)</f>
        <v>73</v>
      </c>
      <c r="M64" s="36">
        <f>IFERROR(_xlfn.XLOOKUP(B64,'w2'!$B:$B,'w2'!$F:$F),1)</f>
        <v>1</v>
      </c>
      <c r="N64" s="35">
        <f>_xlfn.RANK.EQ(M64,M$3:M$10000,1)</f>
        <v>72</v>
      </c>
      <c r="O64" s="35">
        <f>IFERROR(IF(_xlfn.XLOOKUP(B64,'w2'!$B:$B,'w2'!$G:$G)="--",0,_xlfn.XLOOKUP(B64,'w2'!$B:$B,'w2'!$G:$G)),0)</f>
        <v>0</v>
      </c>
      <c r="P64" s="35">
        <f>_xlfn.RANK.EQ(O64,O$3:O$10000,0)</f>
        <v>71</v>
      </c>
      <c r="Q64" s="39">
        <f>IFERROR(_xlfn.XLOOKUP(B64,'w3'!$B:$B,'w3'!$C:$C),0)</f>
        <v>13.5</v>
      </c>
      <c r="R64" s="40">
        <f>_xlfn.RANK.EQ(Q64,Q$3:Q$10000,0)</f>
        <v>57</v>
      </c>
      <c r="S64" s="41">
        <f>IFERROR(_xlfn.XLOOKUP(B64,'w3'!$B:$B,'w3'!$F:$F),1)</f>
        <v>0.25347222222222221</v>
      </c>
      <c r="T64" s="40">
        <f>_xlfn.RANK.EQ(S64,S$3:S$10000,1)</f>
        <v>24</v>
      </c>
      <c r="U64" s="40">
        <f>IFERROR(IF(_xlfn.XLOOKUP(B64,'w3'!$B:$B,'w3'!$G:$G)="--",0,_xlfn.XLOOKUP(B64,'w3'!$B:$B,'w3'!$G:$G)),0)</f>
        <v>85</v>
      </c>
      <c r="V64" s="40">
        <f>_xlfn.RANK.EQ(U64,U$3:U$10000,0)</f>
        <v>63</v>
      </c>
      <c r="W64" s="44">
        <f>IFERROR(_xlfn.XLOOKUP(B64,'w4'!$B:$B,'w4'!$C:$C),0)</f>
        <v>14.7</v>
      </c>
      <c r="X64" s="45">
        <f>_xlfn.RANK.EQ(W64,W$3:W$10000,0)</f>
        <v>51</v>
      </c>
      <c r="Y64" s="46">
        <f>IFERROR(_xlfn.XLOOKUP(B64,'w4'!$B:$B,'w4'!$F:$F),1)</f>
        <v>0.25555555555555554</v>
      </c>
      <c r="Z64" s="45">
        <f>_xlfn.RANK.EQ(Y64,Y$3:Y$10000,1)</f>
        <v>28</v>
      </c>
      <c r="AA64" s="45">
        <f>IFERROR(IF(_xlfn.XLOOKUP(B64,'w4'!$B:$B,'w4'!$G:$G)="--",0,_xlfn.XLOOKUP(B64,'w4'!$B:$B,'w4'!$G:$G)),0)</f>
        <v>88</v>
      </c>
      <c r="AB64" s="45">
        <f>_xlfn.RANK.EQ(AA64,AA$3:AA$10000,0)</f>
        <v>50</v>
      </c>
      <c r="AC64" s="13">
        <f>IFERROR(_xlfn.XLOOKUP(B64,'w5'!$B:$B,'w5'!$C:$C),0)</f>
        <v>0</v>
      </c>
      <c r="AD64" s="12">
        <f>_xlfn.RANK.EQ(AC64,AC$3:AC$10000,0)</f>
        <v>77</v>
      </c>
      <c r="AE64" s="14">
        <f>IFERROR(_xlfn.XLOOKUP(B64,'w5'!$B:$B,'w5'!$F:$F),1)</f>
        <v>1</v>
      </c>
      <c r="AF64" s="12">
        <f>_xlfn.RANK.EQ(AE64,AE$3:AE$10000,1)</f>
        <v>76</v>
      </c>
      <c r="AG64" s="12">
        <f>IFERROR(IF(_xlfn.XLOOKUP(B64,'w5'!$B:$B,'w5'!$G:$G)="--",0,_xlfn.XLOOKUP(B64,'w5'!$B:$B,'w5'!$G:$G)),0)</f>
        <v>0</v>
      </c>
      <c r="AH64" s="12">
        <f>_xlfn.RANK.EQ(AG64,AG$3:AG$10000,0)</f>
        <v>73</v>
      </c>
      <c r="AI64" s="51">
        <f>IFERROR(_xlfn.XLOOKUP(B64,'w6'!$B:$B,'w6'!$C:$C),0)</f>
        <v>0</v>
      </c>
      <c r="AJ64" s="50">
        <f>_xlfn.RANK.EQ(AI64,AI$3:AI$10000,0)</f>
        <v>65</v>
      </c>
      <c r="AK64" s="52">
        <f>IFERROR(_xlfn.XLOOKUP(B64,'w6'!$B:$B,'w6'!$F:$F),1)</f>
        <v>1</v>
      </c>
      <c r="AL64" s="50">
        <f>_xlfn.RANK.EQ(AK64,AK$3:AK$10000,1)</f>
        <v>65</v>
      </c>
      <c r="AM64" s="50">
        <f>IFERROR(IF(_xlfn.XLOOKUP(B64,'w6'!$B:$B,'w6'!$G:$G)="--",0,_xlfn.XLOOKUP(B64,'w6'!$B:$B,'w6'!$G:$G)),0)</f>
        <v>0</v>
      </c>
      <c r="AN64" s="50">
        <f>_xlfn.RANK.EQ(AM64,AM$3:AM$10000,0)</f>
        <v>61</v>
      </c>
      <c r="AO64" s="56">
        <f>IFERROR(_xlfn.XLOOKUP(B64,'w7'!$B:$B,'w7'!$C:$C),0)</f>
        <v>6.6</v>
      </c>
      <c r="AP64" s="57">
        <f>_xlfn.RANK.EQ(AO64,AO$3:AO$10000,0)</f>
        <v>64</v>
      </c>
      <c r="AQ64" s="58">
        <f>IFERROR(_xlfn.XLOOKUP(B64,'w7'!$B:$B,'w7'!$F:$F),1)</f>
        <v>0.25277777777777777</v>
      </c>
      <c r="AR64" s="57">
        <f>_xlfn.RANK.EQ(AQ64,AQ$3:AQ$10000,1)</f>
        <v>21</v>
      </c>
      <c r="AS64" s="57">
        <f>IFERROR(IF(_xlfn.XLOOKUP(B64,'w7'!$B:$B,'w7'!$G:$G)="--",0,_xlfn.XLOOKUP(B64,'w7'!$B:$B,'w7'!$G:$G)),0)</f>
        <v>46</v>
      </c>
      <c r="AT64" s="57">
        <f>_xlfn.RANK.EQ(AS64,AS$3:AS$10000,0)</f>
        <v>61</v>
      </c>
      <c r="AU64" s="62">
        <f>IFERROR(_xlfn.XLOOKUP(B64,'w8'!$B:$B,'w8'!$C:$C),0)</f>
        <v>8</v>
      </c>
      <c r="AV64" s="61">
        <f>_xlfn.RANK.EQ(AU64,AU$3:AU$10000,0)</f>
        <v>63</v>
      </c>
      <c r="AW64" s="63">
        <f>IFERROR(_xlfn.XLOOKUP(B64,'w8'!$B:$B,'w8'!$F:$F),1)</f>
        <v>0.26666666666666666</v>
      </c>
      <c r="AX64" s="61">
        <f>_xlfn.RANK.EQ(AW64,AW$3:AW$10000,1)</f>
        <v>29</v>
      </c>
      <c r="AY64" s="61">
        <f>IFERROR(IF(_xlfn.XLOOKUP(B64,'w8'!$B:$B,'w8'!$G:$G)="--",0,_xlfn.XLOOKUP(B64,'w8'!$B:$B,'w8'!$G:$G)),0)</f>
        <v>50</v>
      </c>
      <c r="AZ64" s="61">
        <f>_xlfn.RANK.EQ(AY64,AY$3:AY$10000,0)</f>
        <v>58</v>
      </c>
      <c r="BA64" s="66">
        <f>IFERROR(_xlfn.XLOOKUP(C64,'w9'!$B:$B,'w9'!$C:$C),0)</f>
        <v>26.9</v>
      </c>
      <c r="BB64" s="67">
        <f>_xlfn.RANK.EQ(BA64,BA$3:BA$10000,0)</f>
        <v>40</v>
      </c>
      <c r="BC64" s="68">
        <f>IFERROR(_xlfn.XLOOKUP(C64,'w9'!$B:$B,'w9'!$F:$F),1)</f>
        <v>0.26041666666666669</v>
      </c>
      <c r="BD64" s="67">
        <f>_xlfn.RANK.EQ(BC64,BC$3:BC$10000,1)</f>
        <v>18</v>
      </c>
      <c r="BE64" s="67">
        <f>IFERROR(IF(_xlfn.XLOOKUP(C64,'w9'!$B:$B,'w9'!$G:$G)="--",0,_xlfn.XLOOKUP(C64,'w9'!$B:$B,'w9'!$G:$G)),0)</f>
        <v>177</v>
      </c>
      <c r="BF64" s="67">
        <f>_xlfn.RANK.EQ(BE64,BE$3:BE$10000,0)</f>
        <v>55</v>
      </c>
      <c r="BG64" s="72">
        <f>IFERROR(_xlfn.XLOOKUP(B64,'w10'!$B:$B,'w10'!$C:$C),0)</f>
        <v>17.600000000000001</v>
      </c>
      <c r="BH64" s="74">
        <f>_xlfn.RANK.EQ(BG64,BG$3:BG$10000,0)</f>
        <v>48</v>
      </c>
      <c r="BI64" s="75">
        <f>IFERROR(_xlfn.XLOOKUP(B64,'w10'!$B:$B,'w10'!$F:$F),1)</f>
        <v>0.2590277777777778</v>
      </c>
      <c r="BJ64" s="74">
        <f>_xlfn.RANK.EQ(BI64,BI$3:BI$10000,1)</f>
        <v>26</v>
      </c>
      <c r="BK64" s="74">
        <f>IFERROR(IF(_xlfn.XLOOKUP(B64,'w10'!$B:$B,'w10'!$G:$G)="--",0,_xlfn.XLOOKUP(B64,'w10'!$B:$B,'w10'!$G:$G)),0)</f>
        <v>98</v>
      </c>
      <c r="BL64" s="74">
        <f>_xlfn.RANK.EQ(BK64,BK$3:BK$10000,0)</f>
        <v>59</v>
      </c>
      <c r="BM64" s="78">
        <f>IFERROR(_xlfn.XLOOKUP(B64,'w11'!$B:$B,'w11'!$C:$C),0)</f>
        <v>21.1</v>
      </c>
      <c r="BN64" s="80">
        <f>_xlfn.RANK.EQ(BM64,BM$3:BM$10000,0)</f>
        <v>40</v>
      </c>
      <c r="BO64" s="81">
        <f>IFERROR(_xlfn.XLOOKUP(B64,'w11'!$B:$B,'w11'!$F:$F),1)</f>
        <v>0.28958333333333336</v>
      </c>
      <c r="BP64" s="80">
        <f>_xlfn.RANK.EQ(BO64,BO$3:BO$10000,1)</f>
        <v>47</v>
      </c>
      <c r="BQ64" s="80">
        <f>IFERROR(IF(_xlfn.XLOOKUP(B64,'w11'!$B:$B,'w11'!$G:$G)="--",0,_xlfn.XLOOKUP(B64,'w11'!$B:$B,'w11'!$G:$G)),0)</f>
        <v>362</v>
      </c>
      <c r="BR64" s="80">
        <f>_xlfn.RANK.EQ(BQ64,BQ$3:BQ$10000,0)</f>
        <v>23</v>
      </c>
      <c r="BS64" s="83">
        <f>IFERROR(_xlfn.XLOOKUP(B64,'w12'!$B:$B,'w12'!$C:$C),0)</f>
        <v>22.8</v>
      </c>
      <c r="BT64" s="86">
        <f>_xlfn.RANK.EQ(BS64,BS$3:BS$10000,0)</f>
        <v>23</v>
      </c>
      <c r="BU64" s="87">
        <f>IFERROR(_xlfn.XLOOKUP(B64,'w12'!$B:$B,'w12'!$F:$F),1)</f>
        <v>0.26874999999999999</v>
      </c>
      <c r="BV64" s="86">
        <f>_xlfn.RANK.EQ(BU64,BU$3:BU$10000,1)</f>
        <v>34</v>
      </c>
      <c r="BW64" s="86">
        <f>IFERROR(IF(_xlfn.XLOOKUP(B64,'w12'!$B:$B,'w12'!$G:$G)="--",0,_xlfn.XLOOKUP(B64,'w12'!$B:$B,'w12'!$G:$G)),0)</f>
        <v>325</v>
      </c>
      <c r="BX64" s="86">
        <f>_xlfn.RANK.EQ(BW64,BW$3:BW$10000,0)</f>
        <v>18</v>
      </c>
      <c r="BY64" s="89">
        <f>IFERROR(_xlfn.XLOOKUP(B64,'w13'!$B:$B,'w13'!$C:$C),0)</f>
        <v>22.3</v>
      </c>
      <c r="BZ64" s="92">
        <f>_xlfn.RANK.EQ(BY64,BY$3:BY$10000,0)</f>
        <v>36</v>
      </c>
      <c r="CA64" s="93">
        <f>IFERROR(_xlfn.XLOOKUP(B64,'w13'!$B:$B,'w13'!$F:$F),1)</f>
        <v>0.29722222222222222</v>
      </c>
      <c r="CB64" s="92">
        <f>_xlfn.RANK.EQ(CA64,CA$3:CA$10000,1)</f>
        <v>49</v>
      </c>
      <c r="CC64" s="92">
        <f>IFERROR(IF(_xlfn.XLOOKUP(B64,'w13'!$B:$B,'w13'!$G:$G)="--",0,_xlfn.XLOOKUP(B64,'w13'!$B:$B,'w13'!$G:$G)),0)</f>
        <v>437</v>
      </c>
      <c r="CD64" s="92">
        <f>_xlfn.RANK.EQ(CC64,CC$3:CC$10000,0)</f>
        <v>19</v>
      </c>
      <c r="CE64" s="95">
        <f>IFERROR(_xlfn.XLOOKUP(B64,'w14'!$B:$B,'w14'!$C:$C),0)</f>
        <v>21.2</v>
      </c>
      <c r="CF64" s="98">
        <f>_xlfn.RANK.EQ(CE64,CE$3:CE$10000,0)</f>
        <v>41</v>
      </c>
      <c r="CG64" s="99">
        <f>IFERROR(_xlfn.XLOOKUP(B64,'w14'!$B:$B,'w14'!$F:$F),1)</f>
        <v>0.27430555555555558</v>
      </c>
      <c r="CH64" s="98">
        <f>_xlfn.RANK.EQ(CG64,CG$3:CG$10000,1)</f>
        <v>34</v>
      </c>
      <c r="CI64" s="98">
        <f>IFERROR(IF(_xlfn.XLOOKUP(B64,'w14'!$B:$B,'w14'!$G:$G)="--",0,_xlfn.XLOOKUP(B64,'w14'!$B:$B,'w14'!$G:$G)),0)</f>
        <v>349</v>
      </c>
      <c r="CJ64" s="98">
        <f>_xlfn.RANK.EQ(CI64,CI$3:CI$10000,0)</f>
        <v>24</v>
      </c>
      <c r="CK64" s="9">
        <f>_xlfn.RANK.EQ(D64,D$3:D$10000,1)</f>
        <v>62</v>
      </c>
      <c r="CL64" s="26" t="s">
        <v>202</v>
      </c>
      <c r="CM64" s="8">
        <f>SUM(E64,K64,Q64,W64,AC64,AI64,AO64,AU64,BA64,BG64,BM64,BS64,BY64,CE64)</f>
        <v>174.7</v>
      </c>
      <c r="CN64" s="9">
        <f>_xlfn.RANK.EQ(CM64,CM$3:CM$10000)</f>
        <v>62</v>
      </c>
      <c r="CO64" s="15">
        <f>IFERROR(SUM(PRODUCT(E64,G64),PRODUCT(K64,M64),PRODUCT(Q64,S64),PRODUCT(W64,Y64),PRODUCT(AC64,AE64),PRODUCT(AI64,AK64),PRODUCT(AO64,AQ64),PRODUCT(AU64,AW64),PRODUCT(BA64,BC64),PRODUCT(BG64,BI64),PRODUCT(BM64,BO64),PRODUCT(BS64,BU64),PRODUCT(BY64,CA64),PRODUCT(CE64,CG64))/CM64,1)</f>
        <v>0.27032253704763726</v>
      </c>
      <c r="CP64" s="9">
        <f>_xlfn.RANK.EQ(CO64,CO$3:CO$10000,1)</f>
        <v>37</v>
      </c>
      <c r="CQ64" s="9">
        <f>SUM(I64,O64,U64,AA64,AG64,AM64,AS64,AY64,BE64,BK64,BQ64,BW64,CC64,CI64)</f>
        <v>2017</v>
      </c>
      <c r="CR64" s="9">
        <f>_xlfn.RANK.EQ(CQ64,CQ$3:CQ$10000)</f>
        <v>54</v>
      </c>
      <c r="CS64" s="23"/>
      <c r="CT64" s="25"/>
      <c r="CU64" s="24">
        <f>_xlfn.STDEV.S(F64,L64,R64,X64,AD64,AJ64,AP64,AV64,BB64,BH64,BN64,BT64,BZ64,CF64)</f>
        <v>16.90909762280597</v>
      </c>
      <c r="CV64" s="21">
        <f>_xlfn.RANK.EQ(CU64,CU$3:CU$10000,1)</f>
        <v>72</v>
      </c>
      <c r="CW64" s="24">
        <f>_xlfn.STDEV.S(H64,N64,T64,Z64,AF64,AL64,AR64,AX64,BD64,BJ64,BP64,BV64,CB64,CH64)</f>
        <v>21.668836183294697</v>
      </c>
      <c r="CX64" s="21">
        <f>_xlfn.RANK.EQ(CW64,CW$3:CW$10000,1)</f>
        <v>79</v>
      </c>
      <c r="CY64" s="24">
        <f>_xlfn.STDEV.S(J64,P64,V64,AB64,AH64,AN64,AT64,AZ64,BF64,BL64,BR64,BX64,CD64,CJ64)</f>
        <v>20.865345368879883</v>
      </c>
      <c r="CZ64" s="21">
        <f>_xlfn.RANK.EQ(CY64,CY$3:CY$10000,1)</f>
        <v>92</v>
      </c>
      <c r="DA64">
        <f>SUM(COUNTIF(E64,"&gt;0"),COUNTIF(K64,"&gt;0"),COUNTIF(Q64,"&gt;0"),COUNTIF(W64,"&gt;0"),COUNTIF(AC64,"&gt;0"),COUNTIF(AI64,"&gt;0"),COUNTIF(AO64,"&gt;0"),COUNTIF(AU64,"&gt;0"),COUNTIF(BA64,"&gt;0"),COUNTIF(BG64,"&gt;0"),COUNTIF(BM64,"&gt;0"),COUNTIF(BS64,"&gt;0"),COUNTIF(BY64,"&gt;0"),COUNTIF(CE64,"&gt;0"))</f>
        <v>10</v>
      </c>
    </row>
    <row r="65" spans="2:105" x14ac:dyDescent="0.3">
      <c r="B65" t="s">
        <v>67</v>
      </c>
      <c r="C65" s="18" t="s">
        <v>133</v>
      </c>
      <c r="D65" s="4">
        <f>CN65*$CN$1+CP65*$CP$1+CR65*$CR$1</f>
        <v>62.05</v>
      </c>
      <c r="E65" s="29">
        <f>IFERROR(_xlfn.XLOOKUP(B65,'w1'!$B:$B,'w1'!$C:$C),0)</f>
        <v>11.1</v>
      </c>
      <c r="F65" s="30">
        <f>_xlfn.RANK.EQ(E65,E$3:E$10000,0)</f>
        <v>64</v>
      </c>
      <c r="G65" s="31">
        <f>IFERROR(_xlfn.XLOOKUP(B65,'w1'!$B:$B,'w1'!$F:$F),1)</f>
        <v>0.3</v>
      </c>
      <c r="H65" s="30">
        <f>_xlfn.RANK.EQ(G65,G$3:G$10000,1)</f>
        <v>55</v>
      </c>
      <c r="I65" s="30">
        <f>IFERROR(IF(_xlfn.XLOOKUP(B65,'w1'!$B:$B,'w1'!$G:$G)="--",0,_xlfn.XLOOKUP(B65,'w1'!$B:$B,'w1'!$G:$G)),0)</f>
        <v>311</v>
      </c>
      <c r="J65" s="30">
        <f>_xlfn.RANK.EQ(I65,I$3:I$10000,0)</f>
        <v>30</v>
      </c>
      <c r="K65" s="34">
        <f>IFERROR(_xlfn.XLOOKUP(B65,'w2'!$B:$B,'w2'!$C:$C),0)</f>
        <v>7.2</v>
      </c>
      <c r="L65" s="35">
        <f>_xlfn.RANK.EQ(K65,K$3:K$10000,0)</f>
        <v>67</v>
      </c>
      <c r="M65" s="36">
        <f>IFERROR(_xlfn.XLOOKUP(B65,'w2'!$B:$B,'w2'!$F:$F),1)</f>
        <v>0.27638888888888891</v>
      </c>
      <c r="N65" s="35">
        <f>_xlfn.RANK.EQ(M65,M$3:M$10000,1)</f>
        <v>33</v>
      </c>
      <c r="O65" s="35">
        <f>IFERROR(IF(_xlfn.XLOOKUP(B65,'w2'!$B:$B,'w2'!$G:$G)="--",0,_xlfn.XLOOKUP(B65,'w2'!$B:$B,'w2'!$G:$G)),0)</f>
        <v>95</v>
      </c>
      <c r="P65" s="35">
        <f>_xlfn.RANK.EQ(O65,O$3:O$10000,0)</f>
        <v>55</v>
      </c>
      <c r="Q65" s="39">
        <f>IFERROR(_xlfn.XLOOKUP(B65,'w3'!$B:$B,'w3'!$C:$C),0)</f>
        <v>5</v>
      </c>
      <c r="R65" s="40">
        <f>_xlfn.RANK.EQ(Q65,Q$3:Q$10000,0)</f>
        <v>80</v>
      </c>
      <c r="S65" s="41">
        <f>IFERROR(_xlfn.XLOOKUP(B65,'w3'!$B:$B,'w3'!$F:$F),1)</f>
        <v>0.21388888888888888</v>
      </c>
      <c r="T65" s="40">
        <f>_xlfn.RANK.EQ(S65,S$3:S$10000,1)</f>
        <v>2</v>
      </c>
      <c r="U65" s="40">
        <f>IFERROR(IF(_xlfn.XLOOKUP(B65,'w3'!$B:$B,'w3'!$G:$G)="--",0,_xlfn.XLOOKUP(B65,'w3'!$B:$B,'w3'!$G:$G)),0)</f>
        <v>7</v>
      </c>
      <c r="V65" s="40">
        <f>_xlfn.RANK.EQ(U65,U$3:U$10000,0)</f>
        <v>77</v>
      </c>
      <c r="W65" s="44">
        <f>IFERROR(_xlfn.XLOOKUP(B65,'w4'!$B:$B,'w4'!$C:$C),0)</f>
        <v>0</v>
      </c>
      <c r="X65" s="45">
        <f>_xlfn.RANK.EQ(W65,W$3:W$10000,0)</f>
        <v>76</v>
      </c>
      <c r="Y65" s="46">
        <f>IFERROR(_xlfn.XLOOKUP(B65,'w4'!$B:$B,'w4'!$F:$F),1)</f>
        <v>1</v>
      </c>
      <c r="Z65" s="45">
        <f>_xlfn.RANK.EQ(Y65,Y$3:Y$10000,1)</f>
        <v>76</v>
      </c>
      <c r="AA65" s="45">
        <f>IFERROR(IF(_xlfn.XLOOKUP(B65,'w4'!$B:$B,'w4'!$G:$G)="--",0,_xlfn.XLOOKUP(B65,'w4'!$B:$B,'w4'!$G:$G)),0)</f>
        <v>0</v>
      </c>
      <c r="AB65" s="45">
        <f>_xlfn.RANK.EQ(AA65,AA$3:AA$10000,0)</f>
        <v>68</v>
      </c>
      <c r="AC65" s="13">
        <f>IFERROR(_xlfn.XLOOKUP(B65,'w5'!$B:$B,'w5'!$C:$C),0)</f>
        <v>8.6</v>
      </c>
      <c r="AD65" s="12">
        <f>_xlfn.RANK.EQ(AC65,AC$3:AC$10000,0)</f>
        <v>70</v>
      </c>
      <c r="AE65" s="14">
        <f>IFERROR(_xlfn.XLOOKUP(B65,'w5'!$B:$B,'w5'!$F:$F),1)</f>
        <v>0.22361111111111112</v>
      </c>
      <c r="AF65" s="12">
        <f>_xlfn.RANK.EQ(AE65,AE$3:AE$10000,1)</f>
        <v>7</v>
      </c>
      <c r="AG65" s="12">
        <f>IFERROR(IF(_xlfn.XLOOKUP(B65,'w5'!$B:$B,'w5'!$G:$G)="--",0,_xlfn.XLOOKUP(B65,'w5'!$B:$B,'w5'!$G:$G)),0)</f>
        <v>86</v>
      </c>
      <c r="AH65" s="12">
        <f>_xlfn.RANK.EQ(AG65,AG$3:AG$10000,0)</f>
        <v>65</v>
      </c>
      <c r="AI65" s="51">
        <f>IFERROR(_xlfn.XLOOKUP(B65,'w6'!$B:$B,'w6'!$C:$C),0)</f>
        <v>20.7</v>
      </c>
      <c r="AJ65" s="50">
        <f>_xlfn.RANK.EQ(AI65,AI$3:AI$10000,0)</f>
        <v>29</v>
      </c>
      <c r="AK65" s="52">
        <f>IFERROR(_xlfn.XLOOKUP(B65,'w6'!$B:$B,'w6'!$F:$F),1)</f>
        <v>0.2986111111111111</v>
      </c>
      <c r="AL65" s="50">
        <f>_xlfn.RANK.EQ(AK65,AK$3:AK$10000,1)</f>
        <v>38</v>
      </c>
      <c r="AM65" s="50">
        <f>IFERROR(IF(_xlfn.XLOOKUP(B65,'w6'!$B:$B,'w6'!$G:$G)="--",0,_xlfn.XLOOKUP(B65,'w6'!$B:$B,'w6'!$G:$G)),0)</f>
        <v>194</v>
      </c>
      <c r="AN65" s="50">
        <f>_xlfn.RANK.EQ(AM65,AM$3:AM$10000,0)</f>
        <v>36</v>
      </c>
      <c r="AO65" s="56">
        <f>IFERROR(_xlfn.XLOOKUP(B65,'w7'!$B:$B,'w7'!$C:$C),0)</f>
        <v>8.5</v>
      </c>
      <c r="AP65" s="57">
        <f>_xlfn.RANK.EQ(AO65,AO$3:AO$10000,0)</f>
        <v>59</v>
      </c>
      <c r="AQ65" s="58">
        <f>IFERROR(_xlfn.XLOOKUP(B65,'w7'!$B:$B,'w7'!$F:$F),1)</f>
        <v>0.22777777777777777</v>
      </c>
      <c r="AR65" s="57">
        <f>_xlfn.RANK.EQ(AQ65,AQ$3:AQ$10000,1)</f>
        <v>7</v>
      </c>
      <c r="AS65" s="57">
        <f>IFERROR(IF(_xlfn.XLOOKUP(B65,'w7'!$B:$B,'w7'!$G:$G)="--",0,_xlfn.XLOOKUP(B65,'w7'!$B:$B,'w7'!$G:$G)),0)</f>
        <v>53</v>
      </c>
      <c r="AT65" s="57">
        <f>_xlfn.RANK.EQ(AS65,AS$3:AS$10000,0)</f>
        <v>59</v>
      </c>
      <c r="AU65" s="62">
        <f>IFERROR(_xlfn.XLOOKUP(B65,'w8'!$B:$B,'w8'!$C:$C),0)</f>
        <v>19.2</v>
      </c>
      <c r="AV65" s="61">
        <f>_xlfn.RANK.EQ(AU65,AU$3:AU$10000,0)</f>
        <v>51</v>
      </c>
      <c r="AW65" s="63">
        <f>IFERROR(_xlfn.XLOOKUP(B65,'w8'!$B:$B,'w8'!$F:$F),1)</f>
        <v>0.25486111111111109</v>
      </c>
      <c r="AX65" s="61">
        <f>_xlfn.RANK.EQ(AW65,AW$3:AW$10000,1)</f>
        <v>18</v>
      </c>
      <c r="AY65" s="61">
        <f>IFERROR(IF(_xlfn.XLOOKUP(B65,'w8'!$B:$B,'w8'!$G:$G)="--",0,_xlfn.XLOOKUP(B65,'w8'!$B:$B,'w8'!$G:$G)),0)</f>
        <v>231</v>
      </c>
      <c r="AZ65" s="61">
        <f>_xlfn.RANK.EQ(AY65,AY$3:AY$10000,0)</f>
        <v>38</v>
      </c>
      <c r="BA65" s="66">
        <f>IFERROR(_xlfn.XLOOKUP(C65,'w9'!$B:$B,'w9'!$C:$C),0)</f>
        <v>10.1</v>
      </c>
      <c r="BB65" s="67">
        <f>_xlfn.RANK.EQ(BA65,BA$3:BA$10000,0)</f>
        <v>69</v>
      </c>
      <c r="BC65" s="68">
        <f>IFERROR(_xlfn.XLOOKUP(C65,'w9'!$B:$B,'w9'!$F:$F),1)</f>
        <v>0.21041666666666667</v>
      </c>
      <c r="BD65" s="67">
        <f>_xlfn.RANK.EQ(BC65,BC$3:BC$10000,1)</f>
        <v>3</v>
      </c>
      <c r="BE65" s="67">
        <f>IFERROR(IF(_xlfn.XLOOKUP(C65,'w9'!$B:$B,'w9'!$G:$G)="--",0,_xlfn.XLOOKUP(C65,'w9'!$B:$B,'w9'!$G:$G)),0)</f>
        <v>44</v>
      </c>
      <c r="BF65" s="67">
        <f>_xlfn.RANK.EQ(BE65,BE$3:BE$10000,0)</f>
        <v>65</v>
      </c>
      <c r="BG65" s="72">
        <f>IFERROR(_xlfn.XLOOKUP(B65,'w10'!$B:$B,'w10'!$C:$C),0)</f>
        <v>10.8</v>
      </c>
      <c r="BH65" s="74">
        <f>_xlfn.RANK.EQ(BG65,BG$3:BG$10000,0)</f>
        <v>61</v>
      </c>
      <c r="BI65" s="75">
        <f>IFERROR(_xlfn.XLOOKUP(B65,'w10'!$B:$B,'w10'!$F:$F),1)</f>
        <v>0.28958333333333336</v>
      </c>
      <c r="BJ65" s="74">
        <f>_xlfn.RANK.EQ(BI65,BI$3:BI$10000,1)</f>
        <v>45</v>
      </c>
      <c r="BK65" s="74">
        <f>IFERROR(IF(_xlfn.XLOOKUP(B65,'w10'!$B:$B,'w10'!$G:$G)="--",0,_xlfn.XLOOKUP(B65,'w10'!$B:$B,'w10'!$G:$G)),0)</f>
        <v>241</v>
      </c>
      <c r="BL65" s="74">
        <f>_xlfn.RANK.EQ(BK65,BK$3:BK$10000,0)</f>
        <v>29</v>
      </c>
      <c r="BM65" s="78">
        <f>IFERROR(_xlfn.XLOOKUP(B65,'w11'!$B:$B,'w11'!$C:$C),0)</f>
        <v>19.399999999999999</v>
      </c>
      <c r="BN65" s="80">
        <f>_xlfn.RANK.EQ(BM65,BM$3:BM$10000,0)</f>
        <v>46</v>
      </c>
      <c r="BO65" s="81">
        <f>IFERROR(_xlfn.XLOOKUP(B65,'w11'!$B:$B,'w11'!$F:$F),1)</f>
        <v>0.22291666666666668</v>
      </c>
      <c r="BP65" s="80">
        <f>_xlfn.RANK.EQ(BO65,BO$3:BO$10000,1)</f>
        <v>6</v>
      </c>
      <c r="BQ65" s="80">
        <f>IFERROR(IF(_xlfn.XLOOKUP(B65,'w11'!$B:$B,'w11'!$G:$G)="--",0,_xlfn.XLOOKUP(B65,'w11'!$B:$B,'w11'!$G:$G)),0)</f>
        <v>94</v>
      </c>
      <c r="BR65" s="80">
        <f>_xlfn.RANK.EQ(BQ65,BQ$3:BQ$10000,0)</f>
        <v>57</v>
      </c>
      <c r="BS65" s="83">
        <f>IFERROR(_xlfn.XLOOKUP(B65,'w12'!$B:$B,'w12'!$C:$C),0)</f>
        <v>10.8</v>
      </c>
      <c r="BT65" s="86">
        <f>_xlfn.RANK.EQ(BS65,BS$3:BS$10000,0)</f>
        <v>54</v>
      </c>
      <c r="BU65" s="87">
        <f>IFERROR(_xlfn.XLOOKUP(B65,'w12'!$B:$B,'w12'!$F:$F),1)</f>
        <v>0.31874999999999998</v>
      </c>
      <c r="BV65" s="86">
        <f>_xlfn.RANK.EQ(BU65,BU$3:BU$10000,1)</f>
        <v>57</v>
      </c>
      <c r="BW65" s="86">
        <f>IFERROR(IF(_xlfn.XLOOKUP(B65,'w12'!$B:$B,'w12'!$G:$G)="--",0,_xlfn.XLOOKUP(B65,'w12'!$B:$B,'w12'!$G:$G)),0)</f>
        <v>243</v>
      </c>
      <c r="BX65" s="86">
        <f>_xlfn.RANK.EQ(BW65,BW$3:BW$10000,0)</f>
        <v>30</v>
      </c>
      <c r="BY65" s="89">
        <f>IFERROR(_xlfn.XLOOKUP(B65,'w13'!$B:$B,'w13'!$C:$C),0)</f>
        <v>21.9</v>
      </c>
      <c r="BZ65" s="92">
        <f>_xlfn.RANK.EQ(BY65,BY$3:BY$10000,0)</f>
        <v>38</v>
      </c>
      <c r="CA65" s="93">
        <f>IFERROR(_xlfn.XLOOKUP(B65,'w13'!$B:$B,'w13'!$F:$F),1)</f>
        <v>0.27152777777777776</v>
      </c>
      <c r="CB65" s="92">
        <f>_xlfn.RANK.EQ(CA65,CA$3:CA$10000,1)</f>
        <v>36</v>
      </c>
      <c r="CC65" s="92">
        <f>IFERROR(IF(_xlfn.XLOOKUP(B65,'w13'!$B:$B,'w13'!$G:$G)="--",0,_xlfn.XLOOKUP(B65,'w13'!$B:$B,'w13'!$G:$G)),0)</f>
        <v>228</v>
      </c>
      <c r="CD65" s="92">
        <f>_xlfn.RANK.EQ(CC65,CC$3:CC$10000,0)</f>
        <v>33</v>
      </c>
      <c r="CE65" s="95">
        <f>IFERROR(_xlfn.XLOOKUP(B65,'w14'!$B:$B,'w14'!$C:$C),0)</f>
        <v>10.199999999999999</v>
      </c>
      <c r="CF65" s="98">
        <f>_xlfn.RANK.EQ(CE65,CE$3:CE$10000,0)</f>
        <v>55</v>
      </c>
      <c r="CG65" s="99">
        <f>IFERROR(_xlfn.XLOOKUP(B65,'w14'!$B:$B,'w14'!$F:$F),1)</f>
        <v>0.25624999999999998</v>
      </c>
      <c r="CH65" s="98">
        <f>_xlfn.RANK.EQ(CG65,CG$3:CG$10000,1)</f>
        <v>19</v>
      </c>
      <c r="CI65" s="98">
        <f>IFERROR(IF(_xlfn.XLOOKUP(B65,'w14'!$B:$B,'w14'!$G:$G)="--",0,_xlfn.XLOOKUP(B65,'w14'!$B:$B,'w14'!$G:$G)),0)</f>
        <v>59</v>
      </c>
      <c r="CJ65" s="98">
        <f>_xlfn.RANK.EQ(CI65,CI$3:CI$10000,0)</f>
        <v>56</v>
      </c>
      <c r="CK65" s="9">
        <f>_xlfn.RANK.EQ(D65,D$3:D$10000,1)</f>
        <v>63</v>
      </c>
      <c r="CL65" s="26" t="s">
        <v>133</v>
      </c>
      <c r="CM65" s="8">
        <f>SUM(E65,K65,Q65,W65,AC65,AI65,AO65,AU65,BA65,BG65,BM65,BS65,BY65,CE65)</f>
        <v>163.5</v>
      </c>
      <c r="CN65" s="9">
        <f>_xlfn.RANK.EQ(CM65,CM$3:CM$10000)</f>
        <v>63</v>
      </c>
      <c r="CO65" s="15">
        <f>IFERROR(SUM(PRODUCT(E65,G65),PRODUCT(K65,M65),PRODUCT(Q65,S65),PRODUCT(W65,Y65),PRODUCT(AC65,AE65),PRODUCT(AI65,AK65),PRODUCT(AO65,AQ65),PRODUCT(AU65,AW65),PRODUCT(BA65,BC65),PRODUCT(BG65,BI65),PRODUCT(BM65,BO65),PRODUCT(BS65,BU65),PRODUCT(BY65,CA65),PRODUCT(CE65,CG65))/CM65,1)</f>
        <v>0.26240485898742777</v>
      </c>
      <c r="CP65" s="9">
        <f>_xlfn.RANK.EQ(CO65,CO$3:CO$10000,1)</f>
        <v>30</v>
      </c>
      <c r="CQ65" s="9">
        <f>SUM(I65,O65,U65,AA65,AG65,AM65,AS65,AY65,BE65,BK65,BQ65,BW65,CC65,CI65)</f>
        <v>1886</v>
      </c>
      <c r="CR65" s="9">
        <f>_xlfn.RANK.EQ(CQ65,CQ$3:CQ$10000)</f>
        <v>58</v>
      </c>
      <c r="CS65" s="23"/>
      <c r="CT65" s="25"/>
      <c r="CU65" s="24">
        <f>_xlfn.STDEV.S(F65,L65,R65,X65,AD65,AJ65,AP65,AV65,BB65,BH65,BN65,BT65,BZ65,CF65)</f>
        <v>14.29227871157118</v>
      </c>
      <c r="CV65" s="21">
        <f>_xlfn.RANK.EQ(CU65,CU$3:CU$10000,1)</f>
        <v>54</v>
      </c>
      <c r="CW65" s="24">
        <f>_xlfn.STDEV.S(H65,N65,T65,Z65,AF65,AL65,AR65,AX65,BD65,BJ65,BP65,BV65,CB65,CH65)</f>
        <v>23.522259740439551</v>
      </c>
      <c r="CX65" s="21">
        <f>_xlfn.RANK.EQ(CW65,CW$3:CW$10000,1)</f>
        <v>89</v>
      </c>
      <c r="CY65" s="24">
        <f>_xlfn.STDEV.S(J65,P65,V65,AB65,AH65,AN65,AT65,AZ65,BF65,BL65,BR65,BX65,CD65,CJ65)</f>
        <v>16.556928100703583</v>
      </c>
      <c r="CZ65" s="21">
        <f>_xlfn.RANK.EQ(CY65,CY$3:CY$10000,1)</f>
        <v>64</v>
      </c>
      <c r="DA65">
        <f>SUM(COUNTIF(E65,"&gt;0"),COUNTIF(K65,"&gt;0"),COUNTIF(Q65,"&gt;0"),COUNTIF(W65,"&gt;0"),COUNTIF(AC65,"&gt;0"),COUNTIF(AI65,"&gt;0"),COUNTIF(AO65,"&gt;0"),COUNTIF(AU65,"&gt;0"),COUNTIF(BA65,"&gt;0"),COUNTIF(BG65,"&gt;0"),COUNTIF(BM65,"&gt;0"),COUNTIF(BS65,"&gt;0"),COUNTIF(BY65,"&gt;0"),COUNTIF(CE65,"&gt;0"))</f>
        <v>13</v>
      </c>
    </row>
    <row r="66" spans="2:105" x14ac:dyDescent="0.3">
      <c r="B66" t="s">
        <v>68</v>
      </c>
      <c r="C66" s="18" t="s">
        <v>155</v>
      </c>
      <c r="D66" s="4">
        <f>CN66*$CN$1+CP66*$CP$1+CR66*$CR$1</f>
        <v>62.699999999999996</v>
      </c>
      <c r="E66" s="29">
        <f>IFERROR(_xlfn.XLOOKUP(B66,'w1'!$B:$B,'w1'!$C:$C),0)</f>
        <v>10.8</v>
      </c>
      <c r="F66" s="30">
        <f>_xlfn.RANK.EQ(E66,E$3:E$10000,0)</f>
        <v>65</v>
      </c>
      <c r="G66" s="31">
        <f>IFERROR(_xlfn.XLOOKUP(B66,'w1'!$B:$B,'w1'!$F:$F),1)</f>
        <v>0.375</v>
      </c>
      <c r="H66" s="30">
        <f>_xlfn.RANK.EQ(G66,G$3:G$10000,1)</f>
        <v>72</v>
      </c>
      <c r="I66" s="30">
        <f>IFERROR(IF(_xlfn.XLOOKUP(B66,'w1'!$B:$B,'w1'!$G:$G)="--",0,_xlfn.XLOOKUP(B66,'w1'!$B:$B,'w1'!$G:$G)),0)</f>
        <v>283</v>
      </c>
      <c r="J66" s="30">
        <f>_xlfn.RANK.EQ(I66,I$3:I$10000,0)</f>
        <v>32</v>
      </c>
      <c r="K66" s="34">
        <f>IFERROR(_xlfn.XLOOKUP(B66,'w2'!$B:$B,'w2'!$C:$C),0)</f>
        <v>9.6</v>
      </c>
      <c r="L66" s="35">
        <f>_xlfn.RANK.EQ(K66,K$3:K$10000,0)</f>
        <v>65</v>
      </c>
      <c r="M66" s="36">
        <f>IFERROR(_xlfn.XLOOKUP(B66,'w2'!$B:$B,'w2'!$F:$F),1)</f>
        <v>0.23749999999999999</v>
      </c>
      <c r="N66" s="35">
        <f>_xlfn.RANK.EQ(M66,M$3:M$10000,1)</f>
        <v>8</v>
      </c>
      <c r="O66" s="35">
        <f>IFERROR(IF(_xlfn.XLOOKUP(B66,'w2'!$B:$B,'w2'!$G:$G)="--",0,_xlfn.XLOOKUP(B66,'w2'!$B:$B,'w2'!$G:$G)),0)</f>
        <v>162</v>
      </c>
      <c r="P66" s="35">
        <f>_xlfn.RANK.EQ(O66,O$3:O$10000,0)</f>
        <v>45</v>
      </c>
      <c r="Q66" s="39">
        <f>IFERROR(_xlfn.XLOOKUP(B66,'w3'!$B:$B,'w3'!$C:$C),0)</f>
        <v>10.9</v>
      </c>
      <c r="R66" s="40">
        <f>_xlfn.RANK.EQ(Q66,Q$3:Q$10000,0)</f>
        <v>61</v>
      </c>
      <c r="S66" s="41">
        <f>IFERROR(_xlfn.XLOOKUP(B66,'w3'!$B:$B,'w3'!$F:$F),1)</f>
        <v>0.23541666666666666</v>
      </c>
      <c r="T66" s="40">
        <f>_xlfn.RANK.EQ(S66,S$3:S$10000,1)</f>
        <v>8</v>
      </c>
      <c r="U66" s="40">
        <f>IFERROR(IF(_xlfn.XLOOKUP(B66,'w3'!$B:$B,'w3'!$G:$G)="--",0,_xlfn.XLOOKUP(B66,'w3'!$B:$B,'w3'!$G:$G)),0)</f>
        <v>60</v>
      </c>
      <c r="V66" s="40">
        <f>_xlfn.RANK.EQ(U66,U$3:U$10000,0)</f>
        <v>68</v>
      </c>
      <c r="W66" s="44">
        <f>IFERROR(_xlfn.XLOOKUP(B66,'w4'!$B:$B,'w4'!$C:$C),0)</f>
        <v>10</v>
      </c>
      <c r="X66" s="45">
        <f>_xlfn.RANK.EQ(W66,W$3:W$10000,0)</f>
        <v>61</v>
      </c>
      <c r="Y66" s="46">
        <f>IFERROR(_xlfn.XLOOKUP(B66,'w4'!$B:$B,'w4'!$F:$F),1)</f>
        <v>0.24166666666666667</v>
      </c>
      <c r="Z66" s="45">
        <f>_xlfn.RANK.EQ(Y66,Y$3:Y$10000,1)</f>
        <v>14</v>
      </c>
      <c r="AA66" s="45">
        <f>IFERROR(IF(_xlfn.XLOOKUP(B66,'w4'!$B:$B,'w4'!$G:$G)="--",0,_xlfn.XLOOKUP(B66,'w4'!$B:$B,'w4'!$G:$G)),0)</f>
        <v>29</v>
      </c>
      <c r="AB66" s="45">
        <f>_xlfn.RANK.EQ(AA66,AA$3:AA$10000,0)</f>
        <v>62</v>
      </c>
      <c r="AC66" s="13">
        <f>IFERROR(_xlfn.XLOOKUP(B66,'w5'!$B:$B,'w5'!$C:$C),0)</f>
        <v>21</v>
      </c>
      <c r="AD66" s="12">
        <f>_xlfn.RANK.EQ(AC66,AC$3:AC$10000,0)</f>
        <v>50</v>
      </c>
      <c r="AE66" s="14">
        <f>IFERROR(_xlfn.XLOOKUP(B66,'w5'!$B:$B,'w5'!$F:$F),1)</f>
        <v>0.31041666666666667</v>
      </c>
      <c r="AF66" s="12">
        <f>_xlfn.RANK.EQ(AE66,AE$3:AE$10000,1)</f>
        <v>47</v>
      </c>
      <c r="AG66" s="12">
        <f>IFERROR(IF(_xlfn.XLOOKUP(B66,'w5'!$B:$B,'w5'!$G:$G)="--",0,_xlfn.XLOOKUP(B66,'w5'!$B:$B,'w5'!$G:$G)),0)</f>
        <v>557</v>
      </c>
      <c r="AH66" s="12">
        <f>_xlfn.RANK.EQ(AG66,AG$3:AG$10000,0)</f>
        <v>26</v>
      </c>
      <c r="AI66" s="51">
        <f>IFERROR(_xlfn.XLOOKUP(B66,'w6'!$B:$B,'w6'!$C:$C),0)</f>
        <v>22.3</v>
      </c>
      <c r="AJ66" s="50">
        <f>_xlfn.RANK.EQ(AI66,AI$3:AI$10000,0)</f>
        <v>28</v>
      </c>
      <c r="AK66" s="52">
        <f>IFERROR(_xlfn.XLOOKUP(B66,'w6'!$B:$B,'w6'!$F:$F),1)</f>
        <v>0.23819444444444443</v>
      </c>
      <c r="AL66" s="50">
        <f>_xlfn.RANK.EQ(AK66,AK$3:AK$10000,1)</f>
        <v>8</v>
      </c>
      <c r="AM66" s="50">
        <f>IFERROR(IF(_xlfn.XLOOKUP(B66,'w6'!$B:$B,'w6'!$G:$G)="--",0,_xlfn.XLOOKUP(B66,'w6'!$B:$B,'w6'!$G:$G)),0)</f>
        <v>203</v>
      </c>
      <c r="AN66" s="50">
        <f>_xlfn.RANK.EQ(AM66,AM$3:AM$10000,0)</f>
        <v>35</v>
      </c>
      <c r="AO66" s="56">
        <f>IFERROR(_xlfn.XLOOKUP(B66,'w7'!$B:$B,'w7'!$C:$C),0)</f>
        <v>21.1</v>
      </c>
      <c r="AP66" s="57">
        <f>_xlfn.RANK.EQ(AO66,AO$3:AO$10000,0)</f>
        <v>38</v>
      </c>
      <c r="AQ66" s="58">
        <f>IFERROR(_xlfn.XLOOKUP(B66,'w7'!$B:$B,'w7'!$F:$F),1)</f>
        <v>0.22777777777777777</v>
      </c>
      <c r="AR66" s="57">
        <f>_xlfn.RANK.EQ(AQ66,AQ$3:AQ$10000,1)</f>
        <v>7</v>
      </c>
      <c r="AS66" s="57">
        <f>IFERROR(IF(_xlfn.XLOOKUP(B66,'w7'!$B:$B,'w7'!$G:$G)="--",0,_xlfn.XLOOKUP(B66,'w7'!$B:$B,'w7'!$G:$G)),0)</f>
        <v>102</v>
      </c>
      <c r="AT66" s="57">
        <f>_xlfn.RANK.EQ(AS66,AS$3:AS$10000,0)</f>
        <v>54</v>
      </c>
      <c r="AU66" s="62">
        <f>IFERROR(_xlfn.XLOOKUP(B66,'w8'!$B:$B,'w8'!$C:$C),0)</f>
        <v>0</v>
      </c>
      <c r="AV66" s="61">
        <f>_xlfn.RANK.EQ(AU66,AU$3:AU$10000,0)</f>
        <v>73</v>
      </c>
      <c r="AW66" s="63">
        <f>IFERROR(_xlfn.XLOOKUP(B66,'w8'!$B:$B,'w8'!$F:$F),1)</f>
        <v>1</v>
      </c>
      <c r="AX66" s="61">
        <f>_xlfn.RANK.EQ(AW66,AW$3:AW$10000,1)</f>
        <v>73</v>
      </c>
      <c r="AY66" s="61">
        <f>IFERROR(IF(_xlfn.XLOOKUP(B66,'w8'!$B:$B,'w8'!$G:$G)="--",0,_xlfn.XLOOKUP(B66,'w8'!$B:$B,'w8'!$G:$G)),0)</f>
        <v>0</v>
      </c>
      <c r="AZ66" s="61">
        <f>_xlfn.RANK.EQ(AY66,AY$3:AY$10000,0)</f>
        <v>70</v>
      </c>
      <c r="BA66" s="66">
        <f>IFERROR(_xlfn.XLOOKUP(C66,'w9'!$B:$B,'w9'!$C:$C),0)</f>
        <v>0</v>
      </c>
      <c r="BB66" s="67">
        <f>_xlfn.RANK.EQ(BA66,BA$3:BA$10000,0)</f>
        <v>75</v>
      </c>
      <c r="BC66" s="68">
        <f>IFERROR(_xlfn.XLOOKUP(C66,'w9'!$B:$B,'w9'!$F:$F),1)</f>
        <v>1</v>
      </c>
      <c r="BD66" s="67">
        <f>_xlfn.RANK.EQ(BC66,BC$3:BC$10000,1)</f>
        <v>75</v>
      </c>
      <c r="BE66" s="67">
        <f>IFERROR(IF(_xlfn.XLOOKUP(C66,'w9'!$B:$B,'w9'!$G:$G)="--",0,_xlfn.XLOOKUP(C66,'w9'!$B:$B,'w9'!$G:$G)),0)</f>
        <v>0</v>
      </c>
      <c r="BF66" s="67">
        <f>_xlfn.RANK.EQ(BE66,BE$3:BE$10000,0)</f>
        <v>74</v>
      </c>
      <c r="BG66" s="72">
        <f>IFERROR(_xlfn.XLOOKUP(B66,'w10'!$B:$B,'w10'!$C:$C),0)</f>
        <v>0</v>
      </c>
      <c r="BH66" s="74">
        <f>_xlfn.RANK.EQ(BG66,BG$3:BG$10000,0)</f>
        <v>77</v>
      </c>
      <c r="BI66" s="75">
        <f>IFERROR(_xlfn.XLOOKUP(B66,'w10'!$B:$B,'w10'!$F:$F),1)</f>
        <v>1</v>
      </c>
      <c r="BJ66" s="74">
        <f>_xlfn.RANK.EQ(BI66,BI$3:BI$10000,1)</f>
        <v>76</v>
      </c>
      <c r="BK66" s="74">
        <f>IFERROR(IF(_xlfn.XLOOKUP(B66,'w10'!$B:$B,'w10'!$G:$G)="--",0,_xlfn.XLOOKUP(B66,'w10'!$B:$B,'w10'!$G:$G)),0)</f>
        <v>0</v>
      </c>
      <c r="BL66" s="74">
        <f>_xlfn.RANK.EQ(BK66,BK$3:BK$10000,0)</f>
        <v>76</v>
      </c>
      <c r="BM66" s="78">
        <f>IFERROR(_xlfn.XLOOKUP(B66,'w11'!$B:$B,'w11'!$C:$C),0)</f>
        <v>0</v>
      </c>
      <c r="BN66" s="80">
        <f>_xlfn.RANK.EQ(BM66,BM$3:BM$10000,0)</f>
        <v>76</v>
      </c>
      <c r="BO66" s="81">
        <f>IFERROR(_xlfn.XLOOKUP(B66,'w11'!$B:$B,'w11'!$F:$F),1)</f>
        <v>1</v>
      </c>
      <c r="BP66" s="80">
        <f>_xlfn.RANK.EQ(BO66,BO$3:BO$10000,1)</f>
        <v>76</v>
      </c>
      <c r="BQ66" s="80">
        <f>IFERROR(IF(_xlfn.XLOOKUP(B66,'w11'!$B:$B,'w11'!$G:$G)="--",0,_xlfn.XLOOKUP(B66,'w11'!$B:$B,'w11'!$G:$G)),0)</f>
        <v>0</v>
      </c>
      <c r="BR66" s="80">
        <f>_xlfn.RANK.EQ(BQ66,BQ$3:BQ$10000,0)</f>
        <v>75</v>
      </c>
      <c r="BS66" s="83">
        <f>IFERROR(_xlfn.XLOOKUP(B66,'w12'!$B:$B,'w12'!$C:$C),0)</f>
        <v>0</v>
      </c>
      <c r="BT66" s="86">
        <f>_xlfn.RANK.EQ(BS66,BS$3:BS$10000,0)</f>
        <v>76</v>
      </c>
      <c r="BU66" s="87">
        <f>IFERROR(_xlfn.XLOOKUP(B66,'w12'!$B:$B,'w12'!$F:$F),1)</f>
        <v>1</v>
      </c>
      <c r="BV66" s="86">
        <f>_xlfn.RANK.EQ(BU66,BU$3:BU$10000,1)</f>
        <v>76</v>
      </c>
      <c r="BW66" s="86">
        <f>IFERROR(IF(_xlfn.XLOOKUP(B66,'w12'!$B:$B,'w12'!$G:$G)="--",0,_xlfn.XLOOKUP(B66,'w12'!$B:$B,'w12'!$G:$G)),0)</f>
        <v>0</v>
      </c>
      <c r="BX66" s="86">
        <f>_xlfn.RANK.EQ(BW66,BW$3:BW$10000,0)</f>
        <v>73</v>
      </c>
      <c r="BY66" s="89">
        <f>IFERROR(_xlfn.XLOOKUP(B66,'w13'!$B:$B,'w13'!$C:$C),0)</f>
        <v>18</v>
      </c>
      <c r="BZ66" s="92">
        <f>_xlfn.RANK.EQ(BY66,BY$3:BY$10000,0)</f>
        <v>44</v>
      </c>
      <c r="CA66" s="93">
        <f>IFERROR(_xlfn.XLOOKUP(B66,'w13'!$B:$B,'w13'!$F:$F),1)</f>
        <v>0.23125000000000001</v>
      </c>
      <c r="CB66" s="92">
        <f>_xlfn.RANK.EQ(CA66,CA$3:CA$10000,1)</f>
        <v>13</v>
      </c>
      <c r="CC66" s="92">
        <f>IFERROR(IF(_xlfn.XLOOKUP(B66,'w13'!$B:$B,'w13'!$G:$G)="--",0,_xlfn.XLOOKUP(B66,'w13'!$B:$B,'w13'!$G:$G)),0)</f>
        <v>58</v>
      </c>
      <c r="CD66" s="92">
        <f>_xlfn.RANK.EQ(CC66,CC$3:CC$10000,0)</f>
        <v>64</v>
      </c>
      <c r="CE66" s="95">
        <f>IFERROR(_xlfn.XLOOKUP(B66,'w14'!$B:$B,'w14'!$C:$C),0)</f>
        <v>29.1</v>
      </c>
      <c r="CF66" s="98">
        <f>_xlfn.RANK.EQ(CE66,CE$3:CE$10000,0)</f>
        <v>34</v>
      </c>
      <c r="CG66" s="99">
        <f>IFERROR(_xlfn.XLOOKUP(B66,'w14'!$B:$B,'w14'!$F:$F),1)</f>
        <v>0.2388888888888889</v>
      </c>
      <c r="CH66" s="98">
        <f>_xlfn.RANK.EQ(CG66,CG$3:CG$10000,1)</f>
        <v>11</v>
      </c>
      <c r="CI66" s="98">
        <f>IFERROR(IF(_xlfn.XLOOKUP(B66,'w14'!$B:$B,'w14'!$G:$G)="--",0,_xlfn.XLOOKUP(B66,'w14'!$B:$B,'w14'!$G:$G)),0)</f>
        <v>591</v>
      </c>
      <c r="CJ66" s="98">
        <f>_xlfn.RANK.EQ(CI66,CI$3:CI$10000,0)</f>
        <v>20</v>
      </c>
      <c r="CK66" s="9">
        <f>_xlfn.RANK.EQ(D66,D$3:D$10000,1)</f>
        <v>64</v>
      </c>
      <c r="CL66" s="26" t="s">
        <v>155</v>
      </c>
      <c r="CM66" s="8">
        <f>SUM(E66,K66,Q66,W66,AC66,AI66,AO66,AU66,BA66,BG66,BM66,BS66,BY66,CE66)</f>
        <v>152.79999999999998</v>
      </c>
      <c r="CN66" s="9">
        <f>_xlfn.RANK.EQ(CM66,CM$3:CM$10000)</f>
        <v>64</v>
      </c>
      <c r="CO66" s="15">
        <f>IFERROR(SUM(PRODUCT(E66,G66),PRODUCT(K66,M66),PRODUCT(Q66,S66),PRODUCT(W66,Y66),PRODUCT(AC66,AE66),PRODUCT(AI66,AK66),PRODUCT(AO66,AQ66),PRODUCT(AU66,AW66),PRODUCT(BA66,BC66),PRODUCT(BG66,BI66),PRODUCT(BM66,BO66),PRODUCT(BS66,BU66),PRODUCT(BY66,CA66),PRODUCT(CE66,CG66))/CM66,1)</f>
        <v>0.25565099621873189</v>
      </c>
      <c r="CP66" s="9">
        <f>_xlfn.RANK.EQ(CO66,CO$3:CO$10000,1)</f>
        <v>24</v>
      </c>
      <c r="CQ66" s="9">
        <f>SUM(I66,O66,U66,AA66,AG66,AM66,AS66,AY66,BE66,BK66,BQ66,BW66,CC66,CI66)</f>
        <v>2045</v>
      </c>
      <c r="CR66" s="9">
        <f>_xlfn.RANK.EQ(CQ66,CQ$3:CQ$10000)</f>
        <v>52</v>
      </c>
      <c r="CS66" s="23"/>
      <c r="CT66" s="25"/>
      <c r="CU66" s="24">
        <f>_xlfn.STDEV.S(F66,L66,R66,X66,AD66,AJ66,AP66,AV66,BB66,BH66,BN66,BT66,BZ66,CF66)</f>
        <v>17.021156841407119</v>
      </c>
      <c r="CV66" s="21">
        <f>_xlfn.RANK.EQ(CU66,CU$3:CU$10000,1)</f>
        <v>73</v>
      </c>
      <c r="CW66" s="24">
        <f>_xlfn.STDEV.S(H66,N66,T66,Z66,AF66,AL66,AR66,AX66,BD66,BJ66,BP66,BV66,CB66,CH66)</f>
        <v>32.440308666435747</v>
      </c>
      <c r="CX66" s="21">
        <f>_xlfn.RANK.EQ(CW66,CW$3:CW$10000,1)</f>
        <v>105</v>
      </c>
      <c r="CY66" s="24">
        <f>_xlfn.STDEV.S(J66,P66,V66,AB66,AH66,AN66,AT66,AZ66,BF66,BL66,BR66,BX66,CD66,CJ66)</f>
        <v>19.89367341036446</v>
      </c>
      <c r="CZ66" s="21">
        <f>_xlfn.RANK.EQ(CY66,CY$3:CY$10000,1)</f>
        <v>86</v>
      </c>
      <c r="DA66">
        <f>SUM(COUNTIF(E66,"&gt;0"),COUNTIF(K66,"&gt;0"),COUNTIF(Q66,"&gt;0"),COUNTIF(W66,"&gt;0"),COUNTIF(AC66,"&gt;0"),COUNTIF(AI66,"&gt;0"),COUNTIF(AO66,"&gt;0"),COUNTIF(AU66,"&gt;0"),COUNTIF(BA66,"&gt;0"),COUNTIF(BG66,"&gt;0"),COUNTIF(BM66,"&gt;0"),COUNTIF(BS66,"&gt;0"),COUNTIF(BY66,"&gt;0"),COUNTIF(CE66,"&gt;0"))</f>
        <v>9</v>
      </c>
    </row>
    <row r="67" spans="2:105" x14ac:dyDescent="0.3">
      <c r="B67" t="s">
        <v>175</v>
      </c>
      <c r="C67" s="18" t="s">
        <v>185</v>
      </c>
      <c r="D67" s="4">
        <f>CN67*$CN$1+CP67*$CP$1+CR67*$CR$1</f>
        <v>64.375</v>
      </c>
      <c r="E67" s="29">
        <f>IFERROR(_xlfn.XLOOKUP(B67,'w1'!$B:$B,'w1'!$C:$C),0)</f>
        <v>0</v>
      </c>
      <c r="F67" s="30">
        <f>_xlfn.RANK.EQ(E67,E$3:E$10000,0)</f>
        <v>79</v>
      </c>
      <c r="G67" s="31">
        <f>IFERROR(_xlfn.XLOOKUP(B67,'w1'!$B:$B,'w1'!$F:$F),1)</f>
        <v>1</v>
      </c>
      <c r="H67" s="30">
        <f>_xlfn.RANK.EQ(G67,G$3:G$10000,1)</f>
        <v>79</v>
      </c>
      <c r="I67" s="30">
        <f>IFERROR(IF(_xlfn.XLOOKUP(B67,'w1'!$B:$B,'w1'!$G:$G)="--",0,_xlfn.XLOOKUP(B67,'w1'!$B:$B,'w1'!$G:$G)),0)</f>
        <v>0</v>
      </c>
      <c r="J67" s="30">
        <f>_xlfn.RANK.EQ(I67,I$3:I$10000,0)</f>
        <v>77</v>
      </c>
      <c r="K67" s="34">
        <f>IFERROR(_xlfn.XLOOKUP(B67,'w2'!$B:$B,'w2'!$C:$C),0)</f>
        <v>11.1</v>
      </c>
      <c r="L67" s="35">
        <f>_xlfn.RANK.EQ(K67,K$3:K$10000,0)</f>
        <v>54</v>
      </c>
      <c r="M67" s="36">
        <f>IFERROR(_xlfn.XLOOKUP(B67,'w2'!$B:$B,'w2'!$F:$F),1)</f>
        <v>0.25</v>
      </c>
      <c r="N67" s="35">
        <f>_xlfn.RANK.EQ(M67,M$3:M$10000,1)</f>
        <v>13</v>
      </c>
      <c r="O67" s="35">
        <f>IFERROR(IF(_xlfn.XLOOKUP(B67,'w2'!$B:$B,'w2'!$G:$G)="--",0,_xlfn.XLOOKUP(B67,'w2'!$B:$B,'w2'!$G:$G)),0)</f>
        <v>26</v>
      </c>
      <c r="P67" s="35">
        <f>_xlfn.RANK.EQ(O67,O$3:O$10000,0)</f>
        <v>68</v>
      </c>
      <c r="Q67" s="39">
        <f>IFERROR(_xlfn.XLOOKUP(B67,'w3'!$B:$B,'w3'!$C:$C),0)</f>
        <v>0</v>
      </c>
      <c r="R67" s="40">
        <f>_xlfn.RANK.EQ(Q67,Q$3:Q$10000,0)</f>
        <v>84</v>
      </c>
      <c r="S67" s="41">
        <f>IFERROR(_xlfn.XLOOKUP(B67,'w3'!$B:$B,'w3'!$F:$F),1)</f>
        <v>1</v>
      </c>
      <c r="T67" s="40">
        <f>_xlfn.RANK.EQ(S67,S$3:S$10000,1)</f>
        <v>83</v>
      </c>
      <c r="U67" s="40">
        <f>IFERROR(IF(_xlfn.XLOOKUP(B67,'w3'!$B:$B,'w3'!$G:$G)="--",0,_xlfn.XLOOKUP(B67,'w3'!$B:$B,'w3'!$G:$G)),0)</f>
        <v>0</v>
      </c>
      <c r="V67" s="40">
        <f>_xlfn.RANK.EQ(U67,U$3:U$10000,0)</f>
        <v>80</v>
      </c>
      <c r="W67" s="44">
        <f>IFERROR(_xlfn.XLOOKUP(B67,'w4'!$B:$B,'w4'!$C:$C),0)</f>
        <v>11.1</v>
      </c>
      <c r="X67" s="45">
        <f>_xlfn.RANK.EQ(W67,W$3:W$10000,0)</f>
        <v>55</v>
      </c>
      <c r="Y67" s="46">
        <f>IFERROR(_xlfn.XLOOKUP(B67,'w4'!$B:$B,'w4'!$F:$F),1)</f>
        <v>0.25</v>
      </c>
      <c r="Z67" s="45">
        <f>_xlfn.RANK.EQ(Y67,Y$3:Y$10000,1)</f>
        <v>24</v>
      </c>
      <c r="AA67" s="45">
        <f>IFERROR(IF(_xlfn.XLOOKUP(B67,'w4'!$B:$B,'w4'!$G:$G)="--",0,_xlfn.XLOOKUP(B67,'w4'!$B:$B,'w4'!$G:$G)),0)</f>
        <v>26</v>
      </c>
      <c r="AB67" s="45">
        <f>_xlfn.RANK.EQ(AA67,AA$3:AA$10000,0)</f>
        <v>63</v>
      </c>
      <c r="AC67" s="13">
        <f>IFERROR(_xlfn.XLOOKUP(B67,'w5'!$B:$B,'w5'!$C:$C),0)</f>
        <v>0</v>
      </c>
      <c r="AD67" s="12">
        <f>_xlfn.RANK.EQ(AC67,AC$3:AC$10000,0)</f>
        <v>77</v>
      </c>
      <c r="AE67" s="14">
        <f>IFERROR(_xlfn.XLOOKUP(B67,'w5'!$B:$B,'w5'!$F:$F),1)</f>
        <v>1</v>
      </c>
      <c r="AF67" s="12">
        <f>_xlfn.RANK.EQ(AE67,AE$3:AE$10000,1)</f>
        <v>76</v>
      </c>
      <c r="AG67" s="12">
        <f>IFERROR(IF(_xlfn.XLOOKUP(B67,'w5'!$B:$B,'w5'!$G:$G)="--",0,_xlfn.XLOOKUP(B67,'w5'!$B:$B,'w5'!$G:$G)),0)</f>
        <v>0</v>
      </c>
      <c r="AH67" s="12">
        <f>_xlfn.RANK.EQ(AG67,AG$3:AG$10000,0)</f>
        <v>73</v>
      </c>
      <c r="AI67" s="51">
        <f>IFERROR(_xlfn.XLOOKUP(B67,'w6'!$B:$B,'w6'!$C:$C),0)</f>
        <v>15.5</v>
      </c>
      <c r="AJ67" s="50">
        <f>_xlfn.RANK.EQ(AI67,AI$3:AI$10000,0)</f>
        <v>35</v>
      </c>
      <c r="AK67" s="52">
        <f>IFERROR(_xlfn.XLOOKUP(B67,'w6'!$B:$B,'w6'!$F:$F),1)</f>
        <v>0.29930555555555555</v>
      </c>
      <c r="AL67" s="50">
        <f>_xlfn.RANK.EQ(AK67,AK$3:AK$10000,1)</f>
        <v>39</v>
      </c>
      <c r="AM67" s="50">
        <f>IFERROR(IF(_xlfn.XLOOKUP(B67,'w6'!$B:$B,'w6'!$G:$G)="--",0,_xlfn.XLOOKUP(B67,'w6'!$B:$B,'w6'!$G:$G)),0)</f>
        <v>175</v>
      </c>
      <c r="AN67" s="50">
        <f>_xlfn.RANK.EQ(AM67,AM$3:AM$10000,0)</f>
        <v>39</v>
      </c>
      <c r="AO67" s="56">
        <f>IFERROR(_xlfn.XLOOKUP(B67,'w7'!$B:$B,'w7'!$C:$C),0)</f>
        <v>13.3</v>
      </c>
      <c r="AP67" s="57">
        <f>_xlfn.RANK.EQ(AO67,AO$3:AO$10000,0)</f>
        <v>52</v>
      </c>
      <c r="AQ67" s="58">
        <f>IFERROR(_xlfn.XLOOKUP(B67,'w7'!$B:$B,'w7'!$F:$F),1)</f>
        <v>0.25624999999999998</v>
      </c>
      <c r="AR67" s="57">
        <f>_xlfn.RANK.EQ(AQ67,AQ$3:AQ$10000,1)</f>
        <v>25</v>
      </c>
      <c r="AS67" s="57">
        <f>IFERROR(IF(_xlfn.XLOOKUP(B67,'w7'!$B:$B,'w7'!$G:$G)="--",0,_xlfn.XLOOKUP(B67,'w7'!$B:$B,'w7'!$G:$G)),0)</f>
        <v>28</v>
      </c>
      <c r="AT67" s="57">
        <f>_xlfn.RANK.EQ(AS67,AS$3:AS$10000,0)</f>
        <v>64</v>
      </c>
      <c r="AU67" s="62">
        <f>IFERROR(_xlfn.XLOOKUP(B67,'w8'!$B:$B,'w8'!$C:$C),0)</f>
        <v>22.2</v>
      </c>
      <c r="AV67" s="61">
        <f>_xlfn.RANK.EQ(AU67,AU$3:AU$10000,0)</f>
        <v>45</v>
      </c>
      <c r="AW67" s="63">
        <f>IFERROR(_xlfn.XLOOKUP(B67,'w8'!$B:$B,'w8'!$F:$F),1)</f>
        <v>0.24374999999999999</v>
      </c>
      <c r="AX67" s="61">
        <f>_xlfn.RANK.EQ(AW67,AW$3:AW$10000,1)</f>
        <v>10</v>
      </c>
      <c r="AY67" s="61">
        <f>IFERROR(IF(_xlfn.XLOOKUP(B67,'w8'!$B:$B,'w8'!$G:$G)="--",0,_xlfn.XLOOKUP(B67,'w8'!$B:$B,'w8'!$G:$G)),0)</f>
        <v>85</v>
      </c>
      <c r="AZ67" s="61">
        <f>_xlfn.RANK.EQ(AY67,AY$3:AY$10000,0)</f>
        <v>54</v>
      </c>
      <c r="BA67" s="66">
        <f>IFERROR(_xlfn.XLOOKUP(C67,'w9'!$B:$B,'w9'!$C:$C),0)</f>
        <v>15.5</v>
      </c>
      <c r="BB67" s="67">
        <f>_xlfn.RANK.EQ(BA67,BA$3:BA$10000,0)</f>
        <v>59</v>
      </c>
      <c r="BC67" s="68">
        <f>IFERROR(_xlfn.XLOOKUP(C67,'w9'!$B:$B,'w9'!$F:$F),1)</f>
        <v>0.2388888888888889</v>
      </c>
      <c r="BD67" s="67">
        <f>_xlfn.RANK.EQ(BC67,BC$3:BC$10000,1)</f>
        <v>10</v>
      </c>
      <c r="BE67" s="67">
        <f>IFERROR(IF(_xlfn.XLOOKUP(C67,'w9'!$B:$B,'w9'!$G:$G)="--",0,_xlfn.XLOOKUP(C67,'w9'!$B:$B,'w9'!$G:$G)),0)</f>
        <v>43</v>
      </c>
      <c r="BF67" s="67">
        <f>_xlfn.RANK.EQ(BE67,BE$3:BE$10000,0)</f>
        <v>66</v>
      </c>
      <c r="BG67" s="72">
        <f>IFERROR(_xlfn.XLOOKUP(B67,'w10'!$B:$B,'w10'!$C:$C),0)</f>
        <v>0</v>
      </c>
      <c r="BH67" s="74">
        <f>_xlfn.RANK.EQ(BG67,BG$3:BG$10000,0)</f>
        <v>77</v>
      </c>
      <c r="BI67" s="75">
        <f>IFERROR(_xlfn.XLOOKUP(B67,'w10'!$B:$B,'w10'!$F:$F),1)</f>
        <v>1</v>
      </c>
      <c r="BJ67" s="74">
        <f>_xlfn.RANK.EQ(BI67,BI$3:BI$10000,1)</f>
        <v>76</v>
      </c>
      <c r="BK67" s="74">
        <f>IFERROR(IF(_xlfn.XLOOKUP(B67,'w10'!$B:$B,'w10'!$G:$G)="--",0,_xlfn.XLOOKUP(B67,'w10'!$B:$B,'w10'!$G:$G)),0)</f>
        <v>0</v>
      </c>
      <c r="BL67" s="74">
        <f>_xlfn.RANK.EQ(BK67,BK$3:BK$10000,0)</f>
        <v>76</v>
      </c>
      <c r="BM67" s="78">
        <f>IFERROR(_xlfn.XLOOKUP(B67,'w11'!$B:$B,'w11'!$C:$C),0)</f>
        <v>29.9</v>
      </c>
      <c r="BN67" s="80">
        <f>_xlfn.RANK.EQ(BM67,BM$3:BM$10000,0)</f>
        <v>27</v>
      </c>
      <c r="BO67" s="81">
        <f>IFERROR(_xlfn.XLOOKUP(B67,'w11'!$B:$B,'w11'!$F:$F),1)</f>
        <v>0.26250000000000001</v>
      </c>
      <c r="BP67" s="80">
        <f>_xlfn.RANK.EQ(BO67,BO$3:BO$10000,1)</f>
        <v>29</v>
      </c>
      <c r="BQ67" s="80">
        <f>IFERROR(IF(_xlfn.XLOOKUP(B67,'w11'!$B:$B,'w11'!$G:$G)="--",0,_xlfn.XLOOKUP(B67,'w11'!$B:$B,'w11'!$G:$G)),0)</f>
        <v>199</v>
      </c>
      <c r="BR67" s="80">
        <f>_xlfn.RANK.EQ(BQ67,BQ$3:BQ$10000,0)</f>
        <v>41</v>
      </c>
      <c r="BS67" s="83">
        <f>IFERROR(_xlfn.XLOOKUP(B67,'w12'!$B:$B,'w12'!$C:$C),0)</f>
        <v>21.1</v>
      </c>
      <c r="BT67" s="86">
        <f>_xlfn.RANK.EQ(BS67,BS$3:BS$10000,0)</f>
        <v>33</v>
      </c>
      <c r="BU67" s="87">
        <f>IFERROR(_xlfn.XLOOKUP(B67,'w12'!$B:$B,'w12'!$F:$F),1)</f>
        <v>0.27083333333333331</v>
      </c>
      <c r="BV67" s="86">
        <f>_xlfn.RANK.EQ(BU67,BU$3:BU$10000,1)</f>
        <v>36</v>
      </c>
      <c r="BW67" s="86">
        <f>IFERROR(IF(_xlfn.XLOOKUP(B67,'w12'!$B:$B,'w12'!$G:$G)="--",0,_xlfn.XLOOKUP(B67,'w12'!$B:$B,'w12'!$G:$G)),0)</f>
        <v>179</v>
      </c>
      <c r="BX67" s="86">
        <f>_xlfn.RANK.EQ(BW67,BW$3:BW$10000,0)</f>
        <v>42</v>
      </c>
      <c r="BY67" s="89">
        <f>IFERROR(_xlfn.XLOOKUP(B67,'w13'!$B:$B,'w13'!$C:$C),0)</f>
        <v>0</v>
      </c>
      <c r="BZ67" s="92">
        <f>_xlfn.RANK.EQ(BY67,BY$3:BY$10000,0)</f>
        <v>76</v>
      </c>
      <c r="CA67" s="93">
        <f>IFERROR(_xlfn.XLOOKUP(B67,'w13'!$B:$B,'w13'!$F:$F),1)</f>
        <v>1</v>
      </c>
      <c r="CB67" s="92">
        <f>_xlfn.RANK.EQ(CA67,CA$3:CA$10000,1)</f>
        <v>76</v>
      </c>
      <c r="CC67" s="92">
        <f>IFERROR(IF(_xlfn.XLOOKUP(B67,'w13'!$B:$B,'w13'!$G:$G)="--",0,_xlfn.XLOOKUP(B67,'w13'!$B:$B,'w13'!$G:$G)),0)</f>
        <v>0</v>
      </c>
      <c r="CD67" s="92">
        <f>_xlfn.RANK.EQ(CC67,CC$3:CC$10000,0)</f>
        <v>76</v>
      </c>
      <c r="CE67" s="95">
        <f>IFERROR(_xlfn.XLOOKUP(B67,'w14'!$B:$B,'w14'!$C:$C),0)</f>
        <v>11.1</v>
      </c>
      <c r="CF67" s="98">
        <f>_xlfn.RANK.EQ(CE67,CE$3:CE$10000,0)</f>
        <v>53</v>
      </c>
      <c r="CG67" s="99">
        <f>IFERROR(_xlfn.XLOOKUP(B67,'w14'!$B:$B,'w14'!$F:$F),1)</f>
        <v>0.24097222222222223</v>
      </c>
      <c r="CH67" s="98">
        <f>_xlfn.RANK.EQ(CG67,CG$3:CG$10000,1)</f>
        <v>14</v>
      </c>
      <c r="CI67" s="98">
        <f>IFERROR(IF(_xlfn.XLOOKUP(B67,'w14'!$B:$B,'w14'!$G:$G)="--",0,_xlfn.XLOOKUP(B67,'w14'!$B:$B,'w14'!$G:$G)),0)</f>
        <v>117</v>
      </c>
      <c r="CJ67" s="98">
        <f>_xlfn.RANK.EQ(CI67,CI$3:CI$10000,0)</f>
        <v>47</v>
      </c>
      <c r="CK67" s="9">
        <f>_xlfn.RANK.EQ(D67,D$3:D$10000,1)</f>
        <v>65</v>
      </c>
      <c r="CL67" s="26" t="s">
        <v>185</v>
      </c>
      <c r="CM67" s="8">
        <f>SUM(E67,K67,Q67,W67,AC67,AI67,AO67,AU67,BA67,BG67,BM67,BS67,BY67,CE67)</f>
        <v>150.79999999999998</v>
      </c>
      <c r="CN67" s="9">
        <f>_xlfn.RANK.EQ(CM67,CM$3:CM$10000)</f>
        <v>65</v>
      </c>
      <c r="CO67" s="15">
        <f>IFERROR(SUM(PRODUCT(E67,G67),PRODUCT(K67,M67),PRODUCT(Q67,S67),PRODUCT(W67,Y67),PRODUCT(AC67,AE67),PRODUCT(AI67,AK67),PRODUCT(AO67,AQ67),PRODUCT(AU67,AW67),PRODUCT(BA67,BC67),PRODUCT(BG67,BI67),PRODUCT(BM67,BO67),PRODUCT(BS67,BU67),PRODUCT(BY67,CA67),PRODUCT(CE67,CG67))/CM67,1)</f>
        <v>0.25828590111995287</v>
      </c>
      <c r="CP67" s="9">
        <f>_xlfn.RANK.EQ(CO67,CO$3:CO$10000,1)</f>
        <v>26</v>
      </c>
      <c r="CQ67" s="9">
        <f>SUM(I67,O67,U67,AA67,AG67,AM67,AS67,AY67,BE67,BK67,BQ67,BW67,CC67,CI67)</f>
        <v>878</v>
      </c>
      <c r="CR67" s="9">
        <f>_xlfn.RANK.EQ(CQ67,CQ$3:CQ$10000)</f>
        <v>79</v>
      </c>
      <c r="CS67" s="23"/>
      <c r="CT67" s="25"/>
      <c r="CU67" s="24">
        <f>_xlfn.STDEV.S(F67,L67,R67,X67,AD67,AJ67,AP67,AV67,BB67,BH67,BN67,BT67,BZ67,CF67)</f>
        <v>18.670067717376622</v>
      </c>
      <c r="CV67" s="21">
        <f>_xlfn.RANK.EQ(CU67,CU$3:CU$10000,1)</f>
        <v>87</v>
      </c>
      <c r="CW67" s="24">
        <f>_xlfn.STDEV.S(H67,N67,T67,Z67,AF67,AL67,AR67,AX67,BD67,BJ67,BP67,BV67,CB67,CH67)</f>
        <v>29.112136361258056</v>
      </c>
      <c r="CX67" s="21">
        <f>_xlfn.RANK.EQ(CW67,CW$3:CW$10000,1)</f>
        <v>102</v>
      </c>
      <c r="CY67" s="24">
        <f>_xlfn.STDEV.S(J67,P67,V67,AB67,AH67,AN67,AT67,AZ67,BF67,BL67,BR67,BX67,CD67,CJ67)</f>
        <v>14.61746659549217</v>
      </c>
      <c r="CZ67" s="21">
        <f>_xlfn.RANK.EQ(CY67,CY$3:CY$10000,1)</f>
        <v>53</v>
      </c>
      <c r="DA67">
        <f>SUM(COUNTIF(E67,"&gt;0"),COUNTIF(K67,"&gt;0"),COUNTIF(Q67,"&gt;0"),COUNTIF(W67,"&gt;0"),COUNTIF(AC67,"&gt;0"),COUNTIF(AI67,"&gt;0"),COUNTIF(AO67,"&gt;0"),COUNTIF(AU67,"&gt;0"),COUNTIF(BA67,"&gt;0"),COUNTIF(BG67,"&gt;0"),COUNTIF(BM67,"&gt;0"),COUNTIF(BS67,"&gt;0"),COUNTIF(BY67,"&gt;0"),COUNTIF(CE67,"&gt;0"))</f>
        <v>9</v>
      </c>
    </row>
    <row r="68" spans="2:105" x14ac:dyDescent="0.3">
      <c r="B68" t="s">
        <v>172</v>
      </c>
      <c r="C68" s="18" t="s">
        <v>182</v>
      </c>
      <c r="D68" s="4">
        <f>CN68*$CN$1+CP68*$CP$1+CR68*$CR$1</f>
        <v>66.5</v>
      </c>
      <c r="E68" s="29">
        <f>IFERROR(_xlfn.XLOOKUP(B68,'w1'!$B:$B,'w1'!$C:$C),0)</f>
        <v>0</v>
      </c>
      <c r="F68" s="30">
        <f>_xlfn.RANK.EQ(E68,E$3:E$10000,0)</f>
        <v>79</v>
      </c>
      <c r="G68" s="31">
        <f>IFERROR(_xlfn.XLOOKUP(B68,'w1'!$B:$B,'w1'!$F:$F),1)</f>
        <v>1</v>
      </c>
      <c r="H68" s="30">
        <f>_xlfn.RANK.EQ(G68,G$3:G$10000,1)</f>
        <v>79</v>
      </c>
      <c r="I68" s="30">
        <f>IFERROR(IF(_xlfn.XLOOKUP(B68,'w1'!$B:$B,'w1'!$G:$G)="--",0,_xlfn.XLOOKUP(B68,'w1'!$B:$B,'w1'!$G:$G)),0)</f>
        <v>0</v>
      </c>
      <c r="J68" s="30">
        <f>_xlfn.RANK.EQ(I68,I$3:I$10000,0)</f>
        <v>77</v>
      </c>
      <c r="K68" s="34">
        <f>IFERROR(_xlfn.XLOOKUP(B68,'w2'!$B:$B,'w2'!$C:$C),0)</f>
        <v>20.5</v>
      </c>
      <c r="L68" s="35">
        <f>_xlfn.RANK.EQ(K68,K$3:K$10000,0)</f>
        <v>45</v>
      </c>
      <c r="M68" s="36">
        <f>IFERROR(_xlfn.XLOOKUP(B68,'w2'!$B:$B,'w2'!$F:$F),1)</f>
        <v>0.29305555555555557</v>
      </c>
      <c r="N68" s="35">
        <f>_xlfn.RANK.EQ(M68,M$3:M$10000,1)</f>
        <v>46</v>
      </c>
      <c r="O68" s="35">
        <f>IFERROR(IF(_xlfn.XLOOKUP(B68,'w2'!$B:$B,'w2'!$G:$G)="--",0,_xlfn.XLOOKUP(B68,'w2'!$B:$B,'w2'!$G:$G)),0)</f>
        <v>140</v>
      </c>
      <c r="P68" s="35">
        <f>_xlfn.RANK.EQ(O68,O$3:O$10000,0)</f>
        <v>50</v>
      </c>
      <c r="Q68" s="39">
        <f>IFERROR(_xlfn.XLOOKUP(B68,'w3'!$B:$B,'w3'!$C:$C),0)</f>
        <v>10.3</v>
      </c>
      <c r="R68" s="40">
        <f>_xlfn.RANK.EQ(Q68,Q$3:Q$10000,0)</f>
        <v>65</v>
      </c>
      <c r="S68" s="41">
        <f>IFERROR(_xlfn.XLOOKUP(B68,'w3'!$B:$B,'w3'!$F:$F),1)</f>
        <v>0.29375000000000001</v>
      </c>
      <c r="T68" s="40">
        <f>_xlfn.RANK.EQ(S68,S$3:S$10000,1)</f>
        <v>48</v>
      </c>
      <c r="U68" s="40">
        <f>IFERROR(IF(_xlfn.XLOOKUP(B68,'w3'!$B:$B,'w3'!$G:$G)="--",0,_xlfn.XLOOKUP(B68,'w3'!$B:$B,'w3'!$G:$G)),0)</f>
        <v>73</v>
      </c>
      <c r="V68" s="40">
        <f>_xlfn.RANK.EQ(U68,U$3:U$10000,0)</f>
        <v>66</v>
      </c>
      <c r="W68" s="44">
        <f>IFERROR(_xlfn.XLOOKUP(B68,'w4'!$B:$B,'w4'!$C:$C),0)</f>
        <v>15.5</v>
      </c>
      <c r="X68" s="45">
        <f>_xlfn.RANK.EQ(W68,W$3:W$10000,0)</f>
        <v>45</v>
      </c>
      <c r="Y68" s="46">
        <f>IFERROR(_xlfn.XLOOKUP(B68,'w4'!$B:$B,'w4'!$F:$F),1)</f>
        <v>0.32708333333333334</v>
      </c>
      <c r="Z68" s="45">
        <f>_xlfn.RANK.EQ(Y68,Y$3:Y$10000,1)</f>
        <v>57</v>
      </c>
      <c r="AA68" s="45">
        <f>IFERROR(IF(_xlfn.XLOOKUP(B68,'w4'!$B:$B,'w4'!$G:$G)="--",0,_xlfn.XLOOKUP(B68,'w4'!$B:$B,'w4'!$G:$G)),0)</f>
        <v>526</v>
      </c>
      <c r="AB68" s="45">
        <f>_xlfn.RANK.EQ(AA68,AA$3:AA$10000,0)</f>
        <v>15</v>
      </c>
      <c r="AC68" s="13">
        <f>IFERROR(_xlfn.XLOOKUP(B68,'w5'!$B:$B,'w5'!$C:$C),0)</f>
        <v>32.5</v>
      </c>
      <c r="AD68" s="12">
        <f>_xlfn.RANK.EQ(AC68,AC$3:AC$10000,0)</f>
        <v>31</v>
      </c>
      <c r="AE68" s="14">
        <f>IFERROR(_xlfn.XLOOKUP(B68,'w5'!$B:$B,'w5'!$F:$F),1)</f>
        <v>0.375</v>
      </c>
      <c r="AF68" s="12">
        <f>_xlfn.RANK.EQ(AE68,AE$3:AE$10000,1)</f>
        <v>61</v>
      </c>
      <c r="AG68" s="12">
        <f>IFERROR(IF(_xlfn.XLOOKUP(B68,'w5'!$B:$B,'w5'!$G:$G)="--",0,_xlfn.XLOOKUP(B68,'w5'!$B:$B,'w5'!$G:$G)),0)</f>
        <v>1360</v>
      </c>
      <c r="AH68" s="12">
        <f>_xlfn.RANK.EQ(AG68,AG$3:AG$10000,0)</f>
        <v>9</v>
      </c>
      <c r="AI68" s="51">
        <f>IFERROR(_xlfn.XLOOKUP(B68,'w6'!$B:$B,'w6'!$C:$C),0)</f>
        <v>28.1</v>
      </c>
      <c r="AJ68" s="50">
        <f>_xlfn.RANK.EQ(AI68,AI$3:AI$10000,0)</f>
        <v>20</v>
      </c>
      <c r="AK68" s="52">
        <f>IFERROR(_xlfn.XLOOKUP(B68,'w6'!$B:$B,'w6'!$F:$F),1)</f>
        <v>0.3263888888888889</v>
      </c>
      <c r="AL68" s="50">
        <f>_xlfn.RANK.EQ(AK68,AK$3:AK$10000,1)</f>
        <v>45</v>
      </c>
      <c r="AM68" s="50">
        <f>IFERROR(IF(_xlfn.XLOOKUP(B68,'w6'!$B:$B,'w6'!$G:$G)="--",0,_xlfn.XLOOKUP(B68,'w6'!$B:$B,'w6'!$G:$G)),0)</f>
        <v>792</v>
      </c>
      <c r="AN68" s="50">
        <f>_xlfn.RANK.EQ(AM68,AM$3:AM$10000,0)</f>
        <v>12</v>
      </c>
      <c r="AO68" s="56">
        <f>IFERROR(_xlfn.XLOOKUP(B68,'w7'!$B:$B,'w7'!$C:$C),0)</f>
        <v>26.3</v>
      </c>
      <c r="AP68" s="57">
        <f>_xlfn.RANK.EQ(AO68,AO$3:AO$10000,0)</f>
        <v>31</v>
      </c>
      <c r="AQ68" s="58">
        <f>IFERROR(_xlfn.XLOOKUP(B68,'w7'!$B:$B,'w7'!$F:$F),1)</f>
        <v>0.34861111111111109</v>
      </c>
      <c r="AR68" s="57">
        <f>_xlfn.RANK.EQ(AQ68,AQ$3:AQ$10000,1)</f>
        <v>52</v>
      </c>
      <c r="AS68" s="57">
        <f>IFERROR(IF(_xlfn.XLOOKUP(B68,'w7'!$B:$B,'w7'!$G:$G)="--",0,_xlfn.XLOOKUP(B68,'w7'!$B:$B,'w7'!$G:$G)),0)</f>
        <v>639</v>
      </c>
      <c r="AT68" s="57">
        <f>_xlfn.RANK.EQ(AS68,AS$3:AS$10000,0)</f>
        <v>19</v>
      </c>
      <c r="AU68" s="62">
        <f>IFERROR(_xlfn.XLOOKUP(B68,'w8'!$B:$B,'w8'!$C:$C),0)</f>
        <v>0</v>
      </c>
      <c r="AV68" s="61">
        <f>_xlfn.RANK.EQ(AU68,AU$3:AU$10000,0)</f>
        <v>73</v>
      </c>
      <c r="AW68" s="63">
        <f>IFERROR(_xlfn.XLOOKUP(B68,'w8'!$B:$B,'w8'!$F:$F),1)</f>
        <v>1</v>
      </c>
      <c r="AX68" s="61">
        <f>_xlfn.RANK.EQ(AW68,AW$3:AW$10000,1)</f>
        <v>73</v>
      </c>
      <c r="AY68" s="61">
        <f>IFERROR(IF(_xlfn.XLOOKUP(B68,'w8'!$B:$B,'w8'!$G:$G)="--",0,_xlfn.XLOOKUP(B68,'w8'!$B:$B,'w8'!$G:$G)),0)</f>
        <v>0</v>
      </c>
      <c r="AZ68" s="61">
        <f>_xlfn.RANK.EQ(AY68,AY$3:AY$10000,0)</f>
        <v>70</v>
      </c>
      <c r="BA68" s="66">
        <f>IFERROR(_xlfn.XLOOKUP(C68,'w9'!$B:$B,'w9'!$C:$C),0)</f>
        <v>0</v>
      </c>
      <c r="BB68" s="67">
        <f>_xlfn.RANK.EQ(BA68,BA$3:BA$10000,0)</f>
        <v>75</v>
      </c>
      <c r="BC68" s="68">
        <f>IFERROR(_xlfn.XLOOKUP(C68,'w9'!$B:$B,'w9'!$F:$F),1)</f>
        <v>1</v>
      </c>
      <c r="BD68" s="67">
        <f>_xlfn.RANK.EQ(BC68,BC$3:BC$10000,1)</f>
        <v>75</v>
      </c>
      <c r="BE68" s="67">
        <f>IFERROR(IF(_xlfn.XLOOKUP(C68,'w9'!$B:$B,'w9'!$G:$G)="--",0,_xlfn.XLOOKUP(C68,'w9'!$B:$B,'w9'!$G:$G)),0)</f>
        <v>0</v>
      </c>
      <c r="BF68" s="67">
        <f>_xlfn.RANK.EQ(BE68,BE$3:BE$10000,0)</f>
        <v>74</v>
      </c>
      <c r="BG68" s="72">
        <f>IFERROR(_xlfn.XLOOKUP(B68,'w10'!$B:$B,'w10'!$C:$C),0)</f>
        <v>0</v>
      </c>
      <c r="BH68" s="74">
        <f>_xlfn.RANK.EQ(BG68,BG$3:BG$10000,0)</f>
        <v>77</v>
      </c>
      <c r="BI68" s="75">
        <f>IFERROR(_xlfn.XLOOKUP(B68,'w10'!$B:$B,'w10'!$F:$F),1)</f>
        <v>1</v>
      </c>
      <c r="BJ68" s="74">
        <f>_xlfn.RANK.EQ(BI68,BI$3:BI$10000,1)</f>
        <v>76</v>
      </c>
      <c r="BK68" s="74">
        <f>IFERROR(IF(_xlfn.XLOOKUP(B68,'w10'!$B:$B,'w10'!$G:$G)="--",0,_xlfn.XLOOKUP(B68,'w10'!$B:$B,'w10'!$G:$G)),0)</f>
        <v>0</v>
      </c>
      <c r="BL68" s="74">
        <f>_xlfn.RANK.EQ(BK68,BK$3:BK$10000,0)</f>
        <v>76</v>
      </c>
      <c r="BM68" s="78">
        <f>IFERROR(_xlfn.XLOOKUP(B68,'w11'!$B:$B,'w11'!$C:$C),0)</f>
        <v>0</v>
      </c>
      <c r="BN68" s="80">
        <f>_xlfn.RANK.EQ(BM68,BM$3:BM$10000,0)</f>
        <v>76</v>
      </c>
      <c r="BO68" s="81">
        <f>IFERROR(_xlfn.XLOOKUP(B68,'w11'!$B:$B,'w11'!$F:$F),1)</f>
        <v>1</v>
      </c>
      <c r="BP68" s="80">
        <f>_xlfn.RANK.EQ(BO68,BO$3:BO$10000,1)</f>
        <v>76</v>
      </c>
      <c r="BQ68" s="80">
        <f>IFERROR(IF(_xlfn.XLOOKUP(B68,'w11'!$B:$B,'w11'!$G:$G)="--",0,_xlfn.XLOOKUP(B68,'w11'!$B:$B,'w11'!$G:$G)),0)</f>
        <v>0</v>
      </c>
      <c r="BR68" s="80">
        <f>_xlfn.RANK.EQ(BQ68,BQ$3:BQ$10000,0)</f>
        <v>75</v>
      </c>
      <c r="BS68" s="83">
        <f>IFERROR(_xlfn.XLOOKUP(B68,'w12'!$B:$B,'w12'!$C:$C),0)</f>
        <v>0</v>
      </c>
      <c r="BT68" s="86">
        <f>_xlfn.RANK.EQ(BS68,BS$3:BS$10000,0)</f>
        <v>76</v>
      </c>
      <c r="BU68" s="87">
        <f>IFERROR(_xlfn.XLOOKUP(B68,'w12'!$B:$B,'w12'!$F:$F),1)</f>
        <v>1</v>
      </c>
      <c r="BV68" s="86">
        <f>_xlfn.RANK.EQ(BU68,BU$3:BU$10000,1)</f>
        <v>76</v>
      </c>
      <c r="BW68" s="86">
        <f>IFERROR(IF(_xlfn.XLOOKUP(B68,'w12'!$B:$B,'w12'!$G:$G)="--",0,_xlfn.XLOOKUP(B68,'w12'!$B:$B,'w12'!$G:$G)),0)</f>
        <v>0</v>
      </c>
      <c r="BX68" s="86">
        <f>_xlfn.RANK.EQ(BW68,BW$3:BW$10000,0)</f>
        <v>73</v>
      </c>
      <c r="BY68" s="89">
        <f>IFERROR(_xlfn.XLOOKUP(B68,'w13'!$B:$B,'w13'!$C:$C),0)</f>
        <v>0</v>
      </c>
      <c r="BZ68" s="92">
        <f>_xlfn.RANK.EQ(BY68,BY$3:BY$10000,0)</f>
        <v>76</v>
      </c>
      <c r="CA68" s="93">
        <f>IFERROR(_xlfn.XLOOKUP(B68,'w13'!$B:$B,'w13'!$F:$F),1)</f>
        <v>1</v>
      </c>
      <c r="CB68" s="92">
        <f>_xlfn.RANK.EQ(CA68,CA$3:CA$10000,1)</f>
        <v>76</v>
      </c>
      <c r="CC68" s="92">
        <f>IFERROR(IF(_xlfn.XLOOKUP(B68,'w13'!$B:$B,'w13'!$G:$G)="--",0,_xlfn.XLOOKUP(B68,'w13'!$B:$B,'w13'!$G:$G)),0)</f>
        <v>0</v>
      </c>
      <c r="CD68" s="92">
        <f>_xlfn.RANK.EQ(CC68,CC$3:CC$10000,0)</f>
        <v>76</v>
      </c>
      <c r="CE68" s="95">
        <f>IFERROR(_xlfn.XLOOKUP(B68,'w14'!$B:$B,'w14'!$C:$C),0)</f>
        <v>0</v>
      </c>
      <c r="CF68" s="98">
        <f>_xlfn.RANK.EQ(CE68,CE$3:CE$10000,0)</f>
        <v>69</v>
      </c>
      <c r="CG68" s="99">
        <f>IFERROR(_xlfn.XLOOKUP(B68,'w14'!$B:$B,'w14'!$F:$F),1)</f>
        <v>1</v>
      </c>
      <c r="CH68" s="98">
        <f>_xlfn.RANK.EQ(CG68,CG$3:CG$10000,1)</f>
        <v>69</v>
      </c>
      <c r="CI68" s="98">
        <f>IFERROR(IF(_xlfn.XLOOKUP(B68,'w14'!$B:$B,'w14'!$G:$G)="--",0,_xlfn.XLOOKUP(B68,'w14'!$B:$B,'w14'!$G:$G)),0)</f>
        <v>0</v>
      </c>
      <c r="CJ68" s="98">
        <f>_xlfn.RANK.EQ(CI68,CI$3:CI$10000,0)</f>
        <v>69</v>
      </c>
      <c r="CK68" s="9">
        <f>_xlfn.RANK.EQ(D68,D$3:D$10000,1)</f>
        <v>66</v>
      </c>
      <c r="CL68" s="26" t="s">
        <v>182</v>
      </c>
      <c r="CM68" s="8">
        <f>SUM(E68,K68,Q68,W68,AC68,AI68,AO68,AU68,BA68,BG68,BM68,BS68,BY68,CE68)</f>
        <v>133.20000000000002</v>
      </c>
      <c r="CN68" s="9">
        <f>_xlfn.RANK.EQ(CM68,CM$3:CM$10000)</f>
        <v>67</v>
      </c>
      <c r="CO68" s="15">
        <f>IFERROR(SUM(PRODUCT(E68,G68),PRODUCT(K68,M68),PRODUCT(Q68,S68),PRODUCT(W68,Y68),PRODUCT(AC68,AE68),PRODUCT(AI68,AK68),PRODUCT(AO68,AQ68),PRODUCT(AU68,AW68),PRODUCT(BA68,BC68),PRODUCT(BG68,BI68),PRODUCT(BM68,BO68),PRODUCT(BS68,BU68),PRODUCT(BY68,CA68),PRODUCT(CE68,CG68))/CM68,1)</f>
        <v>0.33506423089756421</v>
      </c>
      <c r="CP68" s="9">
        <f>_xlfn.RANK.EQ(CO68,CO$3:CO$10000,1)</f>
        <v>77</v>
      </c>
      <c r="CQ68" s="9">
        <f>SUM(I68,O68,U68,AA68,AG68,AM68,AS68,AY68,BE68,BK68,BQ68,BW68,CC68,CI68)</f>
        <v>3530</v>
      </c>
      <c r="CR68" s="9">
        <f>_xlfn.RANK.EQ(CQ68,CQ$3:CQ$10000)</f>
        <v>37</v>
      </c>
      <c r="CS68" s="23"/>
      <c r="CT68" s="25"/>
      <c r="CU68" s="24">
        <f>_xlfn.STDEV.S(F68,L68,R68,X68,AD68,AJ68,AP68,AV68,BB68,BH68,BN68,BT68,BZ68,CF68)</f>
        <v>20.846904004993316</v>
      </c>
      <c r="CV68" s="21">
        <f>_xlfn.RANK.EQ(CU68,CU$3:CU$10000,1)</f>
        <v>91</v>
      </c>
      <c r="CW68" s="24">
        <f>_xlfn.STDEV.S(H68,N68,T68,Z68,AF68,AL68,AR68,AX68,BD68,BJ68,BP68,BV68,CB68,CH68)</f>
        <v>12.88687039476337</v>
      </c>
      <c r="CX68" s="21">
        <f>_xlfn.RANK.EQ(CW68,CW$3:CW$10000,1)</f>
        <v>43</v>
      </c>
      <c r="CY68" s="24">
        <f>_xlfn.STDEV.S(J68,P68,V68,AB68,AH68,AN68,AT68,AZ68,BF68,BL68,BR68,BX68,CD68,CJ68)</f>
        <v>27.558628811644851</v>
      </c>
      <c r="CZ68" s="21">
        <f>_xlfn.RANK.EQ(CY68,CY$3:CY$10000,1)</f>
        <v>104</v>
      </c>
      <c r="DA68">
        <f>SUM(COUNTIF(E68,"&gt;0"),COUNTIF(K68,"&gt;0"),COUNTIF(Q68,"&gt;0"),COUNTIF(W68,"&gt;0"),COUNTIF(AC68,"&gt;0"),COUNTIF(AI68,"&gt;0"),COUNTIF(AO68,"&gt;0"),COUNTIF(AU68,"&gt;0"),COUNTIF(BA68,"&gt;0"),COUNTIF(BG68,"&gt;0"),COUNTIF(BM68,"&gt;0"),COUNTIF(BS68,"&gt;0"),COUNTIF(BY68,"&gt;0"),COUNTIF(CE68,"&gt;0"))</f>
        <v>6</v>
      </c>
    </row>
    <row r="69" spans="2:105" x14ac:dyDescent="0.3">
      <c r="B69" t="s">
        <v>430</v>
      </c>
      <c r="C69" s="18" t="s">
        <v>449</v>
      </c>
      <c r="D69" s="4">
        <f>CN69*$CN$1+CP69*$CP$1+CR69*$CR$1</f>
        <v>66.625</v>
      </c>
      <c r="E69" s="29">
        <f>IFERROR(_xlfn.XLOOKUP(B69,'w1'!$B:$B,'w1'!$C:$C),0)</f>
        <v>0</v>
      </c>
      <c r="F69" s="30">
        <f>_xlfn.RANK.EQ(E69,E$3:E$10000,0)</f>
        <v>79</v>
      </c>
      <c r="G69" s="31">
        <f>IFERROR(_xlfn.XLOOKUP(B69,'w1'!$B:$B,'w1'!$F:$F),1)</f>
        <v>1</v>
      </c>
      <c r="H69" s="30">
        <f>_xlfn.RANK.EQ(G69,G$3:G$10000,1)</f>
        <v>79</v>
      </c>
      <c r="I69" s="30">
        <f>IFERROR(IF(_xlfn.XLOOKUP(B69,'w1'!$B:$B,'w1'!$G:$G)="--",0,_xlfn.XLOOKUP(B69,'w1'!$B:$B,'w1'!$G:$G)),0)</f>
        <v>0</v>
      </c>
      <c r="J69" s="30">
        <f>_xlfn.RANK.EQ(I69,I$3:I$10000,0)</f>
        <v>77</v>
      </c>
      <c r="K69" s="34">
        <f>IFERROR(_xlfn.XLOOKUP(B69,'w2'!$B:$B,'w2'!$C:$C),0)</f>
        <v>0</v>
      </c>
      <c r="L69" s="35">
        <f>_xlfn.RANK.EQ(K69,K$3:K$10000,0)</f>
        <v>73</v>
      </c>
      <c r="M69" s="36">
        <f>IFERROR(_xlfn.XLOOKUP(B69,'w2'!$B:$B,'w2'!$F:$F),1)</f>
        <v>1</v>
      </c>
      <c r="N69" s="35">
        <f>_xlfn.RANK.EQ(M69,M$3:M$10000,1)</f>
        <v>72</v>
      </c>
      <c r="O69" s="35">
        <f>IFERROR(IF(_xlfn.XLOOKUP(B69,'w2'!$B:$B,'w2'!$G:$G)="--",0,_xlfn.XLOOKUP(B69,'w2'!$B:$B,'w2'!$G:$G)),0)</f>
        <v>0</v>
      </c>
      <c r="P69" s="35">
        <f>_xlfn.RANK.EQ(O69,O$3:O$10000,0)</f>
        <v>71</v>
      </c>
      <c r="Q69" s="39">
        <f>IFERROR(_xlfn.XLOOKUP(B69,'w3'!$B:$B,'w3'!$C:$C),0)</f>
        <v>0</v>
      </c>
      <c r="R69" s="40">
        <f>_xlfn.RANK.EQ(Q69,Q$3:Q$10000,0)</f>
        <v>84</v>
      </c>
      <c r="S69" s="41">
        <f>IFERROR(_xlfn.XLOOKUP(B69,'w3'!$B:$B,'w3'!$F:$F),1)</f>
        <v>1</v>
      </c>
      <c r="T69" s="40">
        <f>_xlfn.RANK.EQ(S69,S$3:S$10000,1)</f>
        <v>83</v>
      </c>
      <c r="U69" s="40">
        <f>IFERROR(IF(_xlfn.XLOOKUP(B69,'w3'!$B:$B,'w3'!$G:$G)="--",0,_xlfn.XLOOKUP(B69,'w3'!$B:$B,'w3'!$G:$G)),0)</f>
        <v>0</v>
      </c>
      <c r="V69" s="40">
        <f>_xlfn.RANK.EQ(U69,U$3:U$10000,0)</f>
        <v>80</v>
      </c>
      <c r="W69" s="44">
        <f>IFERROR(_xlfn.XLOOKUP(B69,'w4'!$B:$B,'w4'!$C:$C),0)</f>
        <v>0</v>
      </c>
      <c r="X69" s="45">
        <f>_xlfn.RANK.EQ(W69,W$3:W$10000,0)</f>
        <v>76</v>
      </c>
      <c r="Y69" s="46">
        <f>IFERROR(_xlfn.XLOOKUP(B69,'w4'!$B:$B,'w4'!$F:$F),1)</f>
        <v>1</v>
      </c>
      <c r="Z69" s="45">
        <f>_xlfn.RANK.EQ(Y69,Y$3:Y$10000,1)</f>
        <v>76</v>
      </c>
      <c r="AA69" s="45">
        <f>IFERROR(IF(_xlfn.XLOOKUP(B69,'w4'!$B:$B,'w4'!$G:$G)="--",0,_xlfn.XLOOKUP(B69,'w4'!$B:$B,'w4'!$G:$G)),0)</f>
        <v>0</v>
      </c>
      <c r="AB69" s="45">
        <f>_xlfn.RANK.EQ(AA69,AA$3:AA$10000,0)</f>
        <v>68</v>
      </c>
      <c r="AC69" s="13">
        <f>IFERROR(_xlfn.XLOOKUP(B69,'w5'!$B:$B,'w5'!$C:$C),0)</f>
        <v>0</v>
      </c>
      <c r="AD69" s="12">
        <f>_xlfn.RANK.EQ(AC69,AC$3:AC$10000,0)</f>
        <v>77</v>
      </c>
      <c r="AE69" s="14">
        <f>IFERROR(_xlfn.XLOOKUP(B69,'w5'!$B:$B,'w5'!$F:$F),1)</f>
        <v>1</v>
      </c>
      <c r="AF69" s="12">
        <f>_xlfn.RANK.EQ(AE69,AE$3:AE$10000,1)</f>
        <v>76</v>
      </c>
      <c r="AG69" s="12">
        <f>IFERROR(IF(_xlfn.XLOOKUP(B69,'w5'!$B:$B,'w5'!$G:$G)="--",0,_xlfn.XLOOKUP(B69,'w5'!$B:$B,'w5'!$G:$G)),0)</f>
        <v>0</v>
      </c>
      <c r="AH69" s="12">
        <f>_xlfn.RANK.EQ(AG69,AG$3:AG$10000,0)</f>
        <v>73</v>
      </c>
      <c r="AI69" s="51">
        <f>IFERROR(_xlfn.XLOOKUP(B69,'w6'!$B:$B,'w6'!$C:$C),0)</f>
        <v>0</v>
      </c>
      <c r="AJ69" s="50">
        <f>_xlfn.RANK.EQ(AI69,AI$3:AI$10000,0)</f>
        <v>65</v>
      </c>
      <c r="AK69" s="52">
        <f>IFERROR(_xlfn.XLOOKUP(B69,'w6'!$B:$B,'w6'!$F:$F),1)</f>
        <v>1</v>
      </c>
      <c r="AL69" s="50">
        <f>_xlfn.RANK.EQ(AK69,AK$3:AK$10000,1)</f>
        <v>65</v>
      </c>
      <c r="AM69" s="50">
        <f>IFERROR(IF(_xlfn.XLOOKUP(B69,'w6'!$B:$B,'w6'!$G:$G)="--",0,_xlfn.XLOOKUP(B69,'w6'!$B:$B,'w6'!$G:$G)),0)</f>
        <v>0</v>
      </c>
      <c r="AN69" s="50">
        <f>_xlfn.RANK.EQ(AM69,AM$3:AM$10000,0)</f>
        <v>61</v>
      </c>
      <c r="AO69" s="56">
        <f>IFERROR(_xlfn.XLOOKUP(B69,'w7'!$B:$B,'w7'!$C:$C),0)</f>
        <v>5.6</v>
      </c>
      <c r="AP69" s="57">
        <f>_xlfn.RANK.EQ(AO69,AO$3:AO$10000,0)</f>
        <v>66</v>
      </c>
      <c r="AQ69" s="58">
        <f>IFERROR(_xlfn.XLOOKUP(B69,'w7'!$B:$B,'w7'!$F:$F),1)</f>
        <v>0.43055555555555558</v>
      </c>
      <c r="AR69" s="57">
        <f>_xlfn.RANK.EQ(AQ69,AQ$3:AQ$10000,1)</f>
        <v>65</v>
      </c>
      <c r="AS69" s="57">
        <f>IFERROR(IF(_xlfn.XLOOKUP(B69,'w7'!$B:$B,'w7'!$G:$G)="--",0,_xlfn.XLOOKUP(B69,'w7'!$B:$B,'w7'!$G:$G)),0)</f>
        <v>118</v>
      </c>
      <c r="AT69" s="57">
        <f>_xlfn.RANK.EQ(AS69,AS$3:AS$10000,0)</f>
        <v>48</v>
      </c>
      <c r="AU69" s="62">
        <f>IFERROR(_xlfn.XLOOKUP(B69,'w8'!$B:$B,'w8'!$C:$C),0)</f>
        <v>17.5</v>
      </c>
      <c r="AV69" s="61">
        <f>_xlfn.RANK.EQ(AU69,AU$3:AU$10000,0)</f>
        <v>52</v>
      </c>
      <c r="AW69" s="63">
        <f>IFERROR(_xlfn.XLOOKUP(B69,'w8'!$B:$B,'w8'!$F:$F),1)</f>
        <v>0.4597222222222222</v>
      </c>
      <c r="AX69" s="61">
        <f>_xlfn.RANK.EQ(AW69,AW$3:AW$10000,1)</f>
        <v>69</v>
      </c>
      <c r="AY69" s="61">
        <f>IFERROR(IF(_xlfn.XLOOKUP(B69,'w8'!$B:$B,'w8'!$G:$G)="--",0,_xlfn.XLOOKUP(B69,'w8'!$B:$B,'w8'!$G:$G)),0)</f>
        <v>167</v>
      </c>
      <c r="AZ69" s="61">
        <f>_xlfn.RANK.EQ(AY69,AY$3:AY$10000,0)</f>
        <v>43</v>
      </c>
      <c r="BA69" s="66">
        <f>IFERROR(_xlfn.XLOOKUP(C69,'w9'!$B:$B,'w9'!$C:$C),0)</f>
        <v>30.4</v>
      </c>
      <c r="BB69" s="67">
        <f>_xlfn.RANK.EQ(BA69,BA$3:BA$10000,0)</f>
        <v>35</v>
      </c>
      <c r="BC69" s="68">
        <f>IFERROR(_xlfn.XLOOKUP(C69,'w9'!$B:$B,'w9'!$F:$F),1)</f>
        <v>0.48125000000000001</v>
      </c>
      <c r="BD69" s="67">
        <f>_xlfn.RANK.EQ(BC69,BC$3:BC$10000,1)</f>
        <v>72</v>
      </c>
      <c r="BE69" s="67">
        <f>IFERROR(IF(_xlfn.XLOOKUP(C69,'w9'!$B:$B,'w9'!$G:$G)="--",0,_xlfn.XLOOKUP(C69,'w9'!$B:$B,'w9'!$G:$G)),0)</f>
        <v>538</v>
      </c>
      <c r="BF69" s="67">
        <f>_xlfn.RANK.EQ(BE69,BE$3:BE$10000,0)</f>
        <v>23</v>
      </c>
      <c r="BG69" s="72">
        <f>IFERROR(_xlfn.XLOOKUP(B69,'w10'!$B:$B,'w10'!$C:$C),0)</f>
        <v>15.5</v>
      </c>
      <c r="BH69" s="74">
        <f>_xlfn.RANK.EQ(BG69,BG$3:BG$10000,0)</f>
        <v>51</v>
      </c>
      <c r="BI69" s="75">
        <f>IFERROR(_xlfn.XLOOKUP(B69,'w10'!$B:$B,'w10'!$F:$F),1)</f>
        <v>0.37291666666666667</v>
      </c>
      <c r="BJ69" s="74">
        <f>_xlfn.RANK.EQ(BI69,BI$3:BI$10000,1)</f>
        <v>71</v>
      </c>
      <c r="BK69" s="74">
        <f>IFERROR(IF(_xlfn.XLOOKUP(B69,'w10'!$B:$B,'w10'!$G:$G)="--",0,_xlfn.XLOOKUP(B69,'w10'!$B:$B,'w10'!$G:$G)),0)</f>
        <v>141</v>
      </c>
      <c r="BL69" s="74">
        <f>_xlfn.RANK.EQ(BK69,BK$3:BK$10000,0)</f>
        <v>44</v>
      </c>
      <c r="BM69" s="78">
        <f>IFERROR(_xlfn.XLOOKUP(B69,'w11'!$B:$B,'w11'!$C:$C),0)</f>
        <v>15.1</v>
      </c>
      <c r="BN69" s="80">
        <f>_xlfn.RANK.EQ(BM69,BM$3:BM$10000,0)</f>
        <v>52</v>
      </c>
      <c r="BO69" s="81">
        <f>IFERROR(_xlfn.XLOOKUP(B69,'w11'!$B:$B,'w11'!$F:$F),1)</f>
        <v>0.35138888888888886</v>
      </c>
      <c r="BP69" s="80">
        <f>_xlfn.RANK.EQ(BO69,BO$3:BO$10000,1)</f>
        <v>65</v>
      </c>
      <c r="BQ69" s="80">
        <f>IFERROR(IF(_xlfn.XLOOKUP(B69,'w11'!$B:$B,'w11'!$G:$G)="--",0,_xlfn.XLOOKUP(B69,'w11'!$B:$B,'w11'!$G:$G)),0)</f>
        <v>165</v>
      </c>
      <c r="BR69" s="80">
        <f>_xlfn.RANK.EQ(BQ69,BQ$3:BQ$10000,0)</f>
        <v>43</v>
      </c>
      <c r="BS69" s="83">
        <f>IFERROR(_xlfn.XLOOKUP(B69,'w12'!$B:$B,'w12'!$C:$C),0)</f>
        <v>18.600000000000001</v>
      </c>
      <c r="BT69" s="86">
        <f>_xlfn.RANK.EQ(BS69,BS$3:BS$10000,0)</f>
        <v>39</v>
      </c>
      <c r="BU69" s="87">
        <f>IFERROR(_xlfn.XLOOKUP(B69,'w12'!$B:$B,'w12'!$F:$F),1)</f>
        <v>0.33263888888888887</v>
      </c>
      <c r="BV69" s="86">
        <f>_xlfn.RANK.EQ(BU69,BU$3:BU$10000,1)</f>
        <v>62</v>
      </c>
      <c r="BW69" s="86">
        <f>IFERROR(IF(_xlfn.XLOOKUP(B69,'w12'!$B:$B,'w12'!$G:$G)="--",0,_xlfn.XLOOKUP(B69,'w12'!$B:$B,'w12'!$G:$G)),0)</f>
        <v>145</v>
      </c>
      <c r="BX69" s="86">
        <f>_xlfn.RANK.EQ(BW69,BW$3:BW$10000,0)</f>
        <v>48</v>
      </c>
      <c r="BY69" s="89">
        <f>IFERROR(_xlfn.XLOOKUP(B69,'w13'!$B:$B,'w13'!$C:$C),0)</f>
        <v>15.4</v>
      </c>
      <c r="BZ69" s="92">
        <f>_xlfn.RANK.EQ(BY69,BY$3:BY$10000,0)</f>
        <v>54</v>
      </c>
      <c r="CA69" s="93">
        <f>IFERROR(_xlfn.XLOOKUP(B69,'w13'!$B:$B,'w13'!$F:$F),1)</f>
        <v>0.42986111111111114</v>
      </c>
      <c r="CB69" s="92">
        <f>_xlfn.RANK.EQ(CA69,CA$3:CA$10000,1)</f>
        <v>70</v>
      </c>
      <c r="CC69" s="92">
        <f>IFERROR(IF(_xlfn.XLOOKUP(B69,'w13'!$B:$B,'w13'!$G:$G)="--",0,_xlfn.XLOOKUP(B69,'w13'!$B:$B,'w13'!$G:$G)),0)</f>
        <v>402</v>
      </c>
      <c r="CD69" s="92">
        <f>_xlfn.RANK.EQ(CC69,CC$3:CC$10000,0)</f>
        <v>21</v>
      </c>
      <c r="CE69" s="95">
        <f>IFERROR(_xlfn.XLOOKUP(B69,'w14'!$B:$B,'w14'!$C:$C),0)</f>
        <v>27</v>
      </c>
      <c r="CF69" s="98">
        <f>_xlfn.RANK.EQ(CE69,CE$3:CE$10000,0)</f>
        <v>35</v>
      </c>
      <c r="CG69" s="99">
        <f>IFERROR(_xlfn.XLOOKUP(B69,'w14'!$B:$B,'w14'!$F:$F),1)</f>
        <v>0.4152777777777778</v>
      </c>
      <c r="CH69" s="98">
        <f>_xlfn.RANK.EQ(CG69,CG$3:CG$10000,1)</f>
        <v>63</v>
      </c>
      <c r="CI69" s="98">
        <f>IFERROR(IF(_xlfn.XLOOKUP(B69,'w14'!$B:$B,'w14'!$G:$G)="--",0,_xlfn.XLOOKUP(B69,'w14'!$B:$B,'w14'!$G:$G)),0)</f>
        <v>122</v>
      </c>
      <c r="CJ69" s="98">
        <f>_xlfn.RANK.EQ(CI69,CI$3:CI$10000,0)</f>
        <v>44</v>
      </c>
      <c r="CK69" s="9">
        <f>_xlfn.RANK.EQ(D69,D$3:D$10000,1)</f>
        <v>67</v>
      </c>
      <c r="CL69" s="7" t="s">
        <v>449</v>
      </c>
      <c r="CM69" s="8">
        <f>SUM(E69,K69,Q69,W69,AC69,AI69,AO69,AU69,BA69,BG69,BM69,BS69,BY69,CE69)</f>
        <v>145.1</v>
      </c>
      <c r="CN69" s="9">
        <f>_xlfn.RANK.EQ(CM69,CM$3:CM$10000)</f>
        <v>66</v>
      </c>
      <c r="CO69" s="15">
        <f>IFERROR(SUM(PRODUCT(E69,G69),PRODUCT(K69,M69),PRODUCT(Q69,S69),PRODUCT(W69,Y69),PRODUCT(AC69,AE69),PRODUCT(AI69,AK69),PRODUCT(AO69,AQ69),PRODUCT(AU69,AW69),PRODUCT(BA69,BC69),PRODUCT(BG69,BI69),PRODUCT(BM69,BO69),PRODUCT(BS69,BU69),PRODUCT(BY69,CA69),PRODUCT(CE69,CG69))/CM69,1)</f>
        <v>0.41483028945554795</v>
      </c>
      <c r="CP69" s="9">
        <f>_xlfn.RANK.EQ(CO69,CO$3:CO$10000,1)</f>
        <v>97</v>
      </c>
      <c r="CQ69" s="9">
        <f>SUM(I69,O69,U69,AA69,AG69,AM69,AS69,AY69,BE69,BK69,BQ69,BW69,CC69,CI69)</f>
        <v>1798</v>
      </c>
      <c r="CR69" s="9">
        <f>_xlfn.RANK.EQ(CQ69,CQ$3:CQ$10000)</f>
        <v>60</v>
      </c>
      <c r="CS69" s="23"/>
      <c r="CT69" s="25"/>
      <c r="CU69" s="24">
        <f>_xlfn.STDEV.S(F69,L69,R69,X69,AD69,AJ69,AP69,AV69,BB69,BH69,BN69,BT69,BZ69,CF69)</f>
        <v>16.750922559471356</v>
      </c>
      <c r="CV69" s="21">
        <f>_xlfn.RANK.EQ(CU69,CU$3:CU$10000,1)</f>
        <v>69</v>
      </c>
      <c r="CW69" s="24">
        <f>_xlfn.STDEV.S(H69,N69,T69,Z69,AF69,AL69,AR69,AX69,BD69,BJ69,BP69,BV69,CB69,CH69)</f>
        <v>6.2966937076811709</v>
      </c>
      <c r="CX69" s="21">
        <f>_xlfn.RANK.EQ(CW69,CW$3:CW$10000,1)</f>
        <v>10</v>
      </c>
      <c r="CY69" s="24">
        <f>_xlfn.STDEV.S(J69,P69,V69,AB69,AH69,AN69,AT69,AZ69,BF69,BL69,BR69,BX69,CD69,CJ69)</f>
        <v>18.920307132232864</v>
      </c>
      <c r="CZ69" s="21">
        <f>_xlfn.RANK.EQ(CY69,CY$3:CY$10000,1)</f>
        <v>79</v>
      </c>
      <c r="DA69">
        <f>SUM(COUNTIF(E69,"&gt;0"),COUNTIF(K69,"&gt;0"),COUNTIF(Q69,"&gt;0"),COUNTIF(W69,"&gt;0"),COUNTIF(AC69,"&gt;0"),COUNTIF(AI69,"&gt;0"),COUNTIF(AO69,"&gt;0"),COUNTIF(AU69,"&gt;0"),COUNTIF(BA69,"&gt;0"),COUNTIF(BG69,"&gt;0"),COUNTIF(BM69,"&gt;0"),COUNTIF(BS69,"&gt;0"),COUNTIF(BY69,"&gt;0"),COUNTIF(CE69,"&gt;0"))</f>
        <v>8</v>
      </c>
    </row>
    <row r="70" spans="2:105" x14ac:dyDescent="0.3">
      <c r="B70" t="s">
        <v>179</v>
      </c>
      <c r="C70" s="18" t="s">
        <v>189</v>
      </c>
      <c r="D70" s="4">
        <f>CN70*$CN$1+CP70*$CP$1+CR70*$CR$1</f>
        <v>67.424999999999997</v>
      </c>
      <c r="E70" s="29">
        <f>IFERROR(_xlfn.XLOOKUP(B70,'w1'!$B:$B,'w1'!$C:$C),0)</f>
        <v>0</v>
      </c>
      <c r="F70" s="30">
        <f>_xlfn.RANK.EQ(E70,E$3:E$10000,0)</f>
        <v>79</v>
      </c>
      <c r="G70" s="31">
        <f>IFERROR(_xlfn.XLOOKUP(B70,'w1'!$B:$B,'w1'!$F:$F),1)</f>
        <v>1</v>
      </c>
      <c r="H70" s="30">
        <f>_xlfn.RANK.EQ(G70,G$3:G$10000,1)</f>
        <v>79</v>
      </c>
      <c r="I70" s="30">
        <f>IFERROR(IF(_xlfn.XLOOKUP(B70,'w1'!$B:$B,'w1'!$G:$G)="--",0,_xlfn.XLOOKUP(B70,'w1'!$B:$B,'w1'!$G:$G)),0)</f>
        <v>0</v>
      </c>
      <c r="J70" s="30">
        <f>_xlfn.RANK.EQ(I70,I$3:I$10000,0)</f>
        <v>77</v>
      </c>
      <c r="K70" s="34">
        <f>IFERROR(_xlfn.XLOOKUP(B70,'w2'!$B:$B,'w2'!$C:$C),0)</f>
        <v>10</v>
      </c>
      <c r="L70" s="35">
        <f>_xlfn.RANK.EQ(K70,K$3:K$10000,0)</f>
        <v>63</v>
      </c>
      <c r="M70" s="36">
        <f>IFERROR(_xlfn.XLOOKUP(B70,'w2'!$B:$B,'w2'!$F:$F),1)</f>
        <v>0.27013888888888887</v>
      </c>
      <c r="N70" s="35">
        <f>_xlfn.RANK.EQ(M70,M$3:M$10000,1)</f>
        <v>28</v>
      </c>
      <c r="O70" s="35">
        <f>IFERROR(IF(_xlfn.XLOOKUP(B70,'w2'!$B:$B,'w2'!$G:$G)="--",0,_xlfn.XLOOKUP(B70,'w2'!$B:$B,'w2'!$G:$G)),0)</f>
        <v>61</v>
      </c>
      <c r="P70" s="35">
        <f>_xlfn.RANK.EQ(O70,O$3:O$10000,0)</f>
        <v>61</v>
      </c>
      <c r="Q70" s="39">
        <f>IFERROR(_xlfn.XLOOKUP(B70,'w3'!$B:$B,'w3'!$C:$C),0)</f>
        <v>10</v>
      </c>
      <c r="R70" s="40">
        <f>_xlfn.RANK.EQ(Q70,Q$3:Q$10000,0)</f>
        <v>67</v>
      </c>
      <c r="S70" s="41">
        <f>IFERROR(_xlfn.XLOOKUP(B70,'w3'!$B:$B,'w3'!$F:$F),1)</f>
        <v>0.27986111111111112</v>
      </c>
      <c r="T70" s="40">
        <f>_xlfn.RANK.EQ(S70,S$3:S$10000,1)</f>
        <v>45</v>
      </c>
      <c r="U70" s="40">
        <f>IFERROR(IF(_xlfn.XLOOKUP(B70,'w3'!$B:$B,'w3'!$G:$G)="--",0,_xlfn.XLOOKUP(B70,'w3'!$B:$B,'w3'!$G:$G)),0)</f>
        <v>135</v>
      </c>
      <c r="V70" s="40">
        <f>_xlfn.RANK.EQ(U70,U$3:U$10000,0)</f>
        <v>45</v>
      </c>
      <c r="W70" s="44">
        <f>IFERROR(_xlfn.XLOOKUP(B70,'w4'!$B:$B,'w4'!$C:$C),0)</f>
        <v>9.4</v>
      </c>
      <c r="X70" s="45">
        <f>_xlfn.RANK.EQ(W70,W$3:W$10000,0)</f>
        <v>63</v>
      </c>
      <c r="Y70" s="46">
        <f>IFERROR(_xlfn.XLOOKUP(B70,'w4'!$B:$B,'w4'!$F:$F),1)</f>
        <v>0.27013888888888887</v>
      </c>
      <c r="Z70" s="45">
        <f>_xlfn.RANK.EQ(Y70,Y$3:Y$10000,1)</f>
        <v>37</v>
      </c>
      <c r="AA70" s="45">
        <f>IFERROR(IF(_xlfn.XLOOKUP(B70,'w4'!$B:$B,'w4'!$G:$G)="--",0,_xlfn.XLOOKUP(B70,'w4'!$B:$B,'w4'!$G:$G)),0)</f>
        <v>95</v>
      </c>
      <c r="AB70" s="45">
        <f>_xlfn.RANK.EQ(AA70,AA$3:AA$10000,0)</f>
        <v>49</v>
      </c>
      <c r="AC70" s="13">
        <f>IFERROR(_xlfn.XLOOKUP(B70,'w5'!$B:$B,'w5'!$C:$C),0)</f>
        <v>10.4</v>
      </c>
      <c r="AD70" s="12">
        <f>_xlfn.RANK.EQ(AC70,AC$3:AC$10000,0)</f>
        <v>62</v>
      </c>
      <c r="AE70" s="14">
        <f>IFERROR(_xlfn.XLOOKUP(B70,'w5'!$B:$B,'w5'!$F:$F),1)</f>
        <v>0.28263888888888888</v>
      </c>
      <c r="AF70" s="12">
        <f>_xlfn.RANK.EQ(AE70,AE$3:AE$10000,1)</f>
        <v>36</v>
      </c>
      <c r="AG70" s="12">
        <f>IFERROR(IF(_xlfn.XLOOKUP(B70,'w5'!$B:$B,'w5'!$G:$G)="--",0,_xlfn.XLOOKUP(B70,'w5'!$B:$B,'w5'!$G:$G)),0)</f>
        <v>125</v>
      </c>
      <c r="AH70" s="12">
        <f>_xlfn.RANK.EQ(AG70,AG$3:AG$10000,0)</f>
        <v>56</v>
      </c>
      <c r="AI70" s="51">
        <f>IFERROR(_xlfn.XLOOKUP(B70,'w6'!$B:$B,'w6'!$C:$C),0)</f>
        <v>0</v>
      </c>
      <c r="AJ70" s="50">
        <f>_xlfn.RANK.EQ(AI70,AI$3:AI$10000,0)</f>
        <v>65</v>
      </c>
      <c r="AK70" s="52">
        <f>IFERROR(_xlfn.XLOOKUP(B70,'w6'!$B:$B,'w6'!$F:$F),1)</f>
        <v>1</v>
      </c>
      <c r="AL70" s="50">
        <f>_xlfn.RANK.EQ(AK70,AK$3:AK$10000,1)</f>
        <v>65</v>
      </c>
      <c r="AM70" s="50">
        <f>IFERROR(IF(_xlfn.XLOOKUP(B70,'w6'!$B:$B,'w6'!$G:$G)="--",0,_xlfn.XLOOKUP(B70,'w6'!$B:$B,'w6'!$G:$G)),0)</f>
        <v>0</v>
      </c>
      <c r="AN70" s="50">
        <f>_xlfn.RANK.EQ(AM70,AM$3:AM$10000,0)</f>
        <v>61</v>
      </c>
      <c r="AO70" s="56">
        <f>IFERROR(_xlfn.XLOOKUP(B70,'w7'!$B:$B,'w7'!$C:$C),0)</f>
        <v>0</v>
      </c>
      <c r="AP70" s="57">
        <f>_xlfn.RANK.EQ(AO70,AO$3:AO$10000,0)</f>
        <v>72</v>
      </c>
      <c r="AQ70" s="58">
        <f>IFERROR(_xlfn.XLOOKUP(B70,'w7'!$B:$B,'w7'!$F:$F),1)</f>
        <v>1</v>
      </c>
      <c r="AR70" s="57">
        <f>_xlfn.RANK.EQ(AQ70,AQ$3:AQ$10000,1)</f>
        <v>72</v>
      </c>
      <c r="AS70" s="57">
        <f>IFERROR(IF(_xlfn.XLOOKUP(B70,'w7'!$B:$B,'w7'!$G:$G)="--",0,_xlfn.XLOOKUP(B70,'w7'!$B:$B,'w7'!$G:$G)),0)</f>
        <v>0</v>
      </c>
      <c r="AT70" s="57">
        <f>_xlfn.RANK.EQ(AS70,AS$3:AS$10000,0)</f>
        <v>69</v>
      </c>
      <c r="AU70" s="62">
        <f>IFERROR(_xlfn.XLOOKUP(B70,'w8'!$B:$B,'w8'!$C:$C),0)</f>
        <v>0</v>
      </c>
      <c r="AV70" s="61">
        <f>_xlfn.RANK.EQ(AU70,AU$3:AU$10000,0)</f>
        <v>73</v>
      </c>
      <c r="AW70" s="63">
        <f>IFERROR(_xlfn.XLOOKUP(B70,'w8'!$B:$B,'w8'!$F:$F),1)</f>
        <v>1</v>
      </c>
      <c r="AX70" s="61">
        <f>_xlfn.RANK.EQ(AW70,AW$3:AW$10000,1)</f>
        <v>73</v>
      </c>
      <c r="AY70" s="61">
        <f>IFERROR(IF(_xlfn.XLOOKUP(B70,'w8'!$B:$B,'w8'!$G:$G)="--",0,_xlfn.XLOOKUP(B70,'w8'!$B:$B,'w8'!$G:$G)),0)</f>
        <v>0</v>
      </c>
      <c r="AZ70" s="61">
        <f>_xlfn.RANK.EQ(AY70,AY$3:AY$10000,0)</f>
        <v>70</v>
      </c>
      <c r="BA70" s="66">
        <f>IFERROR(_xlfn.XLOOKUP(C70,'w9'!$B:$B,'w9'!$C:$C),0)</f>
        <v>9</v>
      </c>
      <c r="BB70" s="67">
        <f>_xlfn.RANK.EQ(BA70,BA$3:BA$10000,0)</f>
        <v>70</v>
      </c>
      <c r="BC70" s="68">
        <f>IFERROR(_xlfn.XLOOKUP(C70,'w9'!$B:$B,'w9'!$F:$F),1)</f>
        <v>0.30902777777777779</v>
      </c>
      <c r="BD70" s="67">
        <f>_xlfn.RANK.EQ(BC70,BC$3:BC$10000,1)</f>
        <v>46</v>
      </c>
      <c r="BE70" s="67">
        <f>IFERROR(IF(_xlfn.XLOOKUP(C70,'w9'!$B:$B,'w9'!$G:$G)="--",0,_xlfn.XLOOKUP(C70,'w9'!$B:$B,'w9'!$G:$G)),0)</f>
        <v>145</v>
      </c>
      <c r="BF70" s="67">
        <f>_xlfn.RANK.EQ(BE70,BE$3:BE$10000,0)</f>
        <v>57</v>
      </c>
      <c r="BG70" s="72">
        <f>IFERROR(_xlfn.XLOOKUP(B70,'w10'!$B:$B,'w10'!$C:$C),0)</f>
        <v>21.3</v>
      </c>
      <c r="BH70" s="74">
        <f>_xlfn.RANK.EQ(BG70,BG$3:BG$10000,0)</f>
        <v>42</v>
      </c>
      <c r="BI70" s="75">
        <f>IFERROR(_xlfn.XLOOKUP(B70,'w10'!$B:$B,'w10'!$F:$F),1)</f>
        <v>0.28402777777777777</v>
      </c>
      <c r="BJ70" s="74">
        <f>_xlfn.RANK.EQ(BI70,BI$3:BI$10000,1)</f>
        <v>43</v>
      </c>
      <c r="BK70" s="74">
        <f>IFERROR(IF(_xlfn.XLOOKUP(B70,'w10'!$B:$B,'w10'!$G:$G)="--",0,_xlfn.XLOOKUP(B70,'w10'!$B:$B,'w10'!$G:$G)),0)</f>
        <v>139</v>
      </c>
      <c r="BL70" s="74">
        <f>_xlfn.RANK.EQ(BK70,BK$3:BK$10000,0)</f>
        <v>45</v>
      </c>
      <c r="BM70" s="78">
        <f>IFERROR(_xlfn.XLOOKUP(B70,'w11'!$B:$B,'w11'!$C:$C),0)</f>
        <v>10</v>
      </c>
      <c r="BN70" s="80">
        <f>_xlfn.RANK.EQ(BM70,BM$3:BM$10000,0)</f>
        <v>62</v>
      </c>
      <c r="BO70" s="81">
        <f>IFERROR(_xlfn.XLOOKUP(B70,'w11'!$B:$B,'w11'!$F:$F),1)</f>
        <v>0.28055555555555556</v>
      </c>
      <c r="BP70" s="80">
        <f>_xlfn.RANK.EQ(BO70,BO$3:BO$10000,1)</f>
        <v>41</v>
      </c>
      <c r="BQ70" s="80">
        <f>IFERROR(IF(_xlfn.XLOOKUP(B70,'w11'!$B:$B,'w11'!$G:$G)="--",0,_xlfn.XLOOKUP(B70,'w11'!$B:$B,'w11'!$G:$G)),0)</f>
        <v>136</v>
      </c>
      <c r="BR70" s="80">
        <f>_xlfn.RANK.EQ(BQ70,BQ$3:BQ$10000,0)</f>
        <v>47</v>
      </c>
      <c r="BS70" s="83">
        <f>IFERROR(_xlfn.XLOOKUP(B70,'w12'!$B:$B,'w12'!$C:$C),0)</f>
        <v>21.5</v>
      </c>
      <c r="BT70" s="86">
        <f>_xlfn.RANK.EQ(BS70,BS$3:BS$10000,0)</f>
        <v>31</v>
      </c>
      <c r="BU70" s="87">
        <f>IFERROR(_xlfn.XLOOKUP(B70,'w12'!$B:$B,'w12'!$F:$F),1)</f>
        <v>0.28888888888888886</v>
      </c>
      <c r="BV70" s="86">
        <f>_xlfn.RANK.EQ(BU70,BU$3:BU$10000,1)</f>
        <v>44</v>
      </c>
      <c r="BW70" s="86">
        <f>IFERROR(IF(_xlfn.XLOOKUP(B70,'w12'!$B:$B,'w12'!$G:$G)="--",0,_xlfn.XLOOKUP(B70,'w12'!$B:$B,'w12'!$G:$G)),0)</f>
        <v>207</v>
      </c>
      <c r="BX70" s="86">
        <f>_xlfn.RANK.EQ(BW70,BW$3:BW$10000,0)</f>
        <v>39</v>
      </c>
      <c r="BY70" s="89">
        <f>IFERROR(_xlfn.XLOOKUP(B70,'w13'!$B:$B,'w13'!$C:$C),0)</f>
        <v>20.8</v>
      </c>
      <c r="BZ70" s="92">
        <f>_xlfn.RANK.EQ(BY70,BY$3:BY$10000,0)</f>
        <v>39</v>
      </c>
      <c r="CA70" s="93">
        <f>IFERROR(_xlfn.XLOOKUP(B70,'w13'!$B:$B,'w13'!$F:$F),1)</f>
        <v>0.28125</v>
      </c>
      <c r="CB70" s="92">
        <f>_xlfn.RANK.EQ(CA70,CA$3:CA$10000,1)</f>
        <v>42</v>
      </c>
      <c r="CC70" s="92">
        <f>IFERROR(IF(_xlfn.XLOOKUP(B70,'w13'!$B:$B,'w13'!$G:$G)="--",0,_xlfn.XLOOKUP(B70,'w13'!$B:$B,'w13'!$G:$G)),0)</f>
        <v>249</v>
      </c>
      <c r="CD70" s="92">
        <f>_xlfn.RANK.EQ(CC70,CC$3:CC$10000,0)</f>
        <v>31</v>
      </c>
      <c r="CE70" s="95">
        <f>IFERROR(_xlfn.XLOOKUP(B70,'w14'!$B:$B,'w14'!$C:$C),0)</f>
        <v>10</v>
      </c>
      <c r="CF70" s="98">
        <f>_xlfn.RANK.EQ(CE70,CE$3:CE$10000,0)</f>
        <v>60</v>
      </c>
      <c r="CG70" s="99">
        <f>IFERROR(_xlfn.XLOOKUP(B70,'w14'!$B:$B,'w14'!$F:$F),1)</f>
        <v>0.2722222222222222</v>
      </c>
      <c r="CH70" s="98">
        <f>_xlfn.RANK.EQ(CG70,CG$3:CG$10000,1)</f>
        <v>31</v>
      </c>
      <c r="CI70" s="98">
        <f>IFERROR(IF(_xlfn.XLOOKUP(B70,'w14'!$B:$B,'w14'!$G:$G)="--",0,_xlfn.XLOOKUP(B70,'w14'!$B:$B,'w14'!$G:$G)),0)</f>
        <v>121</v>
      </c>
      <c r="CJ70" s="98">
        <f>_xlfn.RANK.EQ(CI70,CI$3:CI$10000,0)</f>
        <v>45</v>
      </c>
      <c r="CK70" s="9">
        <f>_xlfn.RANK.EQ(D70,D$3:D$10000,1)</f>
        <v>68</v>
      </c>
      <c r="CL70" s="26" t="s">
        <v>189</v>
      </c>
      <c r="CM70" s="8">
        <f>SUM(E70,K70,Q70,W70,AC70,AI70,AO70,AU70,BA70,BG70,BM70,BS70,BY70,CE70)</f>
        <v>132.39999999999998</v>
      </c>
      <c r="CN70" s="9">
        <f>_xlfn.RANK.EQ(CM70,CM$3:CM$10000)</f>
        <v>68</v>
      </c>
      <c r="CO70" s="15">
        <f>IFERROR(SUM(PRODUCT(E70,G70),PRODUCT(K70,M70),PRODUCT(Q70,S70),PRODUCT(W70,Y70),PRODUCT(AC70,AE70),PRODUCT(AI70,AK70),PRODUCT(AO70,AQ70),PRODUCT(AU70,AW70),PRODUCT(BA70,BC70),PRODUCT(BG70,BI70),PRODUCT(BM70,BO70),PRODUCT(BS70,BU70),PRODUCT(BY70,CA70),PRODUCT(CE70,CG70))/CM70,1)</f>
        <v>0.2824673757972474</v>
      </c>
      <c r="CP70" s="9">
        <f>_xlfn.RANK.EQ(CO70,CO$3:CO$10000,1)</f>
        <v>46</v>
      </c>
      <c r="CQ70" s="9">
        <f>SUM(I70,O70,U70,AA70,AG70,AM70,AS70,AY70,BE70,BK70,BQ70,BW70,CC70,CI70)</f>
        <v>1413</v>
      </c>
      <c r="CR70" s="9">
        <f>_xlfn.RANK.EQ(CQ70,CQ$3:CQ$10000)</f>
        <v>67</v>
      </c>
      <c r="CS70" s="23"/>
      <c r="CT70" s="25"/>
      <c r="CU70" s="24">
        <f>_xlfn.STDEV.S(F70,L70,R70,X70,AD70,AJ70,AP70,AV70,BB70,BH70,BN70,BT70,BZ70,CF70)</f>
        <v>13.799187744848698</v>
      </c>
      <c r="CV70" s="21">
        <f>_xlfn.RANK.EQ(CU70,CU$3:CU$10000,1)</f>
        <v>51</v>
      </c>
      <c r="CW70" s="24">
        <f>_xlfn.STDEV.S(H70,N70,T70,Z70,AF70,AL70,AR70,AX70,BD70,BJ70,BP70,BV70,CB70,CH70)</f>
        <v>16.494421301335013</v>
      </c>
      <c r="CX70" s="21">
        <f>_xlfn.RANK.EQ(CW70,CW$3:CW$10000,1)</f>
        <v>61</v>
      </c>
      <c r="CY70" s="24">
        <f>_xlfn.STDEV.S(J70,P70,V70,AB70,AH70,AN70,AT70,AZ70,BF70,BL70,BR70,BX70,CD70,CJ70)</f>
        <v>12.981813144837384</v>
      </c>
      <c r="CZ70" s="21">
        <f>_xlfn.RANK.EQ(CY70,CY$3:CY$10000,1)</f>
        <v>44</v>
      </c>
      <c r="DA70">
        <f>SUM(COUNTIF(E70,"&gt;0"),COUNTIF(K70,"&gt;0"),COUNTIF(Q70,"&gt;0"),COUNTIF(W70,"&gt;0"),COUNTIF(AC70,"&gt;0"),COUNTIF(AI70,"&gt;0"),COUNTIF(AO70,"&gt;0"),COUNTIF(AU70,"&gt;0"),COUNTIF(BA70,"&gt;0"),COUNTIF(BG70,"&gt;0"),COUNTIF(BM70,"&gt;0"),COUNTIF(BS70,"&gt;0"),COUNTIF(BY70,"&gt;0"),COUNTIF(CE70,"&gt;0"))</f>
        <v>10</v>
      </c>
    </row>
    <row r="71" spans="2:105" x14ac:dyDescent="0.3">
      <c r="B71" t="s">
        <v>400</v>
      </c>
      <c r="C71" s="18" t="s">
        <v>448</v>
      </c>
      <c r="D71" s="4">
        <f>CN71*$CN$1+CP71*$CP$1+CR71*$CR$1</f>
        <v>67.875</v>
      </c>
      <c r="E71" s="29">
        <f>IFERROR(_xlfn.XLOOKUP(B71,'w1'!$B:$B,'w1'!$C:$C),0)</f>
        <v>0</v>
      </c>
      <c r="F71" s="30">
        <f>_xlfn.RANK.EQ(E71,E$3:E$10000,0)</f>
        <v>79</v>
      </c>
      <c r="G71" s="31">
        <f>IFERROR(_xlfn.XLOOKUP(B71,'w1'!$B:$B,'w1'!$F:$F),1)</f>
        <v>1</v>
      </c>
      <c r="H71" s="30">
        <f>_xlfn.RANK.EQ(G71,G$3:G$10000,1)</f>
        <v>79</v>
      </c>
      <c r="I71" s="30">
        <f>IFERROR(IF(_xlfn.XLOOKUP(B71,'w1'!$B:$B,'w1'!$G:$G)="--",0,_xlfn.XLOOKUP(B71,'w1'!$B:$B,'w1'!$G:$G)),0)</f>
        <v>0</v>
      </c>
      <c r="J71" s="30">
        <f>_xlfn.RANK.EQ(I71,I$3:I$10000,0)</f>
        <v>77</v>
      </c>
      <c r="K71" s="34">
        <f>IFERROR(_xlfn.XLOOKUP(B71,'w2'!$B:$B,'w2'!$C:$C),0)</f>
        <v>0</v>
      </c>
      <c r="L71" s="35">
        <f>_xlfn.RANK.EQ(K71,K$3:K$10000,0)</f>
        <v>73</v>
      </c>
      <c r="M71" s="36">
        <f>IFERROR(_xlfn.XLOOKUP(B71,'w2'!$B:$B,'w2'!$F:$F),1)</f>
        <v>1</v>
      </c>
      <c r="N71" s="35">
        <f>_xlfn.RANK.EQ(M71,M$3:M$10000,1)</f>
        <v>72</v>
      </c>
      <c r="O71" s="35">
        <f>IFERROR(IF(_xlfn.XLOOKUP(B71,'w2'!$B:$B,'w2'!$G:$G)="--",0,_xlfn.XLOOKUP(B71,'w2'!$B:$B,'w2'!$G:$G)),0)</f>
        <v>0</v>
      </c>
      <c r="P71" s="35">
        <f>_xlfn.RANK.EQ(O71,O$3:O$10000,0)</f>
        <v>71</v>
      </c>
      <c r="Q71" s="39">
        <f>IFERROR(_xlfn.XLOOKUP(B71,'w3'!$B:$B,'w3'!$C:$C),0)</f>
        <v>0</v>
      </c>
      <c r="R71" s="40">
        <f>_xlfn.RANK.EQ(Q71,Q$3:Q$10000,0)</f>
        <v>84</v>
      </c>
      <c r="S71" s="41">
        <f>IFERROR(_xlfn.XLOOKUP(B71,'w3'!$B:$B,'w3'!$F:$F),1)</f>
        <v>1</v>
      </c>
      <c r="T71" s="40">
        <f>_xlfn.RANK.EQ(S71,S$3:S$10000,1)</f>
        <v>83</v>
      </c>
      <c r="U71" s="40">
        <f>IFERROR(IF(_xlfn.XLOOKUP(B71,'w3'!$B:$B,'w3'!$G:$G)="--",0,_xlfn.XLOOKUP(B71,'w3'!$B:$B,'w3'!$G:$G)),0)</f>
        <v>0</v>
      </c>
      <c r="V71" s="40">
        <f>_xlfn.RANK.EQ(U71,U$3:U$10000,0)</f>
        <v>80</v>
      </c>
      <c r="W71" s="44">
        <f>IFERROR(_xlfn.XLOOKUP(B71,'w4'!$B:$B,'w4'!$C:$C),0)</f>
        <v>0</v>
      </c>
      <c r="X71" s="45">
        <f>_xlfn.RANK.EQ(W71,W$3:W$10000,0)</f>
        <v>76</v>
      </c>
      <c r="Y71" s="46">
        <f>IFERROR(_xlfn.XLOOKUP(B71,'w4'!$B:$B,'w4'!$F:$F),1)</f>
        <v>1</v>
      </c>
      <c r="Z71" s="45">
        <f>_xlfn.RANK.EQ(Y71,Y$3:Y$10000,1)</f>
        <v>76</v>
      </c>
      <c r="AA71" s="45">
        <f>IFERROR(IF(_xlfn.XLOOKUP(B71,'w4'!$B:$B,'w4'!$G:$G)="--",0,_xlfn.XLOOKUP(B71,'w4'!$B:$B,'w4'!$G:$G)),0)</f>
        <v>0</v>
      </c>
      <c r="AB71" s="45">
        <f>_xlfn.RANK.EQ(AA71,AA$3:AA$10000,0)</f>
        <v>68</v>
      </c>
      <c r="AC71" s="13">
        <f>IFERROR(_xlfn.XLOOKUP(B71,'w5'!$B:$B,'w5'!$C:$C),0)</f>
        <v>0</v>
      </c>
      <c r="AD71" s="12">
        <f>_xlfn.RANK.EQ(AC71,AC$3:AC$10000,0)</f>
        <v>77</v>
      </c>
      <c r="AE71" s="14">
        <f>IFERROR(_xlfn.XLOOKUP(B71,'w5'!$B:$B,'w5'!$F:$F),1)</f>
        <v>1</v>
      </c>
      <c r="AF71" s="12">
        <f>_xlfn.RANK.EQ(AE71,AE$3:AE$10000,1)</f>
        <v>76</v>
      </c>
      <c r="AG71" s="12">
        <f>IFERROR(IF(_xlfn.XLOOKUP(B71,'w5'!$B:$B,'w5'!$G:$G)="--",0,_xlfn.XLOOKUP(B71,'w5'!$B:$B,'w5'!$G:$G)),0)</f>
        <v>0</v>
      </c>
      <c r="AH71" s="12">
        <f>_xlfn.RANK.EQ(AG71,AG$3:AG$10000,0)</f>
        <v>73</v>
      </c>
      <c r="AI71" s="51">
        <f>IFERROR(_xlfn.XLOOKUP(B71,'w6'!$B:$B,'w6'!$C:$C),0)</f>
        <v>0</v>
      </c>
      <c r="AJ71" s="50">
        <f>_xlfn.RANK.EQ(AI71,AI$3:AI$10000,0)</f>
        <v>65</v>
      </c>
      <c r="AK71" s="52">
        <f>IFERROR(_xlfn.XLOOKUP(B71,'w6'!$B:$B,'w6'!$F:$F),1)</f>
        <v>1</v>
      </c>
      <c r="AL71" s="50">
        <f>_xlfn.RANK.EQ(AK71,AK$3:AK$10000,1)</f>
        <v>65</v>
      </c>
      <c r="AM71" s="50">
        <f>IFERROR(IF(_xlfn.XLOOKUP(B71,'w6'!$B:$B,'w6'!$G:$G)="--",0,_xlfn.XLOOKUP(B71,'w6'!$B:$B,'w6'!$G:$G)),0)</f>
        <v>0</v>
      </c>
      <c r="AN71" s="50">
        <f>_xlfn.RANK.EQ(AM71,AM$3:AM$10000,0)</f>
        <v>61</v>
      </c>
      <c r="AO71" s="56">
        <f>IFERROR(_xlfn.XLOOKUP(B71,'w7'!$B:$B,'w7'!$C:$C),0)</f>
        <v>12</v>
      </c>
      <c r="AP71" s="57">
        <f>_xlfn.RANK.EQ(AO71,AO$3:AO$10000,0)</f>
        <v>53</v>
      </c>
      <c r="AQ71" s="58">
        <f>IFERROR(_xlfn.XLOOKUP(B71,'w7'!$B:$B,'w7'!$F:$F),1)</f>
        <v>0.24166666666666667</v>
      </c>
      <c r="AR71" s="57">
        <f>_xlfn.RANK.EQ(AQ71,AQ$3:AQ$10000,1)</f>
        <v>13</v>
      </c>
      <c r="AS71" s="57">
        <f>IFERROR(IF(_xlfn.XLOOKUP(B71,'w7'!$B:$B,'w7'!$G:$G)="--",0,_xlfn.XLOOKUP(B71,'w7'!$B:$B,'w7'!$G:$G)),0)</f>
        <v>127</v>
      </c>
      <c r="AT71" s="57">
        <f>_xlfn.RANK.EQ(AS71,AS$3:AS$10000,0)</f>
        <v>45</v>
      </c>
      <c r="AU71" s="62">
        <f>IFERROR(_xlfn.XLOOKUP(B71,'w8'!$B:$B,'w8'!$C:$C),0)</f>
        <v>29.9</v>
      </c>
      <c r="AV71" s="61">
        <f>_xlfn.RANK.EQ(AU71,AU$3:AU$10000,0)</f>
        <v>31</v>
      </c>
      <c r="AW71" s="63">
        <f>IFERROR(_xlfn.XLOOKUP(B71,'w8'!$B:$B,'w8'!$F:$F),1)</f>
        <v>0.25833333333333336</v>
      </c>
      <c r="AX71" s="61">
        <f>_xlfn.RANK.EQ(AW71,AW$3:AW$10000,1)</f>
        <v>21</v>
      </c>
      <c r="AY71" s="61">
        <f>IFERROR(IF(_xlfn.XLOOKUP(B71,'w8'!$B:$B,'w8'!$G:$G)="--",0,_xlfn.XLOOKUP(B71,'w8'!$B:$B,'w8'!$G:$G)),0)</f>
        <v>325</v>
      </c>
      <c r="AZ71" s="61">
        <f>_xlfn.RANK.EQ(AY71,AY$3:AY$10000,0)</f>
        <v>31</v>
      </c>
      <c r="BA71" s="66">
        <f>IFERROR(_xlfn.XLOOKUP(C71,'w9'!$B:$B,'w9'!$C:$C),0)</f>
        <v>18.600000000000001</v>
      </c>
      <c r="BB71" s="67">
        <f>_xlfn.RANK.EQ(BA71,BA$3:BA$10000,0)</f>
        <v>57</v>
      </c>
      <c r="BC71" s="68">
        <f>IFERROR(_xlfn.XLOOKUP(C71,'w9'!$B:$B,'w9'!$F:$F),1)</f>
        <v>0.24861111111111112</v>
      </c>
      <c r="BD71" s="67">
        <f>_xlfn.RANK.EQ(BC71,BC$3:BC$10000,1)</f>
        <v>15</v>
      </c>
      <c r="BE71" s="67">
        <f>IFERROR(IF(_xlfn.XLOOKUP(C71,'w9'!$B:$B,'w9'!$G:$G)="--",0,_xlfn.XLOOKUP(C71,'w9'!$B:$B,'w9'!$G:$G)),0)</f>
        <v>125</v>
      </c>
      <c r="BF71" s="67">
        <f>_xlfn.RANK.EQ(BE71,BE$3:BE$10000,0)</f>
        <v>58</v>
      </c>
      <c r="BG71" s="72">
        <f>IFERROR(_xlfn.XLOOKUP(B71,'w10'!$B:$B,'w10'!$C:$C),0)</f>
        <v>11.5</v>
      </c>
      <c r="BH71" s="74">
        <f>_xlfn.RANK.EQ(BG71,BG$3:BG$10000,0)</f>
        <v>60</v>
      </c>
      <c r="BI71" s="75">
        <f>IFERROR(_xlfn.XLOOKUP(B71,'w10'!$B:$B,'w10'!$F:$F),1)</f>
        <v>0.24027777777777778</v>
      </c>
      <c r="BJ71" s="74">
        <f>_xlfn.RANK.EQ(BI71,BI$3:BI$10000,1)</f>
        <v>16</v>
      </c>
      <c r="BK71" s="74">
        <f>IFERROR(IF(_xlfn.XLOOKUP(B71,'w10'!$B:$B,'w10'!$G:$G)="--",0,_xlfn.XLOOKUP(B71,'w10'!$B:$B,'w10'!$G:$G)),0)</f>
        <v>39</v>
      </c>
      <c r="BL71" s="74">
        <f>_xlfn.RANK.EQ(BK71,BK$3:BK$10000,0)</f>
        <v>68</v>
      </c>
      <c r="BM71" s="78">
        <f>IFERROR(_xlfn.XLOOKUP(B71,'w11'!$B:$B,'w11'!$C:$C),0)</f>
        <v>12.8</v>
      </c>
      <c r="BN71" s="80">
        <f>_xlfn.RANK.EQ(BM71,BM$3:BM$10000,0)</f>
        <v>58</v>
      </c>
      <c r="BO71" s="81">
        <f>IFERROR(_xlfn.XLOOKUP(B71,'w11'!$B:$B,'w11'!$F:$F),1)</f>
        <v>0.22916666666666666</v>
      </c>
      <c r="BP71" s="80">
        <f>_xlfn.RANK.EQ(BO71,BO$3:BO$10000,1)</f>
        <v>11</v>
      </c>
      <c r="BQ71" s="80">
        <f>IFERROR(IF(_xlfn.XLOOKUP(B71,'w11'!$B:$B,'w11'!$G:$G)="--",0,_xlfn.XLOOKUP(B71,'w11'!$B:$B,'w11'!$G:$G)),0)</f>
        <v>86</v>
      </c>
      <c r="BR71" s="80">
        <f>_xlfn.RANK.EQ(BQ71,BQ$3:BQ$10000,0)</f>
        <v>61</v>
      </c>
      <c r="BS71" s="83">
        <f>IFERROR(_xlfn.XLOOKUP(B71,'w12'!$B:$B,'w12'!$C:$C),0)</f>
        <v>10.5</v>
      </c>
      <c r="BT71" s="86">
        <f>_xlfn.RANK.EQ(BS71,BS$3:BS$10000,0)</f>
        <v>57</v>
      </c>
      <c r="BU71" s="87">
        <f>IFERROR(_xlfn.XLOOKUP(B71,'w12'!$B:$B,'w12'!$F:$F),1)</f>
        <v>0.2388888888888889</v>
      </c>
      <c r="BV71" s="86">
        <f>_xlfn.RANK.EQ(BU71,BU$3:BU$10000,1)</f>
        <v>12</v>
      </c>
      <c r="BW71" s="86">
        <f>IFERROR(IF(_xlfn.XLOOKUP(B71,'w12'!$B:$B,'w12'!$G:$G)="--",0,_xlfn.XLOOKUP(B71,'w12'!$B:$B,'w12'!$G:$G)),0)</f>
        <v>29</v>
      </c>
      <c r="BX71" s="86">
        <f>_xlfn.RANK.EQ(BW71,BW$3:BW$10000,0)</f>
        <v>67</v>
      </c>
      <c r="BY71" s="89">
        <f>IFERROR(_xlfn.XLOOKUP(B71,'w13'!$B:$B,'w13'!$C:$C),0)</f>
        <v>11.3</v>
      </c>
      <c r="BZ71" s="92">
        <f>_xlfn.RANK.EQ(BY71,BY$3:BY$10000,0)</f>
        <v>60</v>
      </c>
      <c r="CA71" s="93">
        <f>IFERROR(_xlfn.XLOOKUP(B71,'w13'!$B:$B,'w13'!$F:$F),1)</f>
        <v>0.2298611111111111</v>
      </c>
      <c r="CB71" s="92">
        <f>_xlfn.RANK.EQ(CA71,CA$3:CA$10000,1)</f>
        <v>12</v>
      </c>
      <c r="CC71" s="92">
        <f>IFERROR(IF(_xlfn.XLOOKUP(B71,'w13'!$B:$B,'w13'!$G:$G)="--",0,_xlfn.XLOOKUP(B71,'w13'!$B:$B,'w13'!$G:$G)),0)</f>
        <v>58</v>
      </c>
      <c r="CD71" s="92">
        <f>_xlfn.RANK.EQ(CC71,CC$3:CC$10000,0)</f>
        <v>64</v>
      </c>
      <c r="CE71" s="95">
        <f>IFERROR(_xlfn.XLOOKUP(B71,'w14'!$B:$B,'w14'!$C:$C),0)</f>
        <v>24.8</v>
      </c>
      <c r="CF71" s="98">
        <f>_xlfn.RANK.EQ(CE71,CE$3:CE$10000,0)</f>
        <v>37</v>
      </c>
      <c r="CG71" s="99">
        <f>IFERROR(_xlfn.XLOOKUP(B71,'w14'!$B:$B,'w14'!$F:$F),1)</f>
        <v>0.25694444444444442</v>
      </c>
      <c r="CH71" s="98">
        <f>_xlfn.RANK.EQ(CG71,CG$3:CG$10000,1)</f>
        <v>21</v>
      </c>
      <c r="CI71" s="98">
        <f>IFERROR(IF(_xlfn.XLOOKUP(B71,'w14'!$B:$B,'w14'!$G:$G)="--",0,_xlfn.XLOOKUP(B71,'w14'!$B:$B,'w14'!$G:$G)),0)</f>
        <v>263</v>
      </c>
      <c r="CJ71" s="98">
        <f>_xlfn.RANK.EQ(CI71,CI$3:CI$10000,0)</f>
        <v>33</v>
      </c>
      <c r="CK71" s="9">
        <f>_xlfn.RANK.EQ(D71,D$3:D$10000,1)</f>
        <v>69</v>
      </c>
      <c r="CL71" s="7" t="s">
        <v>448</v>
      </c>
      <c r="CM71" s="8">
        <f>SUM(E71,K71,Q71,W71,AC71,AI71,AO71,AU71,BA71,BG71,BM71,BS71,BY71,CE71)</f>
        <v>131.4</v>
      </c>
      <c r="CN71" s="9">
        <f>_xlfn.RANK.EQ(CM71,CM$3:CM$10000)</f>
        <v>69</v>
      </c>
      <c r="CO71" s="15">
        <f>IFERROR(SUM(PRODUCT(E71,G71),PRODUCT(K71,M71),PRODUCT(Q71,S71),PRODUCT(W71,Y71),PRODUCT(AC71,AE71),PRODUCT(AI71,AK71),PRODUCT(AO71,AQ71),PRODUCT(AU71,AW71),PRODUCT(BA71,BC71),PRODUCT(BG71,BI71),PRODUCT(BM71,BO71),PRODUCT(BS71,BU71),PRODUCT(BY71,CA71),PRODUCT(CE71,CG71))/CM71,1)</f>
        <v>0.24674921782513107</v>
      </c>
      <c r="CP71" s="9">
        <f>_xlfn.RANK.EQ(CO71,CO$3:CO$10000,1)</f>
        <v>17</v>
      </c>
      <c r="CQ71" s="9">
        <f>SUM(I71,O71,U71,AA71,AG71,AM71,AS71,AY71,BE71,BK71,BQ71,BW71,CC71,CI71)</f>
        <v>1052</v>
      </c>
      <c r="CR71" s="9">
        <f>_xlfn.RANK.EQ(CQ71,CQ$3:CQ$10000)</f>
        <v>76</v>
      </c>
      <c r="CS71" s="23"/>
      <c r="CT71" s="25"/>
      <c r="CU71" s="24">
        <f>_xlfn.STDEV.S(F71,L71,R71,X71,AD71,AJ71,AP71,AV71,BB71,BH71,BN71,BT71,BZ71,CF71)</f>
        <v>15.354599840560363</v>
      </c>
      <c r="CV71" s="21">
        <f>_xlfn.RANK.EQ(CU71,CU$3:CU$10000,1)</f>
        <v>58</v>
      </c>
      <c r="CW71" s="24">
        <f>_xlfn.STDEV.S(H71,N71,T71,Z71,AF71,AL71,AR71,AX71,BD71,BJ71,BP71,BV71,CB71,CH71)</f>
        <v>31.208620956043895</v>
      </c>
      <c r="CX71" s="21">
        <f>_xlfn.RANK.EQ(CW71,CW$3:CW$10000,1)</f>
        <v>104</v>
      </c>
      <c r="CY71" s="24">
        <f>_xlfn.STDEV.S(J71,P71,V71,AB71,AH71,AN71,AT71,AZ71,BF71,BL71,BR71,BX71,CD71,CJ71)</f>
        <v>15.069983264900985</v>
      </c>
      <c r="CZ71" s="21">
        <f>_xlfn.RANK.EQ(CY71,CY$3:CY$10000,1)</f>
        <v>55</v>
      </c>
      <c r="DA71">
        <f>SUM(COUNTIF(E71,"&gt;0"),COUNTIF(K71,"&gt;0"),COUNTIF(Q71,"&gt;0"),COUNTIF(W71,"&gt;0"),COUNTIF(AC71,"&gt;0"),COUNTIF(AI71,"&gt;0"),COUNTIF(AO71,"&gt;0"),COUNTIF(AU71,"&gt;0"),COUNTIF(BA71,"&gt;0"),COUNTIF(BG71,"&gt;0"),COUNTIF(BM71,"&gt;0"),COUNTIF(BS71,"&gt;0"),COUNTIF(BY71,"&gt;0"),COUNTIF(CE71,"&gt;0"))</f>
        <v>8</v>
      </c>
    </row>
    <row r="72" spans="2:105" x14ac:dyDescent="0.3">
      <c r="B72" t="s">
        <v>404</v>
      </c>
      <c r="C72" s="18" t="s">
        <v>145</v>
      </c>
      <c r="D72" s="4">
        <f>CN72*$CN$1+CP72*$CP$1+CR72*$CR$1</f>
        <v>68.924999999999997</v>
      </c>
      <c r="E72" s="29">
        <f>IFERROR(_xlfn.XLOOKUP(B72,'w1'!$B:$B,'w1'!$C:$C),0)</f>
        <v>0</v>
      </c>
      <c r="F72" s="30">
        <f>_xlfn.RANK.EQ(E72,E$3:E$10000,0)</f>
        <v>79</v>
      </c>
      <c r="G72" s="31">
        <f>IFERROR(_xlfn.XLOOKUP(B72,'w1'!$B:$B,'w1'!$F:$F),1)</f>
        <v>1</v>
      </c>
      <c r="H72" s="30">
        <f>_xlfn.RANK.EQ(G72,G$3:G$10000,1)</f>
        <v>79</v>
      </c>
      <c r="I72" s="30">
        <f>IFERROR(IF(_xlfn.XLOOKUP(B72,'w1'!$B:$B,'w1'!$G:$G)="--",0,_xlfn.XLOOKUP(B72,'w1'!$B:$B,'w1'!$G:$G)),0)</f>
        <v>0</v>
      </c>
      <c r="J72" s="30">
        <f>_xlfn.RANK.EQ(I72,I$3:I$10000,0)</f>
        <v>77</v>
      </c>
      <c r="K72" s="34">
        <f>IFERROR(_xlfn.XLOOKUP(B72,'w2'!$B:$B,'w2'!$C:$C),0)</f>
        <v>0</v>
      </c>
      <c r="L72" s="35">
        <f>_xlfn.RANK.EQ(K72,K$3:K$10000,0)</f>
        <v>73</v>
      </c>
      <c r="M72" s="36">
        <f>IFERROR(_xlfn.XLOOKUP(B72,'w2'!$B:$B,'w2'!$F:$F),1)</f>
        <v>1</v>
      </c>
      <c r="N72" s="35">
        <f>_xlfn.RANK.EQ(M72,M$3:M$10000,1)</f>
        <v>72</v>
      </c>
      <c r="O72" s="35">
        <f>IFERROR(IF(_xlfn.XLOOKUP(B72,'w2'!$B:$B,'w2'!$G:$G)="--",0,_xlfn.XLOOKUP(B72,'w2'!$B:$B,'w2'!$G:$G)),0)</f>
        <v>0</v>
      </c>
      <c r="P72" s="35">
        <f>_xlfn.RANK.EQ(O72,O$3:O$10000,0)</f>
        <v>71</v>
      </c>
      <c r="Q72" s="39">
        <f>IFERROR(_xlfn.XLOOKUP(B72,'w3'!$B:$B,'w3'!$C:$C),0)</f>
        <v>0</v>
      </c>
      <c r="R72" s="40">
        <f>_xlfn.RANK.EQ(Q72,Q$3:Q$10000,0)</f>
        <v>84</v>
      </c>
      <c r="S72" s="41">
        <f>IFERROR(_xlfn.XLOOKUP(B72,'w3'!$B:$B,'w3'!$F:$F),1)</f>
        <v>1</v>
      </c>
      <c r="T72" s="40">
        <f>_xlfn.RANK.EQ(S72,S$3:S$10000,1)</f>
        <v>83</v>
      </c>
      <c r="U72" s="40">
        <f>IFERROR(IF(_xlfn.XLOOKUP(B72,'w3'!$B:$B,'w3'!$G:$G)="--",0,_xlfn.XLOOKUP(B72,'w3'!$B:$B,'w3'!$G:$G)),0)</f>
        <v>0</v>
      </c>
      <c r="V72" s="40">
        <f>_xlfn.RANK.EQ(U72,U$3:U$10000,0)</f>
        <v>80</v>
      </c>
      <c r="W72" s="44">
        <f>IFERROR(_xlfn.XLOOKUP(B72,'w4'!$B:$B,'w4'!$C:$C),0)</f>
        <v>0</v>
      </c>
      <c r="X72" s="45">
        <f>_xlfn.RANK.EQ(W72,W$3:W$10000,0)</f>
        <v>76</v>
      </c>
      <c r="Y72" s="46">
        <f>IFERROR(_xlfn.XLOOKUP(B72,'w4'!$B:$B,'w4'!$F:$F),1)</f>
        <v>1</v>
      </c>
      <c r="Z72" s="45">
        <f>_xlfn.RANK.EQ(Y72,Y$3:Y$10000,1)</f>
        <v>76</v>
      </c>
      <c r="AA72" s="45">
        <f>IFERROR(IF(_xlfn.XLOOKUP(B72,'w4'!$B:$B,'w4'!$G:$G)="--",0,_xlfn.XLOOKUP(B72,'w4'!$B:$B,'w4'!$G:$G)),0)</f>
        <v>0</v>
      </c>
      <c r="AB72" s="45">
        <f>_xlfn.RANK.EQ(AA72,AA$3:AA$10000,0)</f>
        <v>68</v>
      </c>
      <c r="AC72" s="13">
        <f>IFERROR(_xlfn.XLOOKUP(B72,'w5'!$B:$B,'w5'!$C:$C),0)</f>
        <v>0</v>
      </c>
      <c r="AD72" s="12">
        <f>_xlfn.RANK.EQ(AC72,AC$3:AC$10000,0)</f>
        <v>77</v>
      </c>
      <c r="AE72" s="14">
        <f>IFERROR(_xlfn.XLOOKUP(B72,'w5'!$B:$B,'w5'!$F:$F),1)</f>
        <v>1</v>
      </c>
      <c r="AF72" s="12">
        <f>_xlfn.RANK.EQ(AE72,AE$3:AE$10000,1)</f>
        <v>76</v>
      </c>
      <c r="AG72" s="12">
        <f>IFERROR(IF(_xlfn.XLOOKUP(B72,'w5'!$B:$B,'w5'!$G:$G)="--",0,_xlfn.XLOOKUP(B72,'w5'!$B:$B,'w5'!$G:$G)),0)</f>
        <v>0</v>
      </c>
      <c r="AH72" s="12">
        <f>_xlfn.RANK.EQ(AG72,AG$3:AG$10000,0)</f>
        <v>73</v>
      </c>
      <c r="AI72" s="51">
        <f>IFERROR(_xlfn.XLOOKUP(B72,'w6'!$B:$B,'w6'!$C:$C),0)</f>
        <v>0</v>
      </c>
      <c r="AJ72" s="50">
        <f>_xlfn.RANK.EQ(AI72,AI$3:AI$10000,0)</f>
        <v>65</v>
      </c>
      <c r="AK72" s="52">
        <f>IFERROR(_xlfn.XLOOKUP(B72,'w6'!$B:$B,'w6'!$F:$F),1)</f>
        <v>1</v>
      </c>
      <c r="AL72" s="50">
        <f>_xlfn.RANK.EQ(AK72,AK$3:AK$10000,1)</f>
        <v>65</v>
      </c>
      <c r="AM72" s="50">
        <f>IFERROR(IF(_xlfn.XLOOKUP(B72,'w6'!$B:$B,'w6'!$G:$G)="--",0,_xlfn.XLOOKUP(B72,'w6'!$B:$B,'w6'!$G:$G)),0)</f>
        <v>0</v>
      </c>
      <c r="AN72" s="50">
        <f>_xlfn.RANK.EQ(AM72,AM$3:AM$10000,0)</f>
        <v>61</v>
      </c>
      <c r="AO72" s="56">
        <f>IFERROR(_xlfn.XLOOKUP(B72,'w7'!$B:$B,'w7'!$C:$C),0)</f>
        <v>10</v>
      </c>
      <c r="AP72" s="57">
        <f>_xlfn.RANK.EQ(AO72,AO$3:AO$10000,0)</f>
        <v>55</v>
      </c>
      <c r="AQ72" s="58">
        <f>IFERROR(_xlfn.XLOOKUP(B72,'w7'!$B:$B,'w7'!$F:$F),1)</f>
        <v>0.25277777777777777</v>
      </c>
      <c r="AR72" s="57">
        <f>_xlfn.RANK.EQ(AQ72,AQ$3:AQ$10000,1)</f>
        <v>21</v>
      </c>
      <c r="AS72" s="57">
        <f>IFERROR(IF(_xlfn.XLOOKUP(B72,'w7'!$B:$B,'w7'!$G:$G)="--",0,_xlfn.XLOOKUP(B72,'w7'!$B:$B,'w7'!$G:$G)),0)</f>
        <v>103</v>
      </c>
      <c r="AT72" s="57">
        <f>_xlfn.RANK.EQ(AS72,AS$3:AS$10000,0)</f>
        <v>52</v>
      </c>
      <c r="AU72" s="62">
        <f>IFERROR(_xlfn.XLOOKUP(B72,'w8'!$B:$B,'w8'!$C:$C),0)</f>
        <v>22.7</v>
      </c>
      <c r="AV72" s="61">
        <f>_xlfn.RANK.EQ(AU72,AU$3:AU$10000,0)</f>
        <v>43</v>
      </c>
      <c r="AW72" s="63">
        <f>IFERROR(_xlfn.XLOOKUP(B72,'w8'!$B:$B,'w8'!$F:$F),1)</f>
        <v>0.31319444444444444</v>
      </c>
      <c r="AX72" s="61">
        <f>_xlfn.RANK.EQ(AW72,AW$3:AW$10000,1)</f>
        <v>52</v>
      </c>
      <c r="AY72" s="61">
        <f>IFERROR(IF(_xlfn.XLOOKUP(B72,'w8'!$B:$B,'w8'!$G:$G)="--",0,_xlfn.XLOOKUP(B72,'w8'!$B:$B,'w8'!$G:$G)),0)</f>
        <v>431</v>
      </c>
      <c r="AZ72" s="61">
        <f>_xlfn.RANK.EQ(AY72,AY$3:AY$10000,0)</f>
        <v>27</v>
      </c>
      <c r="BA72" s="66">
        <f>IFERROR(_xlfn.XLOOKUP(C72,'w9'!$B:$B,'w9'!$C:$C),0)</f>
        <v>33.299999999999997</v>
      </c>
      <c r="BB72" s="67">
        <f>_xlfn.RANK.EQ(BA72,BA$3:BA$10000,0)</f>
        <v>32</v>
      </c>
      <c r="BC72" s="68">
        <f>IFERROR(_xlfn.XLOOKUP(C72,'w9'!$B:$B,'w9'!$F:$F),1)</f>
        <v>0.30555555555555558</v>
      </c>
      <c r="BD72" s="67">
        <f>_xlfn.RANK.EQ(BC72,BC$3:BC$10000,1)</f>
        <v>42</v>
      </c>
      <c r="BE72" s="67">
        <f>IFERROR(IF(_xlfn.XLOOKUP(C72,'w9'!$B:$B,'w9'!$G:$G)="--",0,_xlfn.XLOOKUP(C72,'w9'!$B:$B,'w9'!$G:$G)),0)</f>
        <v>673</v>
      </c>
      <c r="BF72" s="67">
        <f>_xlfn.RANK.EQ(BE72,BE$3:BE$10000,0)</f>
        <v>17</v>
      </c>
      <c r="BG72" s="72">
        <f>IFERROR(_xlfn.XLOOKUP(B72,'w10'!$B:$B,'w10'!$C:$C),0)</f>
        <v>9.6</v>
      </c>
      <c r="BH72" s="74">
        <f>_xlfn.RANK.EQ(BG72,BG$3:BG$10000,0)</f>
        <v>69</v>
      </c>
      <c r="BI72" s="75">
        <f>IFERROR(_xlfn.XLOOKUP(B72,'w10'!$B:$B,'w10'!$F:$F),1)</f>
        <v>0.26666666666666666</v>
      </c>
      <c r="BJ72" s="74">
        <f>_xlfn.RANK.EQ(BI72,BI$3:BI$10000,1)</f>
        <v>36</v>
      </c>
      <c r="BK72" s="74">
        <f>IFERROR(IF(_xlfn.XLOOKUP(B72,'w10'!$B:$B,'w10'!$G:$G)="--",0,_xlfn.XLOOKUP(B72,'w10'!$B:$B,'w10'!$G:$G)),0)</f>
        <v>90</v>
      </c>
      <c r="BL72" s="74">
        <f>_xlfn.RANK.EQ(BK72,BK$3:BK$10000,0)</f>
        <v>61</v>
      </c>
      <c r="BM72" s="78">
        <f>IFERROR(_xlfn.XLOOKUP(B72,'w11'!$B:$B,'w11'!$C:$C),0)</f>
        <v>13.3</v>
      </c>
      <c r="BN72" s="80">
        <f>_xlfn.RANK.EQ(BM72,BM$3:BM$10000,0)</f>
        <v>55</v>
      </c>
      <c r="BO72" s="81">
        <f>IFERROR(_xlfn.XLOOKUP(B72,'w11'!$B:$B,'w11'!$F:$F),1)</f>
        <v>0.28680555555555554</v>
      </c>
      <c r="BP72" s="80">
        <f>_xlfn.RANK.EQ(BO72,BO$3:BO$10000,1)</f>
        <v>44</v>
      </c>
      <c r="BQ72" s="80">
        <f>IFERROR(IF(_xlfn.XLOOKUP(B72,'w11'!$B:$B,'w11'!$G:$G)="--",0,_xlfn.XLOOKUP(B72,'w11'!$B:$B,'w11'!$G:$G)),0)</f>
        <v>325</v>
      </c>
      <c r="BR72" s="80">
        <f>_xlfn.RANK.EQ(BQ72,BQ$3:BQ$10000,0)</f>
        <v>27</v>
      </c>
      <c r="BS72" s="83">
        <f>IFERROR(_xlfn.XLOOKUP(B72,'w12'!$B:$B,'w12'!$C:$C),0)</f>
        <v>14.3</v>
      </c>
      <c r="BT72" s="86">
        <f>_xlfn.RANK.EQ(BS72,BS$3:BS$10000,0)</f>
        <v>48</v>
      </c>
      <c r="BU72" s="87">
        <f>IFERROR(_xlfn.XLOOKUP(B72,'w12'!$B:$B,'w12'!$F:$F),1)</f>
        <v>0.26805555555555555</v>
      </c>
      <c r="BV72" s="86">
        <f>_xlfn.RANK.EQ(BU72,BU$3:BU$10000,1)</f>
        <v>33</v>
      </c>
      <c r="BW72" s="86">
        <f>IFERROR(IF(_xlfn.XLOOKUP(B72,'w12'!$B:$B,'w12'!$G:$G)="--",0,_xlfn.XLOOKUP(B72,'w12'!$B:$B,'w12'!$G:$G)),0)</f>
        <v>319</v>
      </c>
      <c r="BX72" s="86">
        <f>_xlfn.RANK.EQ(BW72,BW$3:BW$10000,0)</f>
        <v>21</v>
      </c>
      <c r="BY72" s="89">
        <f>IFERROR(_xlfn.XLOOKUP(B72,'w13'!$B:$B,'w13'!$C:$C),0)</f>
        <v>16.3</v>
      </c>
      <c r="BZ72" s="92">
        <f>_xlfn.RANK.EQ(BY72,BY$3:BY$10000,0)</f>
        <v>52</v>
      </c>
      <c r="CA72" s="93">
        <f>IFERROR(_xlfn.XLOOKUP(B72,'w13'!$B:$B,'w13'!$F:$F),1)</f>
        <v>0.31805555555555554</v>
      </c>
      <c r="CB72" s="92">
        <f>_xlfn.RANK.EQ(CA72,CA$3:CA$10000,1)</f>
        <v>54</v>
      </c>
      <c r="CC72" s="92">
        <f>IFERROR(IF(_xlfn.XLOOKUP(B72,'w13'!$B:$B,'w13'!$G:$G)="--",0,_xlfn.XLOOKUP(B72,'w13'!$B:$B,'w13'!$G:$G)),0)</f>
        <v>530</v>
      </c>
      <c r="CD72" s="92">
        <f>_xlfn.RANK.EQ(CC72,CC$3:CC$10000,0)</f>
        <v>17</v>
      </c>
      <c r="CE72" s="95">
        <f>IFERROR(_xlfn.XLOOKUP(B72,'w14'!$B:$B,'w14'!$C:$C),0)</f>
        <v>10.6</v>
      </c>
      <c r="CF72" s="98">
        <f>_xlfn.RANK.EQ(CE72,CE$3:CE$10000,0)</f>
        <v>54</v>
      </c>
      <c r="CG72" s="99">
        <f>IFERROR(_xlfn.XLOOKUP(B72,'w14'!$B:$B,'w14'!$F:$F),1)</f>
        <v>0.23680555555555555</v>
      </c>
      <c r="CH72" s="98">
        <f>_xlfn.RANK.EQ(CG72,CG$3:CG$10000,1)</f>
        <v>9</v>
      </c>
      <c r="CI72" s="98">
        <f>IFERROR(IF(_xlfn.XLOOKUP(B72,'w14'!$B:$B,'w14'!$G:$G)="--",0,_xlfn.XLOOKUP(B72,'w14'!$B:$B,'w14'!$G:$G)),0)</f>
        <v>101</v>
      </c>
      <c r="CJ72" s="98">
        <f>_xlfn.RANK.EQ(CI72,CI$3:CI$10000,0)</f>
        <v>50</v>
      </c>
      <c r="CK72" s="9">
        <f>_xlfn.RANK.EQ(D72,D$3:D$10000,1)</f>
        <v>70</v>
      </c>
      <c r="CL72" s="26" t="s">
        <v>145</v>
      </c>
      <c r="CM72" s="8">
        <f>SUM(E72,K72,Q72,W72,AC72,AI72,AO72,AU72,BA72,BG72,BM72,BS72,BY72,CE72)</f>
        <v>130.1</v>
      </c>
      <c r="CN72" s="9">
        <f>_xlfn.RANK.EQ(CM72,CM$3:CM$10000)</f>
        <v>70</v>
      </c>
      <c r="CO72" s="15">
        <f>IFERROR(SUM(PRODUCT(E72,G72),PRODUCT(K72,M72),PRODUCT(Q72,S72),PRODUCT(W72,Y72),PRODUCT(AC72,AE72),PRODUCT(AI72,AK72),PRODUCT(AO72,AQ72),PRODUCT(AU72,AW72),PRODUCT(BA72,BC72),PRODUCT(BG72,BI72),PRODUCT(BM72,BO72),PRODUCT(BS72,BU72),PRODUCT(BY72,CA72),PRODUCT(CE72,CG72))/CM72,1)</f>
        <v>0.28988812024938082</v>
      </c>
      <c r="CP72" s="9">
        <f>_xlfn.RANK.EQ(CO72,CO$3:CO$10000,1)</f>
        <v>52</v>
      </c>
      <c r="CQ72" s="9">
        <f>SUM(I72,O72,U72,AA72,AG72,AM72,AS72,AY72,BE72,BK72,BQ72,BW72,CC72,CI72)</f>
        <v>2572</v>
      </c>
      <c r="CR72" s="9">
        <f>_xlfn.RANK.EQ(CQ72,CQ$3:CQ$10000)</f>
        <v>45</v>
      </c>
      <c r="CS72" s="23"/>
      <c r="CT72" s="25"/>
      <c r="CU72" s="24">
        <f>_xlfn.STDEV.S(F72,L72,R72,X72,AD72,AJ72,AP72,AV72,BB72,BH72,BN72,BT72,BZ72,CF72)</f>
        <v>15.415847419079878</v>
      </c>
      <c r="CV72" s="21">
        <f>_xlfn.RANK.EQ(CU72,CU$3:CU$10000,1)</f>
        <v>59</v>
      </c>
      <c r="CW72" s="24">
        <f>_xlfn.STDEV.S(H72,N72,T72,Z72,AF72,AL72,AR72,AX72,BD72,BJ72,BP72,BV72,CB72,CH72)</f>
        <v>23.191510383029257</v>
      </c>
      <c r="CX72" s="21">
        <f>_xlfn.RANK.EQ(CW72,CW$3:CW$10000,1)</f>
        <v>86</v>
      </c>
      <c r="CY72" s="24">
        <f>_xlfn.STDEV.S(J72,P72,V72,AB72,AH72,AN72,AT72,AZ72,BF72,BL72,BR72,BX72,CD72,CJ72)</f>
        <v>23.608528911447173</v>
      </c>
      <c r="CZ72" s="21">
        <f>_xlfn.RANK.EQ(CY72,CY$3:CY$10000,1)</f>
        <v>99</v>
      </c>
      <c r="DA72">
        <f>SUM(COUNTIF(E72,"&gt;0"),COUNTIF(K72,"&gt;0"),COUNTIF(Q72,"&gt;0"),COUNTIF(W72,"&gt;0"),COUNTIF(AC72,"&gt;0"),COUNTIF(AI72,"&gt;0"),COUNTIF(AO72,"&gt;0"),COUNTIF(AU72,"&gt;0"),COUNTIF(BA72,"&gt;0"),COUNTIF(BG72,"&gt;0"),COUNTIF(BM72,"&gt;0"),COUNTIF(BS72,"&gt;0"),COUNTIF(BY72,"&gt;0"),COUNTIF(CE72,"&gt;0"))</f>
        <v>8</v>
      </c>
    </row>
    <row r="73" spans="2:105" x14ac:dyDescent="0.3">
      <c r="B73" t="s">
        <v>66</v>
      </c>
      <c r="C73" s="18" t="s">
        <v>156</v>
      </c>
      <c r="D73" s="4">
        <f>CN73*$CN$1+CP73*$CP$1+CR73*$CR$1</f>
        <v>70.425000000000011</v>
      </c>
      <c r="E73" s="29">
        <f>IFERROR(_xlfn.XLOOKUP(B73,'w1'!$B:$B,'w1'!$C:$C),0)</f>
        <v>11.2</v>
      </c>
      <c r="F73" s="30">
        <f>_xlfn.RANK.EQ(E73,E$3:E$10000,0)</f>
        <v>63</v>
      </c>
      <c r="G73" s="31">
        <f>IFERROR(_xlfn.XLOOKUP(B73,'w1'!$B:$B,'w1'!$F:$F),1)</f>
        <v>0.31527777777777777</v>
      </c>
      <c r="H73" s="30">
        <f>_xlfn.RANK.EQ(G73,G$3:G$10000,1)</f>
        <v>59</v>
      </c>
      <c r="I73" s="30">
        <f>IFERROR(IF(_xlfn.XLOOKUP(B73,'w1'!$B:$B,'w1'!$G:$G)="--",0,_xlfn.XLOOKUP(B73,'w1'!$B:$B,'w1'!$G:$G)),0)</f>
        <v>268</v>
      </c>
      <c r="J73" s="30">
        <f>_xlfn.RANK.EQ(I73,I$3:I$10000,0)</f>
        <v>35</v>
      </c>
      <c r="K73" s="34">
        <f>IFERROR(_xlfn.XLOOKUP(B73,'w2'!$B:$B,'w2'!$C:$C),0)</f>
        <v>7.2</v>
      </c>
      <c r="L73" s="35">
        <f>_xlfn.RANK.EQ(K73,K$3:K$10000,0)</f>
        <v>67</v>
      </c>
      <c r="M73" s="36">
        <f>IFERROR(_xlfn.XLOOKUP(B73,'w2'!$B:$B,'w2'!$F:$F),1)</f>
        <v>0.32430555555555557</v>
      </c>
      <c r="N73" s="35">
        <f>_xlfn.RANK.EQ(M73,M$3:M$10000,1)</f>
        <v>53</v>
      </c>
      <c r="O73" s="35">
        <f>IFERROR(IF(_xlfn.XLOOKUP(B73,'w2'!$B:$B,'w2'!$G:$G)="--",0,_xlfn.XLOOKUP(B73,'w2'!$B:$B,'w2'!$G:$G)),0)</f>
        <v>107</v>
      </c>
      <c r="P73" s="35">
        <f>_xlfn.RANK.EQ(O73,O$3:O$10000,0)</f>
        <v>53</v>
      </c>
      <c r="Q73" s="39">
        <f>IFERROR(_xlfn.XLOOKUP(B73,'w3'!$B:$B,'w3'!$C:$C),0)</f>
        <v>10</v>
      </c>
      <c r="R73" s="40">
        <f>_xlfn.RANK.EQ(Q73,Q$3:Q$10000,0)</f>
        <v>67</v>
      </c>
      <c r="S73" s="41">
        <f>IFERROR(_xlfn.XLOOKUP(B73,'w3'!$B:$B,'w3'!$F:$F),1)</f>
        <v>0.3</v>
      </c>
      <c r="T73" s="40">
        <f>_xlfn.RANK.EQ(S73,S$3:S$10000,1)</f>
        <v>54</v>
      </c>
      <c r="U73" s="40">
        <f>IFERROR(IF(_xlfn.XLOOKUP(B73,'w3'!$B:$B,'w3'!$G:$G)="--",0,_xlfn.XLOOKUP(B73,'w3'!$B:$B,'w3'!$G:$G)),0)</f>
        <v>90</v>
      </c>
      <c r="V73" s="40">
        <f>_xlfn.RANK.EQ(U73,U$3:U$10000,0)</f>
        <v>62</v>
      </c>
      <c r="W73" s="44">
        <f>IFERROR(_xlfn.XLOOKUP(B73,'w4'!$B:$B,'w4'!$C:$C),0)</f>
        <v>0</v>
      </c>
      <c r="X73" s="45">
        <f>_xlfn.RANK.EQ(W73,W$3:W$10000,0)</f>
        <v>76</v>
      </c>
      <c r="Y73" s="46">
        <f>IFERROR(_xlfn.XLOOKUP(B73,'w4'!$B:$B,'w4'!$F:$F),1)</f>
        <v>1</v>
      </c>
      <c r="Z73" s="45">
        <f>_xlfn.RANK.EQ(Y73,Y$3:Y$10000,1)</f>
        <v>76</v>
      </c>
      <c r="AA73" s="45">
        <f>IFERROR(IF(_xlfn.XLOOKUP(B73,'w4'!$B:$B,'w4'!$G:$G)="--",0,_xlfn.XLOOKUP(B73,'w4'!$B:$B,'w4'!$G:$G)),0)</f>
        <v>0</v>
      </c>
      <c r="AB73" s="45">
        <f>_xlfn.RANK.EQ(AA73,AA$3:AA$10000,0)</f>
        <v>68</v>
      </c>
      <c r="AC73" s="13">
        <f>IFERROR(_xlfn.XLOOKUP(B73,'w5'!$B:$B,'w5'!$C:$C),0)</f>
        <v>10.199999999999999</v>
      </c>
      <c r="AD73" s="12">
        <f>_xlfn.RANK.EQ(AC73,AC$3:AC$10000,0)</f>
        <v>65</v>
      </c>
      <c r="AE73" s="14">
        <f>IFERROR(_xlfn.XLOOKUP(B73,'w5'!$B:$B,'w5'!$F:$F),1)</f>
        <v>0.32013888888888886</v>
      </c>
      <c r="AF73" s="12">
        <f>_xlfn.RANK.EQ(AE73,AE$3:AE$10000,1)</f>
        <v>48</v>
      </c>
      <c r="AG73" s="12">
        <f>IFERROR(IF(_xlfn.XLOOKUP(B73,'w5'!$B:$B,'w5'!$G:$G)="--",0,_xlfn.XLOOKUP(B73,'w5'!$B:$B,'w5'!$G:$G)),0)</f>
        <v>190</v>
      </c>
      <c r="AH73" s="12">
        <f>_xlfn.RANK.EQ(AG73,AG$3:AG$10000,0)</f>
        <v>47</v>
      </c>
      <c r="AI73" s="51">
        <f>IFERROR(_xlfn.XLOOKUP(B73,'w6'!$B:$B,'w6'!$C:$C),0)</f>
        <v>0</v>
      </c>
      <c r="AJ73" s="50">
        <f>_xlfn.RANK.EQ(AI73,AI$3:AI$10000,0)</f>
        <v>65</v>
      </c>
      <c r="AK73" s="52">
        <f>IFERROR(_xlfn.XLOOKUP(B73,'w6'!$B:$B,'w6'!$F:$F),1)</f>
        <v>1</v>
      </c>
      <c r="AL73" s="50">
        <f>_xlfn.RANK.EQ(AK73,AK$3:AK$10000,1)</f>
        <v>65</v>
      </c>
      <c r="AM73" s="50">
        <f>IFERROR(IF(_xlfn.XLOOKUP(B73,'w6'!$B:$B,'w6'!$G:$G)="--",0,_xlfn.XLOOKUP(B73,'w6'!$B:$B,'w6'!$G:$G)),0)</f>
        <v>0</v>
      </c>
      <c r="AN73" s="50">
        <f>_xlfn.RANK.EQ(AM73,AM$3:AM$10000,0)</f>
        <v>61</v>
      </c>
      <c r="AO73" s="56">
        <f>IFERROR(_xlfn.XLOOKUP(B73,'w7'!$B:$B,'w7'!$C:$C),0)</f>
        <v>18</v>
      </c>
      <c r="AP73" s="57">
        <f>_xlfn.RANK.EQ(AO73,AO$3:AO$10000,0)</f>
        <v>45</v>
      </c>
      <c r="AQ73" s="58">
        <f>IFERROR(_xlfn.XLOOKUP(B73,'w7'!$B:$B,'w7'!$F:$F),1)</f>
        <v>0.30694444444444446</v>
      </c>
      <c r="AR73" s="57">
        <f>_xlfn.RANK.EQ(AQ73,AQ$3:AQ$10000,1)</f>
        <v>45</v>
      </c>
      <c r="AS73" s="57">
        <f>IFERROR(IF(_xlfn.XLOOKUP(B73,'w7'!$B:$B,'w7'!$G:$G)="--",0,_xlfn.XLOOKUP(B73,'w7'!$B:$B,'w7'!$G:$G)),0)</f>
        <v>199</v>
      </c>
      <c r="AT73" s="57">
        <f>_xlfn.RANK.EQ(AS73,AS$3:AS$10000,0)</f>
        <v>35</v>
      </c>
      <c r="AU73" s="62">
        <f>IFERROR(_xlfn.XLOOKUP(B73,'w8'!$B:$B,'w8'!$C:$C),0)</f>
        <v>26.4</v>
      </c>
      <c r="AV73" s="61">
        <f>_xlfn.RANK.EQ(AU73,AU$3:AU$10000,0)</f>
        <v>38</v>
      </c>
      <c r="AW73" s="63">
        <f>IFERROR(_xlfn.XLOOKUP(B73,'w8'!$B:$B,'w8'!$F:$F),1)</f>
        <v>0.32083333333333336</v>
      </c>
      <c r="AX73" s="61">
        <f>_xlfn.RANK.EQ(AW73,AW$3:AW$10000,1)</f>
        <v>56</v>
      </c>
      <c r="AY73" s="61">
        <f>IFERROR(IF(_xlfn.XLOOKUP(B73,'w8'!$B:$B,'w8'!$G:$G)="--",0,_xlfn.XLOOKUP(B73,'w8'!$B:$B,'w8'!$G:$G)),0)</f>
        <v>423</v>
      </c>
      <c r="AZ73" s="61">
        <f>_xlfn.RANK.EQ(AY73,AY$3:AY$10000,0)</f>
        <v>29</v>
      </c>
      <c r="BA73" s="66">
        <f>IFERROR(_xlfn.XLOOKUP(C73,'w9'!$B:$B,'w9'!$C:$C),0)</f>
        <v>23.4</v>
      </c>
      <c r="BB73" s="67">
        <f>_xlfn.RANK.EQ(BA73,BA$3:BA$10000,0)</f>
        <v>48</v>
      </c>
      <c r="BC73" s="68">
        <f>IFERROR(_xlfn.XLOOKUP(C73,'w9'!$B:$B,'w9'!$F:$F),1)</f>
        <v>0.33194444444444443</v>
      </c>
      <c r="BD73" s="67">
        <f>_xlfn.RANK.EQ(BC73,BC$3:BC$10000,1)</f>
        <v>57</v>
      </c>
      <c r="BE73" s="67">
        <f>IFERROR(IF(_xlfn.XLOOKUP(C73,'w9'!$B:$B,'w9'!$G:$G)="--",0,_xlfn.XLOOKUP(C73,'w9'!$B:$B,'w9'!$G:$G)),0)</f>
        <v>435</v>
      </c>
      <c r="BF73" s="67">
        <f>_xlfn.RANK.EQ(BE73,BE$3:BE$10000,0)</f>
        <v>35</v>
      </c>
      <c r="BG73" s="72">
        <f>IFERROR(_xlfn.XLOOKUP(B73,'w10'!$B:$B,'w10'!$C:$C),0)</f>
        <v>9.3000000000000007</v>
      </c>
      <c r="BH73" s="74">
        <f>_xlfn.RANK.EQ(BG73,BG$3:BG$10000,0)</f>
        <v>70</v>
      </c>
      <c r="BI73" s="75">
        <f>IFERROR(_xlfn.XLOOKUP(B73,'w10'!$B:$B,'w10'!$F:$F),1)</f>
        <v>0.30069444444444443</v>
      </c>
      <c r="BJ73" s="74">
        <f>_xlfn.RANK.EQ(BI73,BI$3:BI$10000,1)</f>
        <v>52</v>
      </c>
      <c r="BK73" s="74">
        <f>IFERROR(IF(_xlfn.XLOOKUP(B73,'w10'!$B:$B,'w10'!$G:$G)="--",0,_xlfn.XLOOKUP(B73,'w10'!$B:$B,'w10'!$G:$G)),0)</f>
        <v>110</v>
      </c>
      <c r="BL73" s="74">
        <f>_xlfn.RANK.EQ(BK73,BK$3:BK$10000,0)</f>
        <v>55</v>
      </c>
      <c r="BM73" s="78">
        <f>IFERROR(_xlfn.XLOOKUP(B73,'w11'!$B:$B,'w11'!$C:$C),0)</f>
        <v>0</v>
      </c>
      <c r="BN73" s="80">
        <f>_xlfn.RANK.EQ(BM73,BM$3:BM$10000,0)</f>
        <v>76</v>
      </c>
      <c r="BO73" s="81">
        <f>IFERROR(_xlfn.XLOOKUP(B73,'w11'!$B:$B,'w11'!$F:$F),1)</f>
        <v>1</v>
      </c>
      <c r="BP73" s="80">
        <f>_xlfn.RANK.EQ(BO73,BO$3:BO$10000,1)</f>
        <v>76</v>
      </c>
      <c r="BQ73" s="80">
        <f>IFERROR(IF(_xlfn.XLOOKUP(B73,'w11'!$B:$B,'w11'!$G:$G)="--",0,_xlfn.XLOOKUP(B73,'w11'!$B:$B,'w11'!$G:$G)),0)</f>
        <v>0</v>
      </c>
      <c r="BR73" s="80">
        <f>_xlfn.RANK.EQ(BQ73,BQ$3:BQ$10000,0)</f>
        <v>75</v>
      </c>
      <c r="BS73" s="83">
        <f>IFERROR(_xlfn.XLOOKUP(B73,'w12'!$B:$B,'w12'!$C:$C),0)</f>
        <v>12.5</v>
      </c>
      <c r="BT73" s="86">
        <f>_xlfn.RANK.EQ(BS73,BS$3:BS$10000,0)</f>
        <v>52</v>
      </c>
      <c r="BU73" s="87">
        <f>IFERROR(_xlfn.XLOOKUP(B73,'w12'!$B:$B,'w12'!$F:$F),1)</f>
        <v>0.3298611111111111</v>
      </c>
      <c r="BV73" s="86">
        <f>_xlfn.RANK.EQ(BU73,BU$3:BU$10000,1)</f>
        <v>60</v>
      </c>
      <c r="BW73" s="86">
        <f>IFERROR(IF(_xlfn.XLOOKUP(B73,'w12'!$B:$B,'w12'!$G:$G)="--",0,_xlfn.XLOOKUP(B73,'w12'!$B:$B,'w12'!$G:$G)),0)</f>
        <v>227</v>
      </c>
      <c r="BX73" s="86">
        <f>_xlfn.RANK.EQ(BW73,BW$3:BW$10000,0)</f>
        <v>35</v>
      </c>
      <c r="BY73" s="89">
        <f>IFERROR(_xlfn.XLOOKUP(B73,'w13'!$B:$B,'w13'!$C:$C),0)</f>
        <v>0</v>
      </c>
      <c r="BZ73" s="92">
        <f>_xlfn.RANK.EQ(BY73,BY$3:BY$10000,0)</f>
        <v>76</v>
      </c>
      <c r="CA73" s="93">
        <f>IFERROR(_xlfn.XLOOKUP(B73,'w13'!$B:$B,'w13'!$F:$F),1)</f>
        <v>1</v>
      </c>
      <c r="CB73" s="92">
        <f>_xlfn.RANK.EQ(CA73,CA$3:CA$10000,1)</f>
        <v>76</v>
      </c>
      <c r="CC73" s="92">
        <f>IFERROR(IF(_xlfn.XLOOKUP(B73,'w13'!$B:$B,'w13'!$G:$G)="--",0,_xlfn.XLOOKUP(B73,'w13'!$B:$B,'w13'!$G:$G)),0)</f>
        <v>0</v>
      </c>
      <c r="CD73" s="92">
        <f>_xlfn.RANK.EQ(CC73,CC$3:CC$10000,0)</f>
        <v>76</v>
      </c>
      <c r="CE73" s="95">
        <f>IFERROR(_xlfn.XLOOKUP(B73,'w14'!$B:$B,'w14'!$C:$C),0)</f>
        <v>0</v>
      </c>
      <c r="CF73" s="98">
        <f>_xlfn.RANK.EQ(CE73,CE$3:CE$10000,0)</f>
        <v>69</v>
      </c>
      <c r="CG73" s="99">
        <f>IFERROR(_xlfn.XLOOKUP(B73,'w14'!$B:$B,'w14'!$F:$F),1)</f>
        <v>1</v>
      </c>
      <c r="CH73" s="98">
        <f>_xlfn.RANK.EQ(CG73,CG$3:CG$10000,1)</f>
        <v>69</v>
      </c>
      <c r="CI73" s="98">
        <f>IFERROR(IF(_xlfn.XLOOKUP(B73,'w14'!$B:$B,'w14'!$G:$G)="--",0,_xlfn.XLOOKUP(B73,'w14'!$B:$B,'w14'!$G:$G)),0)</f>
        <v>0</v>
      </c>
      <c r="CJ73" s="98">
        <f>_xlfn.RANK.EQ(CI73,CI$3:CI$10000,0)</f>
        <v>69</v>
      </c>
      <c r="CK73" s="9">
        <f>_xlfn.RANK.EQ(D73,D$3:D$10000,1)</f>
        <v>71</v>
      </c>
      <c r="CL73" s="26" t="s">
        <v>156</v>
      </c>
      <c r="CM73" s="8">
        <f>SUM(E73,K73,Q73,W73,AC73,AI73,AO73,AU73,BA73,BG73,BM73,BS73,BY73,CE73)</f>
        <v>128.19999999999999</v>
      </c>
      <c r="CN73" s="9">
        <f>_xlfn.RANK.EQ(CM73,CM$3:CM$10000)</f>
        <v>71</v>
      </c>
      <c r="CO73" s="15">
        <f>IFERROR(SUM(PRODUCT(E73,G73),PRODUCT(K73,M73),PRODUCT(Q73,S73),PRODUCT(W73,Y73),PRODUCT(AC73,AE73),PRODUCT(AI73,AK73),PRODUCT(AO73,AQ73),PRODUCT(AU73,AW73),PRODUCT(BA73,BC73),PRODUCT(BG73,BI73),PRODUCT(BM73,BO73),PRODUCT(BS73,BU73),PRODUCT(BY73,CA73),PRODUCT(CE73,CG73))/CM73,1)</f>
        <v>0.31835998439937596</v>
      </c>
      <c r="CP73" s="9">
        <f>_xlfn.RANK.EQ(CO73,CO$3:CO$10000,1)</f>
        <v>68</v>
      </c>
      <c r="CQ73" s="9">
        <f>SUM(I73,O73,U73,AA73,AG73,AM73,AS73,AY73,BE73,BK73,BQ73,BW73,CC73,CI73)</f>
        <v>2049</v>
      </c>
      <c r="CR73" s="9">
        <f>_xlfn.RANK.EQ(CQ73,CQ$3:CQ$10000)</f>
        <v>51</v>
      </c>
      <c r="CS73" s="23"/>
      <c r="CT73" s="25"/>
      <c r="CU73" s="24">
        <f>_xlfn.STDEV.S(F73,L73,R73,X73,AD73,AJ73,AP73,AV73,BB73,BH73,BN73,BT73,BZ73,CF73)</f>
        <v>12.169363442407592</v>
      </c>
      <c r="CV73" s="21">
        <f>_xlfn.RANK.EQ(CU73,CU$3:CU$10000,1)</f>
        <v>43</v>
      </c>
      <c r="CW73" s="24">
        <f>_xlfn.STDEV.S(H73,N73,T73,Z73,AF73,AL73,AR73,AX73,BD73,BJ73,BP73,BV73,CB73,CH73)</f>
        <v>10.434515843062435</v>
      </c>
      <c r="CX73" s="21">
        <f>_xlfn.RANK.EQ(CW73,CW$3:CW$10000,1)</f>
        <v>26</v>
      </c>
      <c r="CY73" s="24">
        <f>_xlfn.STDEV.S(J73,P73,V73,AB73,AH73,AN73,AT73,AZ73,BF73,BL73,BR73,BX73,CD73,CJ73)</f>
        <v>16.519219575531267</v>
      </c>
      <c r="CZ73" s="21">
        <f>_xlfn.RANK.EQ(CY73,CY$3:CY$10000,1)</f>
        <v>63</v>
      </c>
      <c r="DA73">
        <f>SUM(COUNTIF(E73,"&gt;0"),COUNTIF(K73,"&gt;0"),COUNTIF(Q73,"&gt;0"),COUNTIF(W73,"&gt;0"),COUNTIF(AC73,"&gt;0"),COUNTIF(AI73,"&gt;0"),COUNTIF(AO73,"&gt;0"),COUNTIF(AU73,"&gt;0"),COUNTIF(BA73,"&gt;0"),COUNTIF(BG73,"&gt;0"),COUNTIF(BM73,"&gt;0"),COUNTIF(BS73,"&gt;0"),COUNTIF(BY73,"&gt;0"),COUNTIF(CE73,"&gt;0"))</f>
        <v>9</v>
      </c>
    </row>
    <row r="74" spans="2:105" x14ac:dyDescent="0.3">
      <c r="B74" t="s">
        <v>177</v>
      </c>
      <c r="C74" s="18" t="s">
        <v>187</v>
      </c>
      <c r="D74" s="4">
        <f>CN74*$CN$1+CP74*$CP$1+CR74*$CR$1</f>
        <v>71.774999999999991</v>
      </c>
      <c r="E74" s="29">
        <f>IFERROR(_xlfn.XLOOKUP(B74,'w1'!$B:$B,'w1'!$C:$C),0)</f>
        <v>0</v>
      </c>
      <c r="F74" s="30">
        <f>_xlfn.RANK.EQ(E74,E$3:E$10000,0)</f>
        <v>79</v>
      </c>
      <c r="G74" s="31">
        <f>IFERROR(_xlfn.XLOOKUP(B74,'w1'!$B:$B,'w1'!$F:$F),1)</f>
        <v>1</v>
      </c>
      <c r="H74" s="30">
        <f>_xlfn.RANK.EQ(G74,G$3:G$10000,1)</f>
        <v>79</v>
      </c>
      <c r="I74" s="30">
        <f>IFERROR(IF(_xlfn.XLOOKUP(B74,'w1'!$B:$B,'w1'!$G:$G)="--",0,_xlfn.XLOOKUP(B74,'w1'!$B:$B,'w1'!$G:$G)),0)</f>
        <v>0</v>
      </c>
      <c r="J74" s="30">
        <f>_xlfn.RANK.EQ(I74,I$3:I$10000,0)</f>
        <v>77</v>
      </c>
      <c r="K74" s="34">
        <f>IFERROR(_xlfn.XLOOKUP(B74,'w2'!$B:$B,'w2'!$C:$C),0)</f>
        <v>10.1</v>
      </c>
      <c r="L74" s="35">
        <f>_xlfn.RANK.EQ(K74,K$3:K$10000,0)</f>
        <v>61</v>
      </c>
      <c r="M74" s="36">
        <f>IFERROR(_xlfn.XLOOKUP(B74,'w2'!$B:$B,'w2'!$F:$F),1)</f>
        <v>0.25624999999999998</v>
      </c>
      <c r="N74" s="35">
        <f>_xlfn.RANK.EQ(M74,M$3:M$10000,1)</f>
        <v>18</v>
      </c>
      <c r="O74" s="35">
        <f>IFERROR(IF(_xlfn.XLOOKUP(B74,'w2'!$B:$B,'w2'!$G:$G)="--",0,_xlfn.XLOOKUP(B74,'w2'!$B:$B,'w2'!$G:$G)),0)</f>
        <v>56</v>
      </c>
      <c r="P74" s="35">
        <f>_xlfn.RANK.EQ(O74,O$3:O$10000,0)</f>
        <v>63</v>
      </c>
      <c r="Q74" s="39">
        <f>IFERROR(_xlfn.XLOOKUP(B74,'w3'!$B:$B,'w3'!$C:$C),0)</f>
        <v>10</v>
      </c>
      <c r="R74" s="40">
        <f>_xlfn.RANK.EQ(Q74,Q$3:Q$10000,0)</f>
        <v>67</v>
      </c>
      <c r="S74" s="41">
        <f>IFERROR(_xlfn.XLOOKUP(B74,'w3'!$B:$B,'w3'!$F:$F),1)</f>
        <v>0.24652777777777779</v>
      </c>
      <c r="T74" s="40">
        <f>_xlfn.RANK.EQ(S74,S$3:S$10000,1)</f>
        <v>17</v>
      </c>
      <c r="U74" s="40">
        <f>IFERROR(IF(_xlfn.XLOOKUP(B74,'w3'!$B:$B,'w3'!$G:$G)="--",0,_xlfn.XLOOKUP(B74,'w3'!$B:$B,'w3'!$G:$G)),0)</f>
        <v>109</v>
      </c>
      <c r="V74" s="40">
        <f>_xlfn.RANK.EQ(U74,U$3:U$10000,0)</f>
        <v>56</v>
      </c>
      <c r="W74" s="44">
        <f>IFERROR(_xlfn.XLOOKUP(B74,'w4'!$B:$B,'w4'!$C:$C),0)</f>
        <v>0</v>
      </c>
      <c r="X74" s="45">
        <f>_xlfn.RANK.EQ(W74,W$3:W$10000,0)</f>
        <v>76</v>
      </c>
      <c r="Y74" s="46">
        <f>IFERROR(_xlfn.XLOOKUP(B74,'w4'!$B:$B,'w4'!$F:$F),1)</f>
        <v>1</v>
      </c>
      <c r="Z74" s="45">
        <f>_xlfn.RANK.EQ(Y74,Y$3:Y$10000,1)</f>
        <v>76</v>
      </c>
      <c r="AA74" s="45">
        <f>IFERROR(IF(_xlfn.XLOOKUP(B74,'w4'!$B:$B,'w4'!$G:$G)="--",0,_xlfn.XLOOKUP(B74,'w4'!$B:$B,'w4'!$G:$G)),0)</f>
        <v>0</v>
      </c>
      <c r="AB74" s="45">
        <f>_xlfn.RANK.EQ(AA74,AA$3:AA$10000,0)</f>
        <v>68</v>
      </c>
      <c r="AC74" s="13">
        <f>IFERROR(_xlfn.XLOOKUP(B74,'w5'!$B:$B,'w5'!$C:$C),0)</f>
        <v>0</v>
      </c>
      <c r="AD74" s="12">
        <f>_xlfn.RANK.EQ(AC74,AC$3:AC$10000,0)</f>
        <v>77</v>
      </c>
      <c r="AE74" s="14">
        <f>IFERROR(_xlfn.XLOOKUP(B74,'w5'!$B:$B,'w5'!$F:$F),1)</f>
        <v>1</v>
      </c>
      <c r="AF74" s="12">
        <f>_xlfn.RANK.EQ(AE74,AE$3:AE$10000,1)</f>
        <v>76</v>
      </c>
      <c r="AG74" s="12">
        <f>IFERROR(IF(_xlfn.XLOOKUP(B74,'w5'!$B:$B,'w5'!$G:$G)="--",0,_xlfn.XLOOKUP(B74,'w5'!$B:$B,'w5'!$G:$G)),0)</f>
        <v>0</v>
      </c>
      <c r="AH74" s="12">
        <f>_xlfn.RANK.EQ(AG74,AG$3:AG$10000,0)</f>
        <v>73</v>
      </c>
      <c r="AI74" s="51">
        <f>IFERROR(_xlfn.XLOOKUP(B74,'w6'!$B:$B,'w6'!$C:$C),0)</f>
        <v>0</v>
      </c>
      <c r="AJ74" s="50">
        <f>_xlfn.RANK.EQ(AI74,AI$3:AI$10000,0)</f>
        <v>65</v>
      </c>
      <c r="AK74" s="52">
        <f>IFERROR(_xlfn.XLOOKUP(B74,'w6'!$B:$B,'w6'!$F:$F),1)</f>
        <v>1</v>
      </c>
      <c r="AL74" s="50">
        <f>_xlfn.RANK.EQ(AK74,AK$3:AK$10000,1)</f>
        <v>65</v>
      </c>
      <c r="AM74" s="50">
        <f>IFERROR(IF(_xlfn.XLOOKUP(B74,'w6'!$B:$B,'w6'!$G:$G)="--",0,_xlfn.XLOOKUP(B74,'w6'!$B:$B,'w6'!$G:$G)),0)</f>
        <v>0</v>
      </c>
      <c r="AN74" s="50">
        <f>_xlfn.RANK.EQ(AM74,AM$3:AM$10000,0)</f>
        <v>61</v>
      </c>
      <c r="AO74" s="56">
        <f>IFERROR(_xlfn.XLOOKUP(B74,'w7'!$B:$B,'w7'!$C:$C),0)</f>
        <v>18.899999999999999</v>
      </c>
      <c r="AP74" s="57">
        <f>_xlfn.RANK.EQ(AO74,AO$3:AO$10000,0)</f>
        <v>42</v>
      </c>
      <c r="AQ74" s="58">
        <f>IFERROR(_xlfn.XLOOKUP(B74,'w7'!$B:$B,'w7'!$F:$F),1)</f>
        <v>0.27013888888888887</v>
      </c>
      <c r="AR74" s="57">
        <f>_xlfn.RANK.EQ(AQ74,AQ$3:AQ$10000,1)</f>
        <v>31</v>
      </c>
      <c r="AS74" s="57">
        <f>IFERROR(IF(_xlfn.XLOOKUP(B74,'w7'!$B:$B,'w7'!$G:$G)="--",0,_xlfn.XLOOKUP(B74,'w7'!$B:$B,'w7'!$G:$G)),0)</f>
        <v>305</v>
      </c>
      <c r="AT74" s="57">
        <f>_xlfn.RANK.EQ(AS74,AS$3:AS$10000,0)</f>
        <v>29</v>
      </c>
      <c r="AU74" s="62">
        <f>IFERROR(_xlfn.XLOOKUP(B74,'w8'!$B:$B,'w8'!$C:$C),0)</f>
        <v>0</v>
      </c>
      <c r="AV74" s="61">
        <f>_xlfn.RANK.EQ(AU74,AU$3:AU$10000,0)</f>
        <v>73</v>
      </c>
      <c r="AW74" s="63">
        <f>IFERROR(_xlfn.XLOOKUP(B74,'w8'!$B:$B,'w8'!$F:$F),1)</f>
        <v>1</v>
      </c>
      <c r="AX74" s="61">
        <f>_xlfn.RANK.EQ(AW74,AW$3:AW$10000,1)</f>
        <v>73</v>
      </c>
      <c r="AY74" s="61">
        <f>IFERROR(IF(_xlfn.XLOOKUP(B74,'w8'!$B:$B,'w8'!$G:$G)="--",0,_xlfn.XLOOKUP(B74,'w8'!$B:$B,'w8'!$G:$G)),0)</f>
        <v>0</v>
      </c>
      <c r="AZ74" s="61">
        <f>_xlfn.RANK.EQ(AY74,AY$3:AY$10000,0)</f>
        <v>70</v>
      </c>
      <c r="BA74" s="66">
        <f>IFERROR(_xlfn.XLOOKUP(C74,'w9'!$B:$B,'w9'!$C:$C),0)</f>
        <v>26</v>
      </c>
      <c r="BB74" s="67">
        <f>_xlfn.RANK.EQ(BA74,BA$3:BA$10000,0)</f>
        <v>44</v>
      </c>
      <c r="BC74" s="68">
        <f>IFERROR(_xlfn.XLOOKUP(C74,'w9'!$B:$B,'w9'!$F:$F),1)</f>
        <v>0.28749999999999998</v>
      </c>
      <c r="BD74" s="67">
        <f>_xlfn.RANK.EQ(BC74,BC$3:BC$10000,1)</f>
        <v>35</v>
      </c>
      <c r="BE74" s="67">
        <f>IFERROR(IF(_xlfn.XLOOKUP(C74,'w9'!$B:$B,'w9'!$G:$G)="--",0,_xlfn.XLOOKUP(C74,'w9'!$B:$B,'w9'!$G:$G)),0)</f>
        <v>584</v>
      </c>
      <c r="BF74" s="67">
        <f>_xlfn.RANK.EQ(BE74,BE$3:BE$10000,0)</f>
        <v>19</v>
      </c>
      <c r="BG74" s="72">
        <f>IFERROR(_xlfn.XLOOKUP(B74,'w10'!$B:$B,'w10'!$C:$C),0)</f>
        <v>21.5</v>
      </c>
      <c r="BH74" s="74">
        <f>_xlfn.RANK.EQ(BG74,BG$3:BG$10000,0)</f>
        <v>40</v>
      </c>
      <c r="BI74" s="75">
        <f>IFERROR(_xlfn.XLOOKUP(B74,'w10'!$B:$B,'w10'!$F:$F),1)</f>
        <v>0.25833333333333336</v>
      </c>
      <c r="BJ74" s="74">
        <f>_xlfn.RANK.EQ(BI74,BI$3:BI$10000,1)</f>
        <v>25</v>
      </c>
      <c r="BK74" s="74">
        <f>IFERROR(IF(_xlfn.XLOOKUP(B74,'w10'!$B:$B,'w10'!$G:$G)="--",0,_xlfn.XLOOKUP(B74,'w10'!$B:$B,'w10'!$G:$G)),0)</f>
        <v>137</v>
      </c>
      <c r="BL74" s="74">
        <f>_xlfn.RANK.EQ(BK74,BK$3:BK$10000,0)</f>
        <v>46</v>
      </c>
      <c r="BM74" s="78">
        <f>IFERROR(_xlfn.XLOOKUP(B74,'w11'!$B:$B,'w11'!$C:$C),0)</f>
        <v>0</v>
      </c>
      <c r="BN74" s="80">
        <f>_xlfn.RANK.EQ(BM74,BM$3:BM$10000,0)</f>
        <v>76</v>
      </c>
      <c r="BO74" s="81">
        <f>IFERROR(_xlfn.XLOOKUP(B74,'w11'!$B:$B,'w11'!$F:$F),1)</f>
        <v>1</v>
      </c>
      <c r="BP74" s="80">
        <f>_xlfn.RANK.EQ(BO74,BO$3:BO$10000,1)</f>
        <v>76</v>
      </c>
      <c r="BQ74" s="80">
        <f>IFERROR(IF(_xlfn.XLOOKUP(B74,'w11'!$B:$B,'w11'!$G:$G)="--",0,_xlfn.XLOOKUP(B74,'w11'!$B:$B,'w11'!$G:$G)),0)</f>
        <v>0</v>
      </c>
      <c r="BR74" s="80">
        <f>_xlfn.RANK.EQ(BQ74,BQ$3:BQ$10000,0)</f>
        <v>75</v>
      </c>
      <c r="BS74" s="83">
        <f>IFERROR(_xlfn.XLOOKUP(B74,'w12'!$B:$B,'w12'!$C:$C),0)</f>
        <v>10</v>
      </c>
      <c r="BT74" s="86">
        <f>_xlfn.RANK.EQ(BS74,BS$3:BS$10000,0)</f>
        <v>59</v>
      </c>
      <c r="BU74" s="87">
        <f>IFERROR(_xlfn.XLOOKUP(B74,'w12'!$B:$B,'w12'!$F:$F),1)</f>
        <v>0.24930555555555556</v>
      </c>
      <c r="BV74" s="86">
        <f>_xlfn.RANK.EQ(BU74,BU$3:BU$10000,1)</f>
        <v>16</v>
      </c>
      <c r="BW74" s="86">
        <f>IFERROR(IF(_xlfn.XLOOKUP(B74,'w12'!$B:$B,'w12'!$G:$G)="--",0,_xlfn.XLOOKUP(B74,'w12'!$B:$B,'w12'!$G:$G)),0)</f>
        <v>85</v>
      </c>
      <c r="BX74" s="86">
        <f>_xlfn.RANK.EQ(BW74,BW$3:BW$10000,0)</f>
        <v>58</v>
      </c>
      <c r="BY74" s="89">
        <f>IFERROR(_xlfn.XLOOKUP(B74,'w13'!$B:$B,'w13'!$C:$C),0)</f>
        <v>19.7</v>
      </c>
      <c r="BZ74" s="92">
        <f>_xlfn.RANK.EQ(BY74,BY$3:BY$10000,0)</f>
        <v>40</v>
      </c>
      <c r="CA74" s="93">
        <f>IFERROR(_xlfn.XLOOKUP(B74,'w13'!$B:$B,'w13'!$F:$F),1)</f>
        <v>0.25347222222222221</v>
      </c>
      <c r="CB74" s="92">
        <f>_xlfn.RANK.EQ(CA74,CA$3:CA$10000,1)</f>
        <v>25</v>
      </c>
      <c r="CC74" s="92">
        <f>IFERROR(IF(_xlfn.XLOOKUP(B74,'w13'!$B:$B,'w13'!$G:$G)="--",0,_xlfn.XLOOKUP(B74,'w13'!$B:$B,'w13'!$G:$G)),0)</f>
        <v>222</v>
      </c>
      <c r="CD74" s="92">
        <f>_xlfn.RANK.EQ(CC74,CC$3:CC$10000,0)</f>
        <v>35</v>
      </c>
      <c r="CE74" s="95">
        <f>IFERROR(_xlfn.XLOOKUP(B74,'w14'!$B:$B,'w14'!$C:$C),0)</f>
        <v>0</v>
      </c>
      <c r="CF74" s="98">
        <f>_xlfn.RANK.EQ(CE74,CE$3:CE$10000,0)</f>
        <v>69</v>
      </c>
      <c r="CG74" s="99">
        <f>IFERROR(_xlfn.XLOOKUP(B74,'w14'!$B:$B,'w14'!$F:$F),1)</f>
        <v>1</v>
      </c>
      <c r="CH74" s="98">
        <f>_xlfn.RANK.EQ(CG74,CG$3:CG$10000,1)</f>
        <v>69</v>
      </c>
      <c r="CI74" s="98">
        <f>IFERROR(IF(_xlfn.XLOOKUP(B74,'w14'!$B:$B,'w14'!$G:$G)="--",0,_xlfn.XLOOKUP(B74,'w14'!$B:$B,'w14'!$G:$G)),0)</f>
        <v>0</v>
      </c>
      <c r="CJ74" s="98">
        <f>_xlfn.RANK.EQ(CI74,CI$3:CI$10000,0)</f>
        <v>69</v>
      </c>
      <c r="CK74" s="9">
        <f>_xlfn.RANK.EQ(D74,D$3:D$10000,1)</f>
        <v>72</v>
      </c>
      <c r="CL74" s="26" t="s">
        <v>187</v>
      </c>
      <c r="CM74" s="8">
        <f>SUM(E74,K74,Q74,W74,AC74,AI74,AO74,AU74,BA74,BG74,BM74,BS74,BY74,CE74)</f>
        <v>116.2</v>
      </c>
      <c r="CN74" s="9">
        <f>_xlfn.RANK.EQ(CM74,CM$3:CM$10000)</f>
        <v>73</v>
      </c>
      <c r="CO74" s="15">
        <f>IFERROR(SUM(PRODUCT(E74,G74),PRODUCT(K74,M74),PRODUCT(Q74,S74),PRODUCT(W74,Y74),PRODUCT(AC74,AE74),PRODUCT(AI74,AK74),PRODUCT(AO74,AQ74),PRODUCT(AU74,AW74),PRODUCT(BA74,BC74),PRODUCT(BG74,BI74),PRODUCT(BM74,BO74),PRODUCT(BS74,BU74),PRODUCT(BY74,CA74),PRODUCT(CE74,CG74))/CM74,1)</f>
        <v>0.26398152132338876</v>
      </c>
      <c r="CP74" s="9">
        <f>_xlfn.RANK.EQ(CO74,CO$3:CO$10000,1)</f>
        <v>32</v>
      </c>
      <c r="CQ74" s="9">
        <f>SUM(I74,O74,U74,AA74,AG74,AM74,AS74,AY74,BE74,BK74,BQ74,BW74,CC74,CI74)</f>
        <v>1498</v>
      </c>
      <c r="CR74" s="9">
        <f>_xlfn.RANK.EQ(CQ74,CQ$3:CQ$10000)</f>
        <v>65</v>
      </c>
      <c r="CS74" s="23"/>
      <c r="CT74" s="25"/>
      <c r="CU74" s="24">
        <f>_xlfn.STDEV.S(F74,L74,R74,X74,AD74,AJ74,AP74,AV74,BB74,BH74,BN74,BT74,BZ74,CF74)</f>
        <v>14.707402636349231</v>
      </c>
      <c r="CV74" s="21">
        <f>_xlfn.RANK.EQ(CU74,CU$3:CU$10000,1)</f>
        <v>55</v>
      </c>
      <c r="CW74" s="24">
        <f>_xlfn.STDEV.S(H74,N74,T74,Z74,AF74,AL74,AR74,AX74,BD74,BJ74,BP74,BV74,CB74,CH74)</f>
        <v>26.403983215990905</v>
      </c>
      <c r="CX74" s="21">
        <f>_xlfn.RANK.EQ(CW74,CW$3:CW$10000,1)</f>
        <v>99</v>
      </c>
      <c r="CY74" s="24">
        <f>_xlfn.STDEV.S(J74,P74,V74,AB74,AH74,AN74,AT74,AZ74,BF74,BL74,BR74,BX74,CD74,CJ74)</f>
        <v>18.189025794161143</v>
      </c>
      <c r="CZ74" s="21">
        <f>_xlfn.RANK.EQ(CY74,CY$3:CY$10000,1)</f>
        <v>76</v>
      </c>
      <c r="DA74">
        <f>SUM(COUNTIF(E74,"&gt;0"),COUNTIF(K74,"&gt;0"),COUNTIF(Q74,"&gt;0"),COUNTIF(W74,"&gt;0"),COUNTIF(AC74,"&gt;0"),COUNTIF(AI74,"&gt;0"),COUNTIF(AO74,"&gt;0"),COUNTIF(AU74,"&gt;0"),COUNTIF(BA74,"&gt;0"),COUNTIF(BG74,"&gt;0"),COUNTIF(BM74,"&gt;0"),COUNTIF(BS74,"&gt;0"),COUNTIF(BY74,"&gt;0"),COUNTIF(CE74,"&gt;0"))</f>
        <v>7</v>
      </c>
    </row>
    <row r="75" spans="2:105" x14ac:dyDescent="0.3">
      <c r="B75" t="s">
        <v>219</v>
      </c>
      <c r="C75" s="18" t="s">
        <v>222</v>
      </c>
      <c r="D75" s="4">
        <f>CN75*$CN$1+CP75*$CP$1+CR75*$CR$1</f>
        <v>72.575000000000003</v>
      </c>
      <c r="E75" s="29">
        <f>IFERROR(_xlfn.XLOOKUP(B75,'w1'!$B:$B,'w1'!$C:$C),0)</f>
        <v>0</v>
      </c>
      <c r="F75" s="30">
        <f>_xlfn.RANK.EQ(E75,E$3:E$10000,0)</f>
        <v>79</v>
      </c>
      <c r="G75" s="31">
        <f>IFERROR(_xlfn.XLOOKUP(B75,'w1'!$B:$B,'w1'!$F:$F),1)</f>
        <v>1</v>
      </c>
      <c r="H75" s="30">
        <f>_xlfn.RANK.EQ(G75,G$3:G$10000,1)</f>
        <v>79</v>
      </c>
      <c r="I75" s="30">
        <f>IFERROR(IF(_xlfn.XLOOKUP(B75,'w1'!$B:$B,'w1'!$G:$G)="--",0,_xlfn.XLOOKUP(B75,'w1'!$B:$B,'w1'!$G:$G)),0)</f>
        <v>0</v>
      </c>
      <c r="J75" s="30">
        <f>_xlfn.RANK.EQ(I75,I$3:I$10000,0)</f>
        <v>77</v>
      </c>
      <c r="K75" s="34">
        <f>IFERROR(_xlfn.XLOOKUP(B75,'w2'!$B:$B,'w2'!$C:$C),0)</f>
        <v>0</v>
      </c>
      <c r="L75" s="35">
        <f>_xlfn.RANK.EQ(K75,K$3:K$10000,0)</f>
        <v>73</v>
      </c>
      <c r="M75" s="36">
        <f>IFERROR(_xlfn.XLOOKUP(B75,'w2'!$B:$B,'w2'!$F:$F),1)</f>
        <v>1</v>
      </c>
      <c r="N75" s="35">
        <f>_xlfn.RANK.EQ(M75,M$3:M$10000,1)</f>
        <v>72</v>
      </c>
      <c r="O75" s="35">
        <f>IFERROR(IF(_xlfn.XLOOKUP(B75,'w2'!$B:$B,'w2'!$G:$G)="--",0,_xlfn.XLOOKUP(B75,'w2'!$B:$B,'w2'!$G:$G)),0)</f>
        <v>0</v>
      </c>
      <c r="P75" s="35">
        <f>_xlfn.RANK.EQ(O75,O$3:O$10000,0)</f>
        <v>71</v>
      </c>
      <c r="Q75" s="39">
        <f>IFERROR(_xlfn.XLOOKUP(B75,'w3'!$B:$B,'w3'!$C:$C),0)</f>
        <v>0</v>
      </c>
      <c r="R75" s="40">
        <f>_xlfn.RANK.EQ(Q75,Q$3:Q$10000,0)</f>
        <v>84</v>
      </c>
      <c r="S75" s="41">
        <f>IFERROR(_xlfn.XLOOKUP(B75,'w3'!$B:$B,'w3'!$F:$F),1)</f>
        <v>1</v>
      </c>
      <c r="T75" s="40">
        <f>_xlfn.RANK.EQ(S75,S$3:S$10000,1)</f>
        <v>83</v>
      </c>
      <c r="U75" s="40">
        <f>IFERROR(IF(_xlfn.XLOOKUP(B75,'w3'!$B:$B,'w3'!$G:$G)="--",0,_xlfn.XLOOKUP(B75,'w3'!$B:$B,'w3'!$G:$G)),0)</f>
        <v>0</v>
      </c>
      <c r="V75" s="40">
        <f>_xlfn.RANK.EQ(U75,U$3:U$10000,0)</f>
        <v>80</v>
      </c>
      <c r="W75" s="44">
        <f>IFERROR(_xlfn.XLOOKUP(B75,'w4'!$B:$B,'w4'!$C:$C),0)</f>
        <v>0</v>
      </c>
      <c r="X75" s="45">
        <f>_xlfn.RANK.EQ(W75,W$3:W$10000,0)</f>
        <v>76</v>
      </c>
      <c r="Y75" s="46">
        <f>IFERROR(_xlfn.XLOOKUP(B75,'w4'!$B:$B,'w4'!$F:$F),1)</f>
        <v>1</v>
      </c>
      <c r="Z75" s="45">
        <f>_xlfn.RANK.EQ(Y75,Y$3:Y$10000,1)</f>
        <v>76</v>
      </c>
      <c r="AA75" s="45">
        <f>IFERROR(IF(_xlfn.XLOOKUP(B75,'w4'!$B:$B,'w4'!$G:$G)="--",0,_xlfn.XLOOKUP(B75,'w4'!$B:$B,'w4'!$G:$G)),0)</f>
        <v>0</v>
      </c>
      <c r="AB75" s="45">
        <f>_xlfn.RANK.EQ(AA75,AA$3:AA$10000,0)</f>
        <v>68</v>
      </c>
      <c r="AC75" s="13">
        <f>IFERROR(_xlfn.XLOOKUP(B75,'w5'!$B:$B,'w5'!$C:$C),0)</f>
        <v>0</v>
      </c>
      <c r="AD75" s="12">
        <f>_xlfn.RANK.EQ(AC75,AC$3:AC$10000,0)</f>
        <v>77</v>
      </c>
      <c r="AE75" s="14">
        <f>IFERROR(_xlfn.XLOOKUP(B75,'w5'!$B:$B,'w5'!$F:$F),1)</f>
        <v>1</v>
      </c>
      <c r="AF75" s="12">
        <f>_xlfn.RANK.EQ(AE75,AE$3:AE$10000,1)</f>
        <v>76</v>
      </c>
      <c r="AG75" s="12">
        <f>IFERROR(IF(_xlfn.XLOOKUP(B75,'w5'!$B:$B,'w5'!$G:$G)="--",0,_xlfn.XLOOKUP(B75,'w5'!$B:$B,'w5'!$G:$G)),0)</f>
        <v>0</v>
      </c>
      <c r="AH75" s="12">
        <f>_xlfn.RANK.EQ(AG75,AG$3:AG$10000,0)</f>
        <v>73</v>
      </c>
      <c r="AI75" s="51">
        <f>IFERROR(_xlfn.XLOOKUP(B75,'w6'!$B:$B,'w6'!$C:$C),0)</f>
        <v>12.8</v>
      </c>
      <c r="AJ75" s="50">
        <f>_xlfn.RANK.EQ(AI75,AI$3:AI$10000,0)</f>
        <v>38</v>
      </c>
      <c r="AK75" s="53">
        <f>IFERROR(_xlfn.XLOOKUP(B75,'w6'!$B:$B,'w6'!$F:$F),1)</f>
        <v>0.41180555555555554</v>
      </c>
      <c r="AL75" s="50">
        <f>_xlfn.RANK.EQ(AK75,AK$3:AK$10000,1)</f>
        <v>60</v>
      </c>
      <c r="AM75" s="50">
        <f>IFERROR(IF(_xlfn.XLOOKUP(B75,'w6'!$B:$B,'w6'!$G:$G)="--",0,_xlfn.XLOOKUP(B75,'w6'!$B:$B,'w6'!$G:$G)),0)</f>
        <v>65</v>
      </c>
      <c r="AN75" s="50">
        <f>_xlfn.RANK.EQ(AM75,AM$3:AM$10000,0)</f>
        <v>56</v>
      </c>
      <c r="AO75" s="56">
        <f>IFERROR(_xlfn.XLOOKUP(B75,'w7'!$B:$B,'w7'!$C:$C),0)</f>
        <v>9.3000000000000007</v>
      </c>
      <c r="AP75" s="57">
        <f>_xlfn.RANK.EQ(AO75,AO$3:AO$10000,0)</f>
        <v>57</v>
      </c>
      <c r="AQ75" s="58">
        <f>IFERROR(_xlfn.XLOOKUP(B75,'w7'!$B:$B,'w7'!$F:$F),1)</f>
        <v>0.6743055555555556</v>
      </c>
      <c r="AR75" s="57">
        <f>_xlfn.RANK.EQ(AQ75,AQ$3:AQ$10000,1)</f>
        <v>71</v>
      </c>
      <c r="AS75" s="57">
        <f>IFERROR(IF(_xlfn.XLOOKUP(B75,'w7'!$B:$B,'w7'!$G:$G)="--",0,_xlfn.XLOOKUP(B75,'w7'!$B:$B,'w7'!$G:$G)),0)</f>
        <v>193</v>
      </c>
      <c r="AT75" s="57">
        <f>_xlfn.RANK.EQ(AS75,AS$3:AS$10000,0)</f>
        <v>36</v>
      </c>
      <c r="AU75" s="62">
        <f>IFERROR(_xlfn.XLOOKUP(B75,'w8'!$B:$B,'w8'!$C:$C),0)</f>
        <v>13</v>
      </c>
      <c r="AV75" s="61">
        <f>_xlfn.RANK.EQ(AU75,AU$3:AU$10000,0)</f>
        <v>59</v>
      </c>
      <c r="AW75" s="63">
        <f>IFERROR(_xlfn.XLOOKUP(B75,'w8'!$B:$B,'w8'!$F:$F),1)</f>
        <v>0.48333333333333334</v>
      </c>
      <c r="AX75" s="61">
        <f>_xlfn.RANK.EQ(AW75,AW$3:AW$10000,1)</f>
        <v>71</v>
      </c>
      <c r="AY75" s="61">
        <f>IFERROR(IF(_xlfn.XLOOKUP(B75,'w8'!$B:$B,'w8'!$G:$G)="--",0,_xlfn.XLOOKUP(B75,'w8'!$B:$B,'w8'!$G:$G)),0)</f>
        <v>176</v>
      </c>
      <c r="AZ75" s="61">
        <f>_xlfn.RANK.EQ(AY75,AY$3:AY$10000,0)</f>
        <v>40</v>
      </c>
      <c r="BA75" s="66">
        <f>IFERROR(_xlfn.XLOOKUP(C75,'w9'!$B:$B,'w9'!$C:$C),0)</f>
        <v>29.9</v>
      </c>
      <c r="BB75" s="67">
        <f>_xlfn.RANK.EQ(BA75,BA$3:BA$10000,0)</f>
        <v>37</v>
      </c>
      <c r="BC75" s="68">
        <f>IFERROR(_xlfn.XLOOKUP(C75,'w9'!$B:$B,'w9'!$F:$F),1)</f>
        <v>0.46388888888888891</v>
      </c>
      <c r="BD75" s="67">
        <f>_xlfn.RANK.EQ(BC75,BC$3:BC$10000,1)</f>
        <v>71</v>
      </c>
      <c r="BE75" s="67">
        <f>IFERROR(IF(_xlfn.XLOOKUP(C75,'w9'!$B:$B,'w9'!$G:$G)="--",0,_xlfn.XLOOKUP(C75,'w9'!$B:$B,'w9'!$G:$G)),0)</f>
        <v>386</v>
      </c>
      <c r="BF75" s="67">
        <f>_xlfn.RANK.EQ(BE75,BE$3:BE$10000,0)</f>
        <v>37</v>
      </c>
      <c r="BG75" s="72">
        <f>IFERROR(_xlfn.XLOOKUP(B75,'w10'!$B:$B,'w10'!$C:$C),0)</f>
        <v>0</v>
      </c>
      <c r="BH75" s="74">
        <f>_xlfn.RANK.EQ(BG75,BG$3:BG$10000,0)</f>
        <v>77</v>
      </c>
      <c r="BI75" s="75">
        <f>IFERROR(_xlfn.XLOOKUP(B75,'w10'!$B:$B,'w10'!$F:$F),1)</f>
        <v>1</v>
      </c>
      <c r="BJ75" s="74">
        <f>_xlfn.RANK.EQ(BI75,BI$3:BI$10000,1)</f>
        <v>76</v>
      </c>
      <c r="BK75" s="74">
        <f>IFERROR(IF(_xlfn.XLOOKUP(B75,'w10'!$B:$B,'w10'!$G:$G)="--",0,_xlfn.XLOOKUP(B75,'w10'!$B:$B,'w10'!$G:$G)),0)</f>
        <v>0</v>
      </c>
      <c r="BL75" s="74">
        <f>_xlfn.RANK.EQ(BK75,BK$3:BK$10000,0)</f>
        <v>76</v>
      </c>
      <c r="BM75" s="78">
        <f>IFERROR(_xlfn.XLOOKUP(B75,'w11'!$B:$B,'w11'!$C:$C),0)</f>
        <v>24.5</v>
      </c>
      <c r="BN75" s="80">
        <f>_xlfn.RANK.EQ(BM75,BM$3:BM$10000,0)</f>
        <v>35</v>
      </c>
      <c r="BO75" s="81">
        <f>IFERROR(_xlfn.XLOOKUP(B75,'w11'!$B:$B,'w11'!$F:$F),1)</f>
        <v>0.45416666666666666</v>
      </c>
      <c r="BP75" s="80">
        <f>_xlfn.RANK.EQ(BO75,BO$3:BO$10000,1)</f>
        <v>70</v>
      </c>
      <c r="BQ75" s="80">
        <f>IFERROR(IF(_xlfn.XLOOKUP(B75,'w11'!$B:$B,'w11'!$G:$G)="--",0,_xlfn.XLOOKUP(B75,'w11'!$B:$B,'w11'!$G:$G)),0)</f>
        <v>253</v>
      </c>
      <c r="BR75" s="80">
        <f>_xlfn.RANK.EQ(BQ75,BQ$3:BQ$10000,0)</f>
        <v>33</v>
      </c>
      <c r="BS75" s="83">
        <f>IFERROR(_xlfn.XLOOKUP(B75,'w12'!$B:$B,'w12'!$C:$C),0)</f>
        <v>10.6</v>
      </c>
      <c r="BT75" s="86">
        <f>_xlfn.RANK.EQ(BS75,BS$3:BS$10000,0)</f>
        <v>55</v>
      </c>
      <c r="BU75" s="87">
        <f>IFERROR(_xlfn.XLOOKUP(B75,'w12'!$B:$B,'w12'!$F:$F),1)</f>
        <v>0.94722222222222219</v>
      </c>
      <c r="BV75" s="86">
        <f>_xlfn.RANK.EQ(BU75,BU$3:BU$10000,1)</f>
        <v>75</v>
      </c>
      <c r="BW75" s="86">
        <f>IFERROR(IF(_xlfn.XLOOKUP(B75,'w12'!$B:$B,'w12'!$G:$G)="--",0,_xlfn.XLOOKUP(B75,'w12'!$B:$B,'w12'!$G:$G)),0)</f>
        <v>212</v>
      </c>
      <c r="BX75" s="86">
        <f>_xlfn.RANK.EQ(BW75,BW$3:BW$10000,0)</f>
        <v>38</v>
      </c>
      <c r="BY75" s="89">
        <f>IFERROR(_xlfn.XLOOKUP(B75,'w13'!$B:$B,'w13'!$C:$C),0)</f>
        <v>16.3</v>
      </c>
      <c r="BZ75" s="92">
        <f>_xlfn.RANK.EQ(BY75,BY$3:BY$10000,0)</f>
        <v>52</v>
      </c>
      <c r="CA75" s="93">
        <f>IFERROR(_xlfn.XLOOKUP(B75,'w13'!$B:$B,'w13'!$F:$F),1)</f>
        <v>0.30277777777777776</v>
      </c>
      <c r="CB75" s="92">
        <f>_xlfn.RANK.EQ(CA75,CA$3:CA$10000,1)</f>
        <v>52</v>
      </c>
      <c r="CC75" s="92">
        <f>IFERROR(IF(_xlfn.XLOOKUP(B75,'w13'!$B:$B,'w13'!$G:$G)="--",0,_xlfn.XLOOKUP(B75,'w13'!$B:$B,'w13'!$G:$G)),0)</f>
        <v>159</v>
      </c>
      <c r="CD75" s="92">
        <f>_xlfn.RANK.EQ(CC75,CC$3:CC$10000,0)</f>
        <v>40</v>
      </c>
      <c r="CE75" s="95">
        <f>IFERROR(_xlfn.XLOOKUP(B75,'w14'!$B:$B,'w14'!$C:$C),0)</f>
        <v>0</v>
      </c>
      <c r="CF75" s="98">
        <f>_xlfn.RANK.EQ(CE75,CE$3:CE$10000,0)</f>
        <v>69</v>
      </c>
      <c r="CG75" s="99">
        <f>IFERROR(_xlfn.XLOOKUP(B75,'w14'!$B:$B,'w14'!$F:$F),1)</f>
        <v>1</v>
      </c>
      <c r="CH75" s="98">
        <f>_xlfn.RANK.EQ(CG75,CG$3:CG$10000,1)</f>
        <v>69</v>
      </c>
      <c r="CI75" s="98">
        <f>IFERROR(IF(_xlfn.XLOOKUP(B75,'w14'!$B:$B,'w14'!$G:$G)="--",0,_xlfn.XLOOKUP(B75,'w14'!$B:$B,'w14'!$G:$G)),0)</f>
        <v>0</v>
      </c>
      <c r="CJ75" s="98">
        <f>_xlfn.RANK.EQ(CI75,CI$3:CI$10000,0)</f>
        <v>69</v>
      </c>
      <c r="CK75" s="9">
        <f>_xlfn.RANK.EQ(D75,D$3:D$10000,1)</f>
        <v>73</v>
      </c>
      <c r="CL75" s="7" t="s">
        <v>222</v>
      </c>
      <c r="CM75" s="8">
        <f>SUM(E75,K75,Q75,W75,AC75,AI75,AO75,AU75,BA75,BG75,BM75,BS75,BY75,CE75)</f>
        <v>116.39999999999999</v>
      </c>
      <c r="CN75" s="9">
        <f>_xlfn.RANK.EQ(CM75,CM$3:CM$10000)</f>
        <v>72</v>
      </c>
      <c r="CO75" s="15">
        <f>IFERROR(SUM(PRODUCT(E75,G75),PRODUCT(K75,M75),PRODUCT(Q75,S75),PRODUCT(W75,Y75),PRODUCT(AC75,AE75),PRODUCT(AI75,AK75),PRODUCT(AO75,AQ75),PRODUCT(AU75,AW75),PRODUCT(BA75,BC75),PRODUCT(BG75,BI75),PRODUCT(BM75,BO75),PRODUCT(BS75,BU75),PRODUCT(BY75,CA75),PRODUCT(CE75,CG75))/CM75,1)</f>
        <v>0.49655223844979002</v>
      </c>
      <c r="CP75" s="9">
        <f>_xlfn.RANK.EQ(CO75,CO$3:CO$10000,1)</f>
        <v>101</v>
      </c>
      <c r="CQ75" s="9">
        <f>SUM(I75,O75,U75,AA75,AG75,AM75,AS75,AY75,BE75,BK75,BQ75,BW75,CC75,CI75)</f>
        <v>1444</v>
      </c>
      <c r="CR75" s="9">
        <f>_xlfn.RANK.EQ(CQ75,CQ$3:CQ$10000)</f>
        <v>66</v>
      </c>
      <c r="CS75" s="23"/>
      <c r="CT75" s="25"/>
      <c r="CU75" s="24">
        <f>_xlfn.STDEV.S(F75,L75,R75,X75,AD75,AJ75,AP75,AV75,BB75,BH75,BN75,BT75,BZ75,CF75)</f>
        <v>16.875106837268639</v>
      </c>
      <c r="CV75" s="21">
        <f>_xlfn.RANK.EQ(CU75,CU$3:CU$10000,1)</f>
        <v>71</v>
      </c>
      <c r="CW75" s="24">
        <f>_xlfn.STDEV.S(H75,N75,T75,Z75,AF75,AL75,AR75,AX75,BD75,BJ75,BP75,BV75,CB75,CH75)</f>
        <v>7.7633260120408938</v>
      </c>
      <c r="CX75" s="21">
        <f>_xlfn.RANK.EQ(CW75,CW$3:CW$10000,1)</f>
        <v>14</v>
      </c>
      <c r="CY75" s="24">
        <f>_xlfn.STDEV.S(J75,P75,V75,AB75,AH75,AN75,AT75,AZ75,BF75,BL75,BR75,BX75,CD75,CJ75)</f>
        <v>18.319508607066833</v>
      </c>
      <c r="CZ75" s="21">
        <f>_xlfn.RANK.EQ(CY75,CY$3:CY$10000,1)</f>
        <v>77</v>
      </c>
      <c r="DA75">
        <f>SUM(COUNTIF(E75,"&gt;0"),COUNTIF(K75,"&gt;0"),COUNTIF(Q75,"&gt;0"),COUNTIF(W75,"&gt;0"),COUNTIF(AC75,"&gt;0"),COUNTIF(AI75,"&gt;0"),COUNTIF(AO75,"&gt;0"),COUNTIF(AU75,"&gt;0"),COUNTIF(BA75,"&gt;0"),COUNTIF(BG75,"&gt;0"),COUNTIF(BM75,"&gt;0"),COUNTIF(BS75,"&gt;0"),COUNTIF(BY75,"&gt;0"),COUNTIF(CE75,"&gt;0"))</f>
        <v>7</v>
      </c>
    </row>
    <row r="76" spans="2:105" x14ac:dyDescent="0.3">
      <c r="B76" t="s">
        <v>176</v>
      </c>
      <c r="C76" s="18" t="s">
        <v>186</v>
      </c>
      <c r="D76" s="4">
        <f>CN76*$CN$1+CP76*$CP$1+CR76*$CR$1</f>
        <v>73.349999999999994</v>
      </c>
      <c r="E76" s="29">
        <f>IFERROR(_xlfn.XLOOKUP(B76,'w1'!$B:$B,'w1'!$C:$C),0)</f>
        <v>0</v>
      </c>
      <c r="F76" s="30">
        <f>_xlfn.RANK.EQ(E76,E$3:E$10000,0)</f>
        <v>79</v>
      </c>
      <c r="G76" s="31">
        <f>IFERROR(_xlfn.XLOOKUP(B76,'w1'!$B:$B,'w1'!$F:$F),1)</f>
        <v>1</v>
      </c>
      <c r="H76" s="30">
        <f>_xlfn.RANK.EQ(G76,G$3:G$10000,1)</f>
        <v>79</v>
      </c>
      <c r="I76" s="30">
        <f>IFERROR(IF(_xlfn.XLOOKUP(B76,'w1'!$B:$B,'w1'!$G:$G)="--",0,_xlfn.XLOOKUP(B76,'w1'!$B:$B,'w1'!$G:$G)),0)</f>
        <v>0</v>
      </c>
      <c r="J76" s="30">
        <f>_xlfn.RANK.EQ(I76,I$3:I$10000,0)</f>
        <v>77</v>
      </c>
      <c r="K76" s="34">
        <f>IFERROR(_xlfn.XLOOKUP(B76,'w2'!$B:$B,'w2'!$C:$C),0)</f>
        <v>10.199999999999999</v>
      </c>
      <c r="L76" s="35">
        <f>_xlfn.RANK.EQ(K76,K$3:K$10000,0)</f>
        <v>60</v>
      </c>
      <c r="M76" s="36">
        <f>IFERROR(_xlfn.XLOOKUP(B76,'w2'!$B:$B,'w2'!$F:$F),1)</f>
        <v>0.27361111111111114</v>
      </c>
      <c r="N76" s="35">
        <f>_xlfn.RANK.EQ(M76,M$3:M$10000,1)</f>
        <v>30</v>
      </c>
      <c r="O76" s="35">
        <f>IFERROR(IF(_xlfn.XLOOKUP(B76,'w2'!$B:$B,'w2'!$G:$G)="--",0,_xlfn.XLOOKUP(B76,'w2'!$B:$B,'w2'!$G:$G)),0)</f>
        <v>57</v>
      </c>
      <c r="P76" s="35">
        <f>_xlfn.RANK.EQ(O76,O$3:O$10000,0)</f>
        <v>62</v>
      </c>
      <c r="Q76" s="39">
        <f>IFERROR(_xlfn.XLOOKUP(B76,'w3'!$B:$B,'w3'!$C:$C),0)</f>
        <v>0</v>
      </c>
      <c r="R76" s="40">
        <f>_xlfn.RANK.EQ(Q76,Q$3:Q$10000,0)</f>
        <v>84</v>
      </c>
      <c r="S76" s="41">
        <f>IFERROR(_xlfn.XLOOKUP(B76,'w3'!$B:$B,'w3'!$F:$F),1)</f>
        <v>1</v>
      </c>
      <c r="T76" s="40">
        <f>_xlfn.RANK.EQ(S76,S$3:S$10000,1)</f>
        <v>83</v>
      </c>
      <c r="U76" s="40">
        <f>IFERROR(IF(_xlfn.XLOOKUP(B76,'w3'!$B:$B,'w3'!$G:$G)="--",0,_xlfn.XLOOKUP(B76,'w3'!$B:$B,'w3'!$G:$G)),0)</f>
        <v>0</v>
      </c>
      <c r="V76" s="40">
        <f>_xlfn.RANK.EQ(U76,U$3:U$10000,0)</f>
        <v>80</v>
      </c>
      <c r="W76" s="44">
        <f>IFERROR(_xlfn.XLOOKUP(B76,'w4'!$B:$B,'w4'!$C:$C),0)</f>
        <v>0</v>
      </c>
      <c r="X76" s="45">
        <f>_xlfn.RANK.EQ(W76,W$3:W$10000,0)</f>
        <v>76</v>
      </c>
      <c r="Y76" s="46">
        <f>IFERROR(_xlfn.XLOOKUP(B76,'w4'!$B:$B,'w4'!$F:$F),1)</f>
        <v>1</v>
      </c>
      <c r="Z76" s="45">
        <f>_xlfn.RANK.EQ(Y76,Y$3:Y$10000,1)</f>
        <v>76</v>
      </c>
      <c r="AA76" s="45">
        <f>IFERROR(IF(_xlfn.XLOOKUP(B76,'w4'!$B:$B,'w4'!$G:$G)="--",0,_xlfn.XLOOKUP(B76,'w4'!$B:$B,'w4'!$G:$G)),0)</f>
        <v>0</v>
      </c>
      <c r="AB76" s="45">
        <f>_xlfn.RANK.EQ(AA76,AA$3:AA$10000,0)</f>
        <v>68</v>
      </c>
      <c r="AC76" s="13">
        <f>IFERROR(_xlfn.XLOOKUP(B76,'w5'!$B:$B,'w5'!$C:$C),0)</f>
        <v>10.9</v>
      </c>
      <c r="AD76" s="12">
        <f>_xlfn.RANK.EQ(AC76,AC$3:AC$10000,0)</f>
        <v>61</v>
      </c>
      <c r="AE76" s="14">
        <f>IFERROR(_xlfn.XLOOKUP(B76,'w5'!$B:$B,'w5'!$F:$F),1)</f>
        <v>0.28541666666666665</v>
      </c>
      <c r="AF76" s="12">
        <f>_xlfn.RANK.EQ(AE76,AE$3:AE$10000,1)</f>
        <v>38</v>
      </c>
      <c r="AG76" s="12">
        <f>IFERROR(IF(_xlfn.XLOOKUP(B76,'w5'!$B:$B,'w5'!$G:$G)="--",0,_xlfn.XLOOKUP(B76,'w5'!$B:$B,'w5'!$G:$G)),0)</f>
        <v>120</v>
      </c>
      <c r="AH76" s="12">
        <f>_xlfn.RANK.EQ(AG76,AG$3:AG$10000,0)</f>
        <v>57</v>
      </c>
      <c r="AI76" s="51">
        <f>IFERROR(_xlfn.XLOOKUP(B76,'w6'!$B:$B,'w6'!$C:$C),0)</f>
        <v>10</v>
      </c>
      <c r="AJ76" s="50">
        <f>_xlfn.RANK.EQ(AI76,AI$3:AI$10000,0)</f>
        <v>51</v>
      </c>
      <c r="AK76" s="52">
        <f>IFERROR(_xlfn.XLOOKUP(B76,'w6'!$B:$B,'w6'!$F:$F),1)</f>
        <v>0.34236111111111112</v>
      </c>
      <c r="AL76" s="50">
        <f>_xlfn.RANK.EQ(AK76,AK$3:AK$10000,1)</f>
        <v>51</v>
      </c>
      <c r="AM76" s="50">
        <f>IFERROR(IF(_xlfn.XLOOKUP(B76,'w6'!$B:$B,'w6'!$G:$G)="--",0,_xlfn.XLOOKUP(B76,'w6'!$B:$B,'w6'!$G:$G)),0)</f>
        <v>139</v>
      </c>
      <c r="AN76" s="50">
        <f>_xlfn.RANK.EQ(AM76,AM$3:AM$10000,0)</f>
        <v>43</v>
      </c>
      <c r="AO76" s="56">
        <f>IFERROR(_xlfn.XLOOKUP(B76,'w7'!$B:$B,'w7'!$C:$C),0)</f>
        <v>4</v>
      </c>
      <c r="AP76" s="57">
        <f>_xlfn.RANK.EQ(AO76,AO$3:AO$10000,0)</f>
        <v>68</v>
      </c>
      <c r="AQ76" s="58">
        <f>IFERROR(_xlfn.XLOOKUP(B76,'w7'!$B:$B,'w7'!$F:$F),1)</f>
        <v>0.28680555555555554</v>
      </c>
      <c r="AR76" s="57">
        <f>_xlfn.RANK.EQ(AQ76,AQ$3:AQ$10000,1)</f>
        <v>38</v>
      </c>
      <c r="AS76" s="57">
        <f>IFERROR(IF(_xlfn.XLOOKUP(B76,'w7'!$B:$B,'w7'!$G:$G)="--",0,_xlfn.XLOOKUP(B76,'w7'!$B:$B,'w7'!$G:$G)),0)</f>
        <v>47</v>
      </c>
      <c r="AT76" s="57">
        <f>_xlfn.RANK.EQ(AS76,AS$3:AS$10000,0)</f>
        <v>60</v>
      </c>
      <c r="AU76" s="62">
        <f>IFERROR(_xlfn.XLOOKUP(B76,'w8'!$B:$B,'w8'!$C:$C),0)</f>
        <v>17.3</v>
      </c>
      <c r="AV76" s="61">
        <f>_xlfn.RANK.EQ(AU76,AU$3:AU$10000,0)</f>
        <v>53</v>
      </c>
      <c r="AW76" s="63">
        <f>IFERROR(_xlfn.XLOOKUP(B76,'w8'!$B:$B,'w8'!$F:$F),1)</f>
        <v>0.27986111111111112</v>
      </c>
      <c r="AX76" s="61">
        <f>_xlfn.RANK.EQ(AW76,AW$3:AW$10000,1)</f>
        <v>36</v>
      </c>
      <c r="AY76" s="61">
        <f>IFERROR(IF(_xlfn.XLOOKUP(B76,'w8'!$B:$B,'w8'!$G:$G)="--",0,_xlfn.XLOOKUP(B76,'w8'!$B:$B,'w8'!$G:$G)),0)</f>
        <v>127</v>
      </c>
      <c r="AZ76" s="61">
        <f>_xlfn.RANK.EQ(AY76,AY$3:AY$10000,0)</f>
        <v>49</v>
      </c>
      <c r="BA76" s="66">
        <f>IFERROR(_xlfn.XLOOKUP(C76,'w9'!$B:$B,'w9'!$C:$C),0)</f>
        <v>10.199999999999999</v>
      </c>
      <c r="BB76" s="67">
        <f>_xlfn.RANK.EQ(BA76,BA$3:BA$10000,0)</f>
        <v>68</v>
      </c>
      <c r="BC76" s="68">
        <f>IFERROR(_xlfn.XLOOKUP(C76,'w9'!$B:$B,'w9'!$F:$F),1)</f>
        <v>0.30138888888888887</v>
      </c>
      <c r="BD76" s="67">
        <f>_xlfn.RANK.EQ(BC76,BC$3:BC$10000,1)</f>
        <v>41</v>
      </c>
      <c r="BE76" s="67">
        <f>IFERROR(IF(_xlfn.XLOOKUP(C76,'w9'!$B:$B,'w9'!$G:$G)="--",0,_xlfn.XLOOKUP(C76,'w9'!$B:$B,'w9'!$G:$G)),0)</f>
        <v>219</v>
      </c>
      <c r="BF76" s="67">
        <f>_xlfn.RANK.EQ(BE76,BE$3:BE$10000,0)</f>
        <v>50</v>
      </c>
      <c r="BG76" s="72">
        <f>IFERROR(_xlfn.XLOOKUP(B76,'w10'!$B:$B,'w10'!$C:$C),0)</f>
        <v>15.6</v>
      </c>
      <c r="BH76" s="74">
        <f>_xlfn.RANK.EQ(BG76,BG$3:BG$10000,0)</f>
        <v>50</v>
      </c>
      <c r="BI76" s="75">
        <f>IFERROR(_xlfn.XLOOKUP(B76,'w10'!$B:$B,'w10'!$F:$F),1)</f>
        <v>0.28541666666666665</v>
      </c>
      <c r="BJ76" s="74">
        <f>_xlfn.RANK.EQ(BI76,BI$3:BI$10000,1)</f>
        <v>44</v>
      </c>
      <c r="BK76" s="74">
        <f>IFERROR(IF(_xlfn.XLOOKUP(B76,'w10'!$B:$B,'w10'!$G:$G)="--",0,_xlfn.XLOOKUP(B76,'w10'!$B:$B,'w10'!$G:$G)),0)</f>
        <v>156</v>
      </c>
      <c r="BL76" s="74">
        <f>_xlfn.RANK.EQ(BK76,BK$3:BK$10000,0)</f>
        <v>38</v>
      </c>
      <c r="BM76" s="78">
        <f>IFERROR(_xlfn.XLOOKUP(B76,'w11'!$B:$B,'w11'!$C:$C),0)</f>
        <v>10</v>
      </c>
      <c r="BN76" s="80">
        <f>_xlfn.RANK.EQ(BM76,BM$3:BM$10000,0)</f>
        <v>62</v>
      </c>
      <c r="BO76" s="81">
        <f>IFERROR(_xlfn.XLOOKUP(B76,'w11'!$B:$B,'w11'!$F:$F),1)</f>
        <v>0.29652777777777778</v>
      </c>
      <c r="BP76" s="80">
        <f>_xlfn.RANK.EQ(BO76,BO$3:BO$10000,1)</f>
        <v>50</v>
      </c>
      <c r="BQ76" s="80">
        <f>IFERROR(IF(_xlfn.XLOOKUP(B76,'w11'!$B:$B,'w11'!$G:$G)="--",0,_xlfn.XLOOKUP(B76,'w11'!$B:$B,'w11'!$G:$G)),0)</f>
        <v>135</v>
      </c>
      <c r="BR76" s="80">
        <f>_xlfn.RANK.EQ(BQ76,BQ$3:BQ$10000,0)</f>
        <v>48</v>
      </c>
      <c r="BS76" s="83">
        <f>IFERROR(_xlfn.XLOOKUP(B76,'w12'!$B:$B,'w12'!$C:$C),0)</f>
        <v>4.0999999999999996</v>
      </c>
      <c r="BT76" s="86">
        <f>_xlfn.RANK.EQ(BS76,BS$3:BS$10000,0)</f>
        <v>70</v>
      </c>
      <c r="BU76" s="87">
        <f>IFERROR(_xlfn.XLOOKUP(B76,'w12'!$B:$B,'w12'!$F:$F),1)</f>
        <v>0.28541666666666665</v>
      </c>
      <c r="BV76" s="86">
        <f>_xlfn.RANK.EQ(BU76,BU$3:BU$10000,1)</f>
        <v>42</v>
      </c>
      <c r="BW76" s="86">
        <f>IFERROR(IF(_xlfn.XLOOKUP(B76,'w12'!$B:$B,'w12'!$G:$G)="--",0,_xlfn.XLOOKUP(B76,'w12'!$B:$B,'w12'!$G:$G)),0)</f>
        <v>44</v>
      </c>
      <c r="BX76" s="86">
        <f>_xlfn.RANK.EQ(BW76,BW$3:BW$10000,0)</f>
        <v>66</v>
      </c>
      <c r="BY76" s="89">
        <f>IFERROR(_xlfn.XLOOKUP(B76,'w13'!$B:$B,'w13'!$C:$C),0)</f>
        <v>10</v>
      </c>
      <c r="BZ76" s="92">
        <f>_xlfn.RANK.EQ(BY76,BY$3:BY$10000,0)</f>
        <v>62</v>
      </c>
      <c r="CA76" s="93">
        <f>IFERROR(_xlfn.XLOOKUP(B76,'w13'!$B:$B,'w13'!$F:$F),1)</f>
        <v>0.28541666666666665</v>
      </c>
      <c r="CB76" s="92">
        <f>_xlfn.RANK.EQ(CA76,CA$3:CA$10000,1)</f>
        <v>43</v>
      </c>
      <c r="CC76" s="92">
        <f>IFERROR(IF(_xlfn.XLOOKUP(B76,'w13'!$B:$B,'w13'!$G:$G)="--",0,_xlfn.XLOOKUP(B76,'w13'!$B:$B,'w13'!$G:$G)),0)</f>
        <v>124</v>
      </c>
      <c r="CD76" s="92">
        <f>_xlfn.RANK.EQ(CC76,CC$3:CC$10000,0)</f>
        <v>47</v>
      </c>
      <c r="CE76" s="95">
        <f>IFERROR(_xlfn.XLOOKUP(B76,'w14'!$B:$B,'w14'!$C:$C),0)</f>
        <v>4.5</v>
      </c>
      <c r="CF76" s="98">
        <f>_xlfn.RANK.EQ(CE76,CE$3:CE$10000,0)</f>
        <v>67</v>
      </c>
      <c r="CG76" s="99">
        <f>IFERROR(_xlfn.XLOOKUP(B76,'w14'!$B:$B,'w14'!$F:$F),1)</f>
        <v>0.28402777777777777</v>
      </c>
      <c r="CH76" s="98">
        <f>_xlfn.RANK.EQ(CG76,CG$3:CG$10000,1)</f>
        <v>38</v>
      </c>
      <c r="CI76" s="98">
        <f>IFERROR(IF(_xlfn.XLOOKUP(B76,'w14'!$B:$B,'w14'!$G:$G)="--",0,_xlfn.XLOOKUP(B76,'w14'!$B:$B,'w14'!$G:$G)),0)</f>
        <v>52</v>
      </c>
      <c r="CJ76" s="98">
        <f>_xlfn.RANK.EQ(CI76,CI$3:CI$10000,0)</f>
        <v>58</v>
      </c>
      <c r="CK76" s="9">
        <f>_xlfn.RANK.EQ(D76,D$3:D$10000,1)</f>
        <v>74</v>
      </c>
      <c r="CL76" s="26" t="s">
        <v>186</v>
      </c>
      <c r="CM76" s="8">
        <f>SUM(E76,K76,Q76,W76,AC76,AI76,AO76,AU76,BA76,BG76,BM76,BS76,BY76,CE76)</f>
        <v>106.8</v>
      </c>
      <c r="CN76" s="9">
        <f>_xlfn.RANK.EQ(CM76,CM$3:CM$10000)</f>
        <v>74</v>
      </c>
      <c r="CO76" s="15">
        <f>IFERROR(SUM(PRODUCT(E76,G76),PRODUCT(K76,M76),PRODUCT(Q76,S76),PRODUCT(W76,Y76),PRODUCT(AC76,AE76),PRODUCT(AI76,AK76),PRODUCT(AO76,AQ76),PRODUCT(AU76,AW76),PRODUCT(BA76,BC76),PRODUCT(BG76,BI76),PRODUCT(BM76,BO76),PRODUCT(BS76,BU76),PRODUCT(BY76,CA76),PRODUCT(CE76,CG76))/CM76,1)</f>
        <v>0.29128043071161053</v>
      </c>
      <c r="CP76" s="9">
        <f>_xlfn.RANK.EQ(CO76,CO$3:CO$10000,1)</f>
        <v>53</v>
      </c>
      <c r="CQ76" s="9">
        <f>SUM(I76,O76,U76,AA76,AG76,AM76,AS76,AY76,BE76,BK76,BQ76,BW76,CC76,CI76)</f>
        <v>1220</v>
      </c>
      <c r="CR76" s="9">
        <f>_xlfn.RANK.EQ(CQ76,CQ$3:CQ$10000)</f>
        <v>69</v>
      </c>
      <c r="CS76" s="23"/>
      <c r="CT76" s="25"/>
      <c r="CU76" s="24">
        <f>_xlfn.STDEV.S(F76,L76,R76,X76,AD76,AJ76,AP76,AV76,BB76,BH76,BN76,BT76,BZ76,CF76)</f>
        <v>10.186448658081792</v>
      </c>
      <c r="CV76" s="21">
        <f>_xlfn.RANK.EQ(CU76,CU$3:CU$10000,1)</f>
        <v>31</v>
      </c>
      <c r="CW76" s="24">
        <f>_xlfn.STDEV.S(H76,N76,T76,Z76,AF76,AL76,AR76,AX76,BD76,BJ76,BP76,BV76,CB76,CH76)</f>
        <v>17.223323057495534</v>
      </c>
      <c r="CX76" s="21">
        <f>_xlfn.RANK.EQ(CW76,CW$3:CW$10000,1)</f>
        <v>65</v>
      </c>
      <c r="CY76" s="24">
        <f>_xlfn.STDEV.S(J76,P76,V76,AB76,AH76,AN76,AT76,AZ76,BF76,BL76,BR76,BX76,CD76,CJ76)</f>
        <v>12.450561574342069</v>
      </c>
      <c r="CZ76" s="21">
        <f>_xlfn.RANK.EQ(CY76,CY$3:CY$10000,1)</f>
        <v>37</v>
      </c>
      <c r="DA76">
        <f>SUM(COUNTIF(E76,"&gt;0"),COUNTIF(K76,"&gt;0"),COUNTIF(Q76,"&gt;0"),COUNTIF(W76,"&gt;0"),COUNTIF(AC76,"&gt;0"),COUNTIF(AI76,"&gt;0"),COUNTIF(AO76,"&gt;0"),COUNTIF(AU76,"&gt;0"),COUNTIF(BA76,"&gt;0"),COUNTIF(BG76,"&gt;0"),COUNTIF(BM76,"&gt;0"),COUNTIF(BS76,"&gt;0"),COUNTIF(BY76,"&gt;0"),COUNTIF(CE76,"&gt;0"))</f>
        <v>11</v>
      </c>
    </row>
    <row r="77" spans="2:105" x14ac:dyDescent="0.3">
      <c r="B77" t="s">
        <v>64</v>
      </c>
      <c r="C77" s="18" t="s">
        <v>462</v>
      </c>
      <c r="D77" s="4">
        <f>CN77*$CN$1+CP77*$CP$1+CR77*$CR$1</f>
        <v>74.274999999999991</v>
      </c>
      <c r="E77" s="29">
        <f>IFERROR(_xlfn.XLOOKUP(B77,'w1'!$B:$B,'w1'!$C:$C),0)</f>
        <v>11.7</v>
      </c>
      <c r="F77" s="30">
        <f>_xlfn.RANK.EQ(E77,E$3:E$10000,0)</f>
        <v>61</v>
      </c>
      <c r="G77" s="31">
        <f>IFERROR(_xlfn.XLOOKUP(B77,'w1'!$B:$B,'w1'!$F:$F),1)</f>
        <v>0.29583333333333334</v>
      </c>
      <c r="H77" s="30">
        <f>_xlfn.RANK.EQ(G77,G$3:G$10000,1)</f>
        <v>53</v>
      </c>
      <c r="I77" s="30">
        <f>IFERROR(IF(_xlfn.XLOOKUP(B77,'w1'!$B:$B,'w1'!$G:$G)="--",0,_xlfn.XLOOKUP(B77,'w1'!$B:$B,'w1'!$G:$G)),0)</f>
        <v>256</v>
      </c>
      <c r="J77" s="30">
        <f>_xlfn.RANK.EQ(I77,I$3:I$10000,0)</f>
        <v>37</v>
      </c>
      <c r="K77" s="34">
        <f>IFERROR(_xlfn.XLOOKUP(B77,'w2'!$B:$B,'w2'!$C:$C),0)</f>
        <v>9.3000000000000007</v>
      </c>
      <c r="L77" s="35">
        <f>_xlfn.RANK.EQ(K77,K$3:K$10000,0)</f>
        <v>66</v>
      </c>
      <c r="M77" s="36">
        <f>IFERROR(_xlfn.XLOOKUP(B77,'w2'!$B:$B,'w2'!$F:$F),1)</f>
        <v>0.28680555555555554</v>
      </c>
      <c r="N77" s="35">
        <f>_xlfn.RANK.EQ(M77,M$3:M$10000,1)</f>
        <v>41</v>
      </c>
      <c r="O77" s="35">
        <f>IFERROR(IF(_xlfn.XLOOKUP(B77,'w2'!$B:$B,'w2'!$G:$G)="--",0,_xlfn.XLOOKUP(B77,'w2'!$B:$B,'w2'!$G:$G)),0)</f>
        <v>121</v>
      </c>
      <c r="P77" s="35">
        <f>_xlfn.RANK.EQ(O77,O$3:O$10000,0)</f>
        <v>52</v>
      </c>
      <c r="Q77" s="39">
        <f>IFERROR(_xlfn.XLOOKUP(B77,'w3'!$B:$B,'w3'!$C:$C),0)</f>
        <v>0</v>
      </c>
      <c r="R77" s="40">
        <f>_xlfn.RANK.EQ(Q77,Q$3:Q$10000,0)</f>
        <v>84</v>
      </c>
      <c r="S77" s="41">
        <f>IFERROR(_xlfn.XLOOKUP(B77,'w3'!$B:$B,'w3'!$F:$F),1)</f>
        <v>1</v>
      </c>
      <c r="T77" s="40">
        <f>_xlfn.RANK.EQ(S77,S$3:S$10000,1)</f>
        <v>83</v>
      </c>
      <c r="U77" s="40">
        <f>IFERROR(IF(_xlfn.XLOOKUP(B77,'w3'!$B:$B,'w3'!$G:$G)="--",0,_xlfn.XLOOKUP(B77,'w3'!$B:$B,'w3'!$G:$G)),0)</f>
        <v>0</v>
      </c>
      <c r="V77" s="40">
        <f>_xlfn.RANK.EQ(U77,U$3:U$10000,0)</f>
        <v>80</v>
      </c>
      <c r="W77" s="44">
        <f>IFERROR(_xlfn.XLOOKUP(B77,'w4'!$B:$B,'w4'!$C:$C),0)</f>
        <v>0</v>
      </c>
      <c r="X77" s="45">
        <f>_xlfn.RANK.EQ(W77,W$3:W$10000,0)</f>
        <v>76</v>
      </c>
      <c r="Y77" s="46">
        <f>IFERROR(_xlfn.XLOOKUP(B77,'w4'!$B:$B,'w4'!$F:$F),1)</f>
        <v>1</v>
      </c>
      <c r="Z77" s="45">
        <f>_xlfn.RANK.EQ(Y77,Y$3:Y$10000,1)</f>
        <v>76</v>
      </c>
      <c r="AA77" s="45">
        <f>IFERROR(IF(_xlfn.XLOOKUP(B77,'w4'!$B:$B,'w4'!$G:$G)="--",0,_xlfn.XLOOKUP(B77,'w4'!$B:$B,'w4'!$G:$G)),0)</f>
        <v>0</v>
      </c>
      <c r="AB77" s="45">
        <f>_xlfn.RANK.EQ(AA77,AA$3:AA$10000,0)</f>
        <v>68</v>
      </c>
      <c r="AC77" s="13">
        <f>IFERROR(_xlfn.XLOOKUP(B77,'w5'!$B:$B,'w5'!$C:$C),0)</f>
        <v>10.4</v>
      </c>
      <c r="AD77" s="12">
        <f>_xlfn.RANK.EQ(AC77,AC$3:AC$10000,0)</f>
        <v>62</v>
      </c>
      <c r="AE77" s="14">
        <f>IFERROR(_xlfn.XLOOKUP(B77,'w5'!$B:$B,'w5'!$F:$F),1)</f>
        <v>0.30555555555555558</v>
      </c>
      <c r="AF77" s="12">
        <f>_xlfn.RANK.EQ(AE77,AE$3:AE$10000,1)</f>
        <v>45</v>
      </c>
      <c r="AG77" s="12">
        <f>IFERROR(IF(_xlfn.XLOOKUP(B77,'w5'!$B:$B,'w5'!$G:$G)="--",0,_xlfn.XLOOKUP(B77,'w5'!$B:$B,'w5'!$G:$G)),0)</f>
        <v>192</v>
      </c>
      <c r="AH77" s="12">
        <f>_xlfn.RANK.EQ(AG77,AG$3:AG$10000,0)</f>
        <v>45</v>
      </c>
      <c r="AI77" s="51">
        <f>IFERROR(_xlfn.XLOOKUP(B77,'w6'!$B:$B,'w6'!$C:$C),0)</f>
        <v>10.8</v>
      </c>
      <c r="AJ77" s="50">
        <f>_xlfn.RANK.EQ(AI77,AI$3:AI$10000,0)</f>
        <v>40</v>
      </c>
      <c r="AK77" s="52">
        <f>IFERROR(_xlfn.XLOOKUP(B77,'w6'!$B:$B,'w6'!$F:$F),1)</f>
        <v>0.27013888888888887</v>
      </c>
      <c r="AL77" s="50">
        <f>_xlfn.RANK.EQ(AK77,AK$3:AK$10000,1)</f>
        <v>25</v>
      </c>
      <c r="AM77" s="50">
        <f>IFERROR(IF(_xlfn.XLOOKUP(B77,'w6'!$B:$B,'w6'!$G:$G)="--",0,_xlfn.XLOOKUP(B77,'w6'!$B:$B,'w6'!$G:$G)),0)</f>
        <v>113</v>
      </c>
      <c r="AN77" s="50">
        <f>_xlfn.RANK.EQ(AM77,AM$3:AM$10000,0)</f>
        <v>49</v>
      </c>
      <c r="AO77" s="56">
        <f>IFERROR(_xlfn.XLOOKUP(B77,'w7'!$B:$B,'w7'!$C:$C),0)</f>
        <v>0</v>
      </c>
      <c r="AP77" s="57">
        <f>_xlfn.RANK.EQ(AO77,AO$3:AO$10000,0)</f>
        <v>72</v>
      </c>
      <c r="AQ77" s="58">
        <f>IFERROR(_xlfn.XLOOKUP(B77,'w7'!$B:$B,'w7'!$F:$F),1)</f>
        <v>1</v>
      </c>
      <c r="AR77" s="57">
        <f>_xlfn.RANK.EQ(AQ77,AQ$3:AQ$10000,1)</f>
        <v>72</v>
      </c>
      <c r="AS77" s="57">
        <f>IFERROR(IF(_xlfn.XLOOKUP(B77,'w7'!$B:$B,'w7'!$G:$G)="--",0,_xlfn.XLOOKUP(B77,'w7'!$B:$B,'w7'!$G:$G)),0)</f>
        <v>0</v>
      </c>
      <c r="AT77" s="57">
        <f>_xlfn.RANK.EQ(AS77,AS$3:AS$10000,0)</f>
        <v>69</v>
      </c>
      <c r="AU77" s="62">
        <f>IFERROR(_xlfn.XLOOKUP(B77,'w8'!$B:$B,'w8'!$C:$C),0)</f>
        <v>26.4</v>
      </c>
      <c r="AV77" s="61">
        <f>_xlfn.RANK.EQ(AU77,AU$3:AU$10000,0)</f>
        <v>38</v>
      </c>
      <c r="AW77" s="63">
        <f>IFERROR(_xlfn.XLOOKUP(B77,'w8'!$B:$B,'w8'!$F:$F),1)</f>
        <v>0.33958333333333335</v>
      </c>
      <c r="AX77" s="61">
        <f>_xlfn.RANK.EQ(AW77,AW$3:AW$10000,1)</f>
        <v>62</v>
      </c>
      <c r="AY77" s="61">
        <f>IFERROR(IF(_xlfn.XLOOKUP(B77,'w8'!$B:$B,'w8'!$G:$G)="--",0,_xlfn.XLOOKUP(B77,'w8'!$B:$B,'w8'!$G:$G)),0)</f>
        <v>398</v>
      </c>
      <c r="AZ77" s="61">
        <f>_xlfn.RANK.EQ(AY77,AY$3:AY$10000,0)</f>
        <v>30</v>
      </c>
      <c r="BA77" s="66">
        <f>IFERROR(_xlfn.XLOOKUP(C77,'w9'!$B:$B,'w9'!$C:$C),0)</f>
        <v>21.2</v>
      </c>
      <c r="BB77" s="67">
        <f>_xlfn.RANK.EQ(BA77,BA$3:BA$10000,0)</f>
        <v>54</v>
      </c>
      <c r="BC77" s="68">
        <f>IFERROR(_xlfn.XLOOKUP(C77,'w9'!$B:$B,'w9'!$F:$F),1)</f>
        <v>0.33055555555555555</v>
      </c>
      <c r="BD77" s="67">
        <f>_xlfn.RANK.EQ(BC77,BC$3:BC$10000,1)</f>
        <v>56</v>
      </c>
      <c r="BE77" s="67">
        <f>IFERROR(IF(_xlfn.XLOOKUP(C77,'w9'!$B:$B,'w9'!$G:$G)="--",0,_xlfn.XLOOKUP(C77,'w9'!$B:$B,'w9'!$G:$G)),0)</f>
        <v>554</v>
      </c>
      <c r="BF77" s="67">
        <f>_xlfn.RANK.EQ(BE77,BE$3:BE$10000,0)</f>
        <v>21</v>
      </c>
      <c r="BG77" s="72">
        <f>IFERROR(_xlfn.XLOOKUP(B77,'w10'!$B:$B,'w10'!$C:$C),0)</f>
        <v>0</v>
      </c>
      <c r="BH77" s="74">
        <f>_xlfn.RANK.EQ(BG77,BG$3:BG$10000,0)</f>
        <v>77</v>
      </c>
      <c r="BI77" s="75">
        <f>IFERROR(_xlfn.XLOOKUP(B77,'w10'!$B:$B,'w10'!$F:$F),1)</f>
        <v>1</v>
      </c>
      <c r="BJ77" s="74">
        <f>_xlfn.RANK.EQ(BI77,BI$3:BI$10000,1)</f>
        <v>76</v>
      </c>
      <c r="BK77" s="74">
        <f>IFERROR(IF(_xlfn.XLOOKUP(B77,'w10'!$B:$B,'w10'!$G:$G)="--",0,_xlfn.XLOOKUP(B77,'w10'!$B:$B,'w10'!$G:$G)),0)</f>
        <v>0</v>
      </c>
      <c r="BL77" s="74">
        <f>_xlfn.RANK.EQ(BK77,BK$3:BK$10000,0)</f>
        <v>76</v>
      </c>
      <c r="BM77" s="78">
        <f>IFERROR(_xlfn.XLOOKUP(B77,'w11'!$B:$B,'w11'!$C:$C),0)</f>
        <v>0</v>
      </c>
      <c r="BN77" s="80">
        <f>_xlfn.RANK.EQ(BM77,BM$3:BM$10000,0)</f>
        <v>76</v>
      </c>
      <c r="BO77" s="81">
        <f>IFERROR(_xlfn.XLOOKUP(B77,'w11'!$B:$B,'w11'!$F:$F),1)</f>
        <v>1</v>
      </c>
      <c r="BP77" s="80">
        <f>_xlfn.RANK.EQ(BO77,BO$3:BO$10000,1)</f>
        <v>76</v>
      </c>
      <c r="BQ77" s="80">
        <f>IFERROR(IF(_xlfn.XLOOKUP(B77,'w11'!$B:$B,'w11'!$G:$G)="--",0,_xlfn.XLOOKUP(B77,'w11'!$B:$B,'w11'!$G:$G)),0)</f>
        <v>0</v>
      </c>
      <c r="BR77" s="80">
        <f>_xlfn.RANK.EQ(BQ77,BQ$3:BQ$10000,0)</f>
        <v>75</v>
      </c>
      <c r="BS77" s="83">
        <f>IFERROR(_xlfn.XLOOKUP(B77,'w12'!$B:$B,'w12'!$C:$C),0)</f>
        <v>12.7</v>
      </c>
      <c r="BT77" s="86">
        <f>_xlfn.RANK.EQ(BS77,BS$3:BS$10000,0)</f>
        <v>51</v>
      </c>
      <c r="BU77" s="87">
        <f>IFERROR(_xlfn.XLOOKUP(B77,'w12'!$B:$B,'w12'!$F:$F),1)</f>
        <v>0.29444444444444445</v>
      </c>
      <c r="BV77" s="86">
        <f>_xlfn.RANK.EQ(BU77,BU$3:BU$10000,1)</f>
        <v>46</v>
      </c>
      <c r="BW77" s="86">
        <f>IFERROR(IF(_xlfn.XLOOKUP(B77,'w12'!$B:$B,'w12'!$G:$G)="--",0,_xlfn.XLOOKUP(B77,'w12'!$B:$B,'w12'!$G:$G)),0)</f>
        <v>226</v>
      </c>
      <c r="BX77" s="86">
        <f>_xlfn.RANK.EQ(BW77,BW$3:BW$10000,0)</f>
        <v>37</v>
      </c>
      <c r="BY77" s="89">
        <f>IFERROR(_xlfn.XLOOKUP(B77,'w13'!$B:$B,'w13'!$C:$C),0)</f>
        <v>0</v>
      </c>
      <c r="BZ77" s="92">
        <f>_xlfn.RANK.EQ(BY77,BY$3:BY$10000,0)</f>
        <v>76</v>
      </c>
      <c r="CA77" s="93">
        <f>IFERROR(_xlfn.XLOOKUP(B77,'w13'!$B:$B,'w13'!$F:$F),1)</f>
        <v>1</v>
      </c>
      <c r="CB77" s="92">
        <f>_xlfn.RANK.EQ(CA77,CA$3:CA$10000,1)</f>
        <v>76</v>
      </c>
      <c r="CC77" s="92">
        <f>IFERROR(IF(_xlfn.XLOOKUP(B77,'w13'!$B:$B,'w13'!$G:$G)="--",0,_xlfn.XLOOKUP(B77,'w13'!$B:$B,'w13'!$G:$G)),0)</f>
        <v>0</v>
      </c>
      <c r="CD77" s="92">
        <f>_xlfn.RANK.EQ(CC77,CC$3:CC$10000,0)</f>
        <v>76</v>
      </c>
      <c r="CE77" s="95">
        <f>IFERROR(_xlfn.XLOOKUP(B77,'w14'!$B:$B,'w14'!$C:$C),0)</f>
        <v>0</v>
      </c>
      <c r="CF77" s="98">
        <f>_xlfn.RANK.EQ(CE77,CE$3:CE$10000,0)</f>
        <v>69</v>
      </c>
      <c r="CG77" s="99">
        <f>IFERROR(_xlfn.XLOOKUP(B77,'w14'!$B:$B,'w14'!$F:$F),1)</f>
        <v>1</v>
      </c>
      <c r="CH77" s="98">
        <f>_xlfn.RANK.EQ(CG77,CG$3:CG$10000,1)</f>
        <v>69</v>
      </c>
      <c r="CI77" s="98">
        <f>IFERROR(IF(_xlfn.XLOOKUP(B77,'w14'!$B:$B,'w14'!$G:$G)="--",0,_xlfn.XLOOKUP(B77,'w14'!$B:$B,'w14'!$G:$G)),0)</f>
        <v>0</v>
      </c>
      <c r="CJ77" s="98">
        <f>_xlfn.RANK.EQ(CI77,CI$3:CI$10000,0)</f>
        <v>69</v>
      </c>
      <c r="CK77" s="9">
        <f>_xlfn.RANK.EQ(D77,D$3:D$10000,1)</f>
        <v>75</v>
      </c>
      <c r="CL77" s="26" t="s">
        <v>157</v>
      </c>
      <c r="CM77" s="8">
        <f>SUM(E77,K77,Q77,W77,AC77,AI77,AO77,AU77,BA77,BG77,BM77,BS77,BY77,CE77)</f>
        <v>102.5</v>
      </c>
      <c r="CN77" s="9">
        <f>_xlfn.RANK.EQ(CM77,CM$3:CM$10000)</f>
        <v>75</v>
      </c>
      <c r="CO77" s="15">
        <f>IFERROR(SUM(PRODUCT(E77,G77),PRODUCT(K77,M77),PRODUCT(Q77,S77),PRODUCT(W77,Y77),PRODUCT(AC77,AE77),PRODUCT(AI77,AK77),PRODUCT(AO77,AQ77),PRODUCT(AU77,AW77),PRODUCT(BA77,BC77),PRODUCT(BG77,BI77),PRODUCT(BM77,BO77),PRODUCT(BS77,BU77),PRODUCT(BY77,CA77),PRODUCT(CE77,CG77))/CM77,1)</f>
        <v>0.3115711382113821</v>
      </c>
      <c r="CP77" s="9">
        <f>_xlfn.RANK.EQ(CO77,CO$3:CO$10000,1)</f>
        <v>62</v>
      </c>
      <c r="CQ77" s="9">
        <f>SUM(I77,O77,U77,AA77,AG77,AM77,AS77,AY77,BE77,BK77,BQ77,BW77,CC77,CI77)</f>
        <v>1860</v>
      </c>
      <c r="CR77" s="9">
        <f>_xlfn.RANK.EQ(CQ77,CQ$3:CQ$10000)</f>
        <v>59</v>
      </c>
      <c r="CS77" s="23"/>
      <c r="CT77" s="25"/>
      <c r="CU77" s="24">
        <f>_xlfn.STDEV.S(F77,L77,R77,X77,AD77,AJ77,AP77,AV77,BB77,BH77,BN77,BT77,BZ77,CF77)</f>
        <v>14.211123951188521</v>
      </c>
      <c r="CV77" s="21">
        <f>_xlfn.RANK.EQ(CU77,CU$3:CU$10000,1)</f>
        <v>53</v>
      </c>
      <c r="CW77" s="24">
        <f>_xlfn.STDEV.S(H77,N77,T77,Z77,AF77,AL77,AR77,AX77,BD77,BJ77,BP77,BV77,CB77,CH77)</f>
        <v>17.177163475234927</v>
      </c>
      <c r="CX77" s="21">
        <f>_xlfn.RANK.EQ(CW77,CW$3:CW$10000,1)</f>
        <v>63</v>
      </c>
      <c r="CY77" s="24">
        <f>_xlfn.STDEV.S(J77,P77,V77,AB77,AH77,AN77,AT77,AZ77,BF77,BL77,BR77,BX77,CD77,CJ77)</f>
        <v>19.66644936863873</v>
      </c>
      <c r="CZ77" s="21">
        <f>_xlfn.RANK.EQ(CY77,CY$3:CY$10000,1)</f>
        <v>83</v>
      </c>
      <c r="DA77">
        <f>SUM(COUNTIF(E77,"&gt;0"),COUNTIF(K77,"&gt;0"),COUNTIF(Q77,"&gt;0"),COUNTIF(W77,"&gt;0"),COUNTIF(AC77,"&gt;0"),COUNTIF(AI77,"&gt;0"),COUNTIF(AO77,"&gt;0"),COUNTIF(AU77,"&gt;0"),COUNTIF(BA77,"&gt;0"),COUNTIF(BG77,"&gt;0"),COUNTIF(BM77,"&gt;0"),COUNTIF(BS77,"&gt;0"),COUNTIF(BY77,"&gt;0"),COUNTIF(CE77,"&gt;0"))</f>
        <v>7</v>
      </c>
    </row>
    <row r="78" spans="2:105" x14ac:dyDescent="0.3">
      <c r="B78" t="s">
        <v>55</v>
      </c>
      <c r="C78" s="18" t="s">
        <v>127</v>
      </c>
      <c r="D78" s="4">
        <f>CN78*$CN$1+CP78*$CP$1+CR78*$CR$1</f>
        <v>75.275000000000006</v>
      </c>
      <c r="E78" s="29">
        <f>IFERROR(_xlfn.XLOOKUP(B78,'w1'!$B:$B,'w1'!$C:$C),0)</f>
        <v>15.6</v>
      </c>
      <c r="F78" s="30">
        <f>_xlfn.RANK.EQ(E78,E$3:E$10000,0)</f>
        <v>52</v>
      </c>
      <c r="G78" s="31">
        <f>IFERROR(_xlfn.XLOOKUP(B78,'w1'!$B:$B,'w1'!$F:$F),1)</f>
        <v>0.26805555555555555</v>
      </c>
      <c r="H78" s="30">
        <f>_xlfn.RANK.EQ(G78,G$3:G$10000,1)</f>
        <v>34</v>
      </c>
      <c r="I78" s="30">
        <f>IFERROR(IF(_xlfn.XLOOKUP(B78,'w1'!$B:$B,'w1'!$G:$G)="--",0,_xlfn.XLOOKUP(B78,'w1'!$B:$B,'w1'!$G:$G)),0)</f>
        <v>66</v>
      </c>
      <c r="J78" s="30">
        <f>_xlfn.RANK.EQ(I78,I$3:I$10000,0)</f>
        <v>63</v>
      </c>
      <c r="K78" s="34">
        <f>IFERROR(_xlfn.XLOOKUP(B78,'w2'!$B:$B,'w2'!$C:$C),0)</f>
        <v>25.2</v>
      </c>
      <c r="L78" s="35">
        <f>_xlfn.RANK.EQ(K78,K$3:K$10000,0)</f>
        <v>36</v>
      </c>
      <c r="M78" s="36">
        <f>IFERROR(_xlfn.XLOOKUP(B78,'w2'!$B:$B,'w2'!$F:$F),1)</f>
        <v>0.26597222222222222</v>
      </c>
      <c r="N78" s="35">
        <f>_xlfn.RANK.EQ(M78,M$3:M$10000,1)</f>
        <v>23</v>
      </c>
      <c r="O78" s="35">
        <f>IFERROR(IF(_xlfn.XLOOKUP(B78,'w2'!$B:$B,'w2'!$G:$G)="--",0,_xlfn.XLOOKUP(B78,'w2'!$B:$B,'w2'!$G:$G)),0)</f>
        <v>194</v>
      </c>
      <c r="P78" s="35">
        <f>_xlfn.RANK.EQ(O78,O$3:O$10000,0)</f>
        <v>38</v>
      </c>
      <c r="Q78" s="39">
        <f>IFERROR(_xlfn.XLOOKUP(B78,'w3'!$B:$B,'w3'!$C:$C),0)</f>
        <v>36.4</v>
      </c>
      <c r="R78" s="40">
        <f>_xlfn.RANK.EQ(Q78,Q$3:Q$10000,0)</f>
        <v>23</v>
      </c>
      <c r="S78" s="41">
        <f>IFERROR(_xlfn.XLOOKUP(B78,'w3'!$B:$B,'w3'!$F:$F),1)</f>
        <v>0.30972222222222223</v>
      </c>
      <c r="T78" s="40">
        <f>_xlfn.RANK.EQ(S78,S$3:S$10000,1)</f>
        <v>57</v>
      </c>
      <c r="U78" s="40">
        <f>IFERROR(IF(_xlfn.XLOOKUP(B78,'w3'!$B:$B,'w3'!$G:$G)="--",0,_xlfn.XLOOKUP(B78,'w3'!$B:$B,'w3'!$G:$G)),0)</f>
        <v>617</v>
      </c>
      <c r="V78" s="40">
        <f>_xlfn.RANK.EQ(U78,U$3:U$10000,0)</f>
        <v>15</v>
      </c>
      <c r="W78" s="44">
        <f>IFERROR(_xlfn.XLOOKUP(B78,'w4'!$B:$B,'w4'!$C:$C),0)</f>
        <v>6</v>
      </c>
      <c r="X78" s="45">
        <f>_xlfn.RANK.EQ(W78,W$3:W$10000,0)</f>
        <v>70</v>
      </c>
      <c r="Y78" s="46">
        <f>IFERROR(_xlfn.XLOOKUP(B78,'w4'!$B:$B,'w4'!$F:$F),1)</f>
        <v>0.29444444444444445</v>
      </c>
      <c r="Z78" s="45">
        <f>_xlfn.RANK.EQ(Y78,Y$3:Y$10000,1)</f>
        <v>45</v>
      </c>
      <c r="AA78" s="45">
        <f>IFERROR(IF(_xlfn.XLOOKUP(B78,'w4'!$B:$B,'w4'!$G:$G)="--",0,_xlfn.XLOOKUP(B78,'w4'!$B:$B,'w4'!$G:$G)),0)</f>
        <v>23</v>
      </c>
      <c r="AB78" s="45">
        <f>_xlfn.RANK.EQ(AA78,AA$3:AA$10000,0)</f>
        <v>65</v>
      </c>
      <c r="AC78" s="13">
        <f>IFERROR(_xlfn.XLOOKUP(B78,'w5'!$B:$B,'w5'!$C:$C),0)</f>
        <v>17.3</v>
      </c>
      <c r="AD78" s="12">
        <f>_xlfn.RANK.EQ(AC78,AC$3:AC$10000,0)</f>
        <v>56</v>
      </c>
      <c r="AE78" s="14">
        <f>IFERROR(_xlfn.XLOOKUP(B78,'w5'!$B:$B,'w5'!$F:$F),1)</f>
        <v>0.27569444444444446</v>
      </c>
      <c r="AF78" s="12">
        <f>_xlfn.RANK.EQ(AE78,AE$3:AE$10000,1)</f>
        <v>35</v>
      </c>
      <c r="AG78" s="12">
        <f>IFERROR(IF(_xlfn.XLOOKUP(B78,'w5'!$B:$B,'w5'!$G:$G)="--",0,_xlfn.XLOOKUP(B78,'w5'!$B:$B,'w5'!$G:$G)),0)</f>
        <v>179</v>
      </c>
      <c r="AH78" s="12">
        <f>_xlfn.RANK.EQ(AG78,AG$3:AG$10000,0)</f>
        <v>49</v>
      </c>
      <c r="AI78" s="51">
        <f>IFERROR(_xlfn.XLOOKUP(B78,'w6'!$B:$B,'w6'!$C:$C),0)</f>
        <v>0</v>
      </c>
      <c r="AJ78" s="50">
        <f>_xlfn.RANK.EQ(AI78,AI$3:AI$10000,0)</f>
        <v>65</v>
      </c>
      <c r="AK78" s="52">
        <f>IFERROR(_xlfn.XLOOKUP(B78,'w6'!$B:$B,'w6'!$F:$F),1)</f>
        <v>1</v>
      </c>
      <c r="AL78" s="50">
        <f>_xlfn.RANK.EQ(AK78,AK$3:AK$10000,1)</f>
        <v>65</v>
      </c>
      <c r="AM78" s="50">
        <f>IFERROR(IF(_xlfn.XLOOKUP(B78,'w6'!$B:$B,'w6'!$G:$G)="--",0,_xlfn.XLOOKUP(B78,'w6'!$B:$B,'w6'!$G:$G)),0)</f>
        <v>0</v>
      </c>
      <c r="AN78" s="50">
        <f>_xlfn.RANK.EQ(AM78,AM$3:AM$10000,0)</f>
        <v>61</v>
      </c>
      <c r="AO78" s="56">
        <f>IFERROR(_xlfn.XLOOKUP(B78,'w7'!$B:$B,'w7'!$C:$C),0)</f>
        <v>0</v>
      </c>
      <c r="AP78" s="57">
        <f>_xlfn.RANK.EQ(AO78,AO$3:AO$10000,0)</f>
        <v>72</v>
      </c>
      <c r="AQ78" s="58">
        <f>IFERROR(_xlfn.XLOOKUP(B78,'w7'!$B:$B,'w7'!$F:$F),1)</f>
        <v>1</v>
      </c>
      <c r="AR78" s="57">
        <f>_xlfn.RANK.EQ(AQ78,AQ$3:AQ$10000,1)</f>
        <v>72</v>
      </c>
      <c r="AS78" s="57">
        <f>IFERROR(IF(_xlfn.XLOOKUP(B78,'w7'!$B:$B,'w7'!$G:$G)="--",0,_xlfn.XLOOKUP(B78,'w7'!$B:$B,'w7'!$G:$G)),0)</f>
        <v>0</v>
      </c>
      <c r="AT78" s="57">
        <f>_xlfn.RANK.EQ(AS78,AS$3:AS$10000,0)</f>
        <v>69</v>
      </c>
      <c r="AU78" s="62">
        <f>IFERROR(_xlfn.XLOOKUP(B78,'w8'!$B:$B,'w8'!$C:$C),0)</f>
        <v>0</v>
      </c>
      <c r="AV78" s="61">
        <f>_xlfn.RANK.EQ(AU78,AU$3:AU$10000,0)</f>
        <v>73</v>
      </c>
      <c r="AW78" s="63">
        <f>IFERROR(_xlfn.XLOOKUP(B78,'w8'!$B:$B,'w8'!$F:$F),1)</f>
        <v>1</v>
      </c>
      <c r="AX78" s="61">
        <f>_xlfn.RANK.EQ(AW78,AW$3:AW$10000,1)</f>
        <v>73</v>
      </c>
      <c r="AY78" s="61">
        <f>IFERROR(IF(_xlfn.XLOOKUP(B78,'w8'!$B:$B,'w8'!$G:$G)="--",0,_xlfn.XLOOKUP(B78,'w8'!$B:$B,'w8'!$G:$G)),0)</f>
        <v>0</v>
      </c>
      <c r="AZ78" s="61">
        <f>_xlfn.RANK.EQ(AY78,AY$3:AY$10000,0)</f>
        <v>70</v>
      </c>
      <c r="BA78" s="66">
        <f>IFERROR(_xlfn.XLOOKUP(C78,'w9'!$B:$B,'w9'!$C:$C),0)</f>
        <v>0</v>
      </c>
      <c r="BB78" s="67">
        <f>_xlfn.RANK.EQ(BA78,BA$3:BA$10000,0)</f>
        <v>75</v>
      </c>
      <c r="BC78" s="68">
        <f>IFERROR(_xlfn.XLOOKUP(C78,'w9'!$B:$B,'w9'!$F:$F),1)</f>
        <v>1</v>
      </c>
      <c r="BD78" s="67">
        <f>_xlfn.RANK.EQ(BC78,BC$3:BC$10000,1)</f>
        <v>75</v>
      </c>
      <c r="BE78" s="67">
        <f>IFERROR(IF(_xlfn.XLOOKUP(C78,'w9'!$B:$B,'w9'!$G:$G)="--",0,_xlfn.XLOOKUP(C78,'w9'!$B:$B,'w9'!$G:$G)),0)</f>
        <v>0</v>
      </c>
      <c r="BF78" s="67">
        <f>_xlfn.RANK.EQ(BE78,BE$3:BE$10000,0)</f>
        <v>74</v>
      </c>
      <c r="BG78" s="72">
        <f>IFERROR(_xlfn.XLOOKUP(B78,'w10'!$B:$B,'w10'!$C:$C),0)</f>
        <v>0</v>
      </c>
      <c r="BH78" s="74">
        <f>_xlfn.RANK.EQ(BG78,BG$3:BG$10000,0)</f>
        <v>77</v>
      </c>
      <c r="BI78" s="75">
        <f>IFERROR(_xlfn.XLOOKUP(B78,'w10'!$B:$B,'w10'!$F:$F),1)</f>
        <v>1</v>
      </c>
      <c r="BJ78" s="74">
        <f>_xlfn.RANK.EQ(BI78,BI$3:BI$10000,1)</f>
        <v>76</v>
      </c>
      <c r="BK78" s="74">
        <f>IFERROR(IF(_xlfn.XLOOKUP(B78,'w10'!$B:$B,'w10'!$G:$G)="--",0,_xlfn.XLOOKUP(B78,'w10'!$B:$B,'w10'!$G:$G)),0)</f>
        <v>0</v>
      </c>
      <c r="BL78" s="74">
        <f>_xlfn.RANK.EQ(BK78,BK$3:BK$10000,0)</f>
        <v>76</v>
      </c>
      <c r="BM78" s="78">
        <f>IFERROR(_xlfn.XLOOKUP(B78,'w11'!$B:$B,'w11'!$C:$C),0)</f>
        <v>0</v>
      </c>
      <c r="BN78" s="80">
        <f>_xlfn.RANK.EQ(BM78,BM$3:BM$10000,0)</f>
        <v>76</v>
      </c>
      <c r="BO78" s="81">
        <f>IFERROR(_xlfn.XLOOKUP(B78,'w11'!$B:$B,'w11'!$F:$F),1)</f>
        <v>1</v>
      </c>
      <c r="BP78" s="80">
        <f>_xlfn.RANK.EQ(BO78,BO$3:BO$10000,1)</f>
        <v>76</v>
      </c>
      <c r="BQ78" s="80">
        <f>IFERROR(IF(_xlfn.XLOOKUP(B78,'w11'!$B:$B,'w11'!$G:$G)="--",0,_xlfn.XLOOKUP(B78,'w11'!$B:$B,'w11'!$G:$G)),0)</f>
        <v>0</v>
      </c>
      <c r="BR78" s="80">
        <f>_xlfn.RANK.EQ(BQ78,BQ$3:BQ$10000,0)</f>
        <v>75</v>
      </c>
      <c r="BS78" s="83">
        <f>IFERROR(_xlfn.XLOOKUP(B78,'w12'!$B:$B,'w12'!$C:$C),0)</f>
        <v>0</v>
      </c>
      <c r="BT78" s="86">
        <f>_xlfn.RANK.EQ(BS78,BS$3:BS$10000,0)</f>
        <v>76</v>
      </c>
      <c r="BU78" s="87">
        <f>IFERROR(_xlfn.XLOOKUP(B78,'w12'!$B:$B,'w12'!$F:$F),1)</f>
        <v>1</v>
      </c>
      <c r="BV78" s="86">
        <f>_xlfn.RANK.EQ(BU78,BU$3:BU$10000,1)</f>
        <v>76</v>
      </c>
      <c r="BW78" s="86">
        <f>IFERROR(IF(_xlfn.XLOOKUP(B78,'w12'!$B:$B,'w12'!$G:$G)="--",0,_xlfn.XLOOKUP(B78,'w12'!$B:$B,'w12'!$G:$G)),0)</f>
        <v>0</v>
      </c>
      <c r="BX78" s="86">
        <f>_xlfn.RANK.EQ(BW78,BW$3:BW$10000,0)</f>
        <v>73</v>
      </c>
      <c r="BY78" s="89">
        <f>IFERROR(_xlfn.XLOOKUP(B78,'w13'!$B:$B,'w13'!$C:$C),0)</f>
        <v>0</v>
      </c>
      <c r="BZ78" s="92">
        <f>_xlfn.RANK.EQ(BY78,BY$3:BY$10000,0)</f>
        <v>76</v>
      </c>
      <c r="CA78" s="93">
        <f>IFERROR(_xlfn.XLOOKUP(B78,'w13'!$B:$B,'w13'!$F:$F),1)</f>
        <v>1</v>
      </c>
      <c r="CB78" s="92">
        <f>_xlfn.RANK.EQ(CA78,CA$3:CA$10000,1)</f>
        <v>76</v>
      </c>
      <c r="CC78" s="92">
        <f>IFERROR(IF(_xlfn.XLOOKUP(B78,'w13'!$B:$B,'w13'!$G:$G)="--",0,_xlfn.XLOOKUP(B78,'w13'!$B:$B,'w13'!$G:$G)),0)</f>
        <v>0</v>
      </c>
      <c r="CD78" s="92">
        <f>_xlfn.RANK.EQ(CC78,CC$3:CC$10000,0)</f>
        <v>76</v>
      </c>
      <c r="CE78" s="95">
        <f>IFERROR(_xlfn.XLOOKUP(B78,'w14'!$B:$B,'w14'!$C:$C),0)</f>
        <v>0</v>
      </c>
      <c r="CF78" s="98">
        <f>_xlfn.RANK.EQ(CE78,CE$3:CE$10000,0)</f>
        <v>69</v>
      </c>
      <c r="CG78" s="99">
        <f>IFERROR(_xlfn.XLOOKUP(B78,'w14'!$B:$B,'w14'!$F:$F),1)</f>
        <v>1</v>
      </c>
      <c r="CH78" s="98">
        <f>_xlfn.RANK.EQ(CG78,CG$3:CG$10000,1)</f>
        <v>69</v>
      </c>
      <c r="CI78" s="98">
        <f>IFERROR(IF(_xlfn.XLOOKUP(B78,'w14'!$B:$B,'w14'!$G:$G)="--",0,_xlfn.XLOOKUP(B78,'w14'!$B:$B,'w14'!$G:$G)),0)</f>
        <v>0</v>
      </c>
      <c r="CJ78" s="98">
        <f>_xlfn.RANK.EQ(CI78,CI$3:CI$10000,0)</f>
        <v>69</v>
      </c>
      <c r="CK78" s="9">
        <f>_xlfn.RANK.EQ(D78,D$3:D$10000,1)</f>
        <v>76</v>
      </c>
      <c r="CL78" s="26" t="s">
        <v>127</v>
      </c>
      <c r="CM78" s="8">
        <f>SUM(E78,K78,Q78,W78,AC78,AI78,AO78,AU78,BA78,BG78,BM78,BS78,BY78,CE78)</f>
        <v>100.49999999999999</v>
      </c>
      <c r="CN78" s="9">
        <f>_xlfn.RANK.EQ(CM78,CM$3:CM$10000)</f>
        <v>76</v>
      </c>
      <c r="CO78" s="15">
        <f>IFERROR(SUM(PRODUCT(E78,G78),PRODUCT(K78,M78),PRODUCT(Q78,S78),PRODUCT(W78,Y78),PRODUCT(AC78,AE78),PRODUCT(AI78,AK78),PRODUCT(AO78,AQ78),PRODUCT(AU78,AW78),PRODUCT(BA78,BC78),PRODUCT(BG78,BI78),PRODUCT(BM78,BO78),PRODUCT(BS78,BU78),PRODUCT(BY78,CA78),PRODUCT(CE78,CG78))/CM78,1)</f>
        <v>0.28551478717523499</v>
      </c>
      <c r="CP78" s="9">
        <f>_xlfn.RANK.EQ(CO78,CO$3:CO$10000,1)</f>
        <v>50</v>
      </c>
      <c r="CQ78" s="9">
        <f>SUM(I78,O78,U78,AA78,AG78,AM78,AS78,AY78,BE78,BK78,BQ78,BW78,CC78,CI78)</f>
        <v>1079</v>
      </c>
      <c r="CR78" s="9">
        <f>_xlfn.RANK.EQ(CQ78,CQ$3:CQ$10000)</f>
        <v>73</v>
      </c>
      <c r="CS78" s="23"/>
      <c r="CT78" s="25"/>
      <c r="CU78" s="24">
        <f>_xlfn.STDEV.S(F78,L78,R78,X78,AD78,AJ78,AP78,AV78,BB78,BH78,BN78,BT78,BZ78,CF78)</f>
        <v>16.645627746556244</v>
      </c>
      <c r="CV78" s="21">
        <f>_xlfn.RANK.EQ(CU78,CU$3:CU$10000,1)</f>
        <v>68</v>
      </c>
      <c r="CW78" s="24">
        <f>_xlfn.STDEV.S(H78,N78,T78,Z78,AF78,AL78,AR78,AX78,BD78,BJ78,BP78,BV78,CB78,CH78)</f>
        <v>18.732354334175366</v>
      </c>
      <c r="CX78" s="21">
        <f>_xlfn.RANK.EQ(CW78,CW$3:CW$10000,1)</f>
        <v>74</v>
      </c>
      <c r="CY78" s="24">
        <f>_xlfn.STDEV.S(J78,P78,V78,AB78,AH78,AN78,AT78,AZ78,BF78,BL78,BR78,BX78,CD78,CJ78)</f>
        <v>17.433862464742578</v>
      </c>
      <c r="CZ78" s="21">
        <f>_xlfn.RANK.EQ(CY78,CY$3:CY$10000,1)</f>
        <v>71</v>
      </c>
      <c r="DA78">
        <f>SUM(COUNTIF(E78,"&gt;0"),COUNTIF(K78,"&gt;0"),COUNTIF(Q78,"&gt;0"),COUNTIF(W78,"&gt;0"),COUNTIF(AC78,"&gt;0"),COUNTIF(AI78,"&gt;0"),COUNTIF(AO78,"&gt;0"),COUNTIF(AU78,"&gt;0"),COUNTIF(BA78,"&gt;0"),COUNTIF(BG78,"&gt;0"),COUNTIF(BM78,"&gt;0"),COUNTIF(BS78,"&gt;0"),COUNTIF(BY78,"&gt;0"),COUNTIF(CE78,"&gt;0"))</f>
        <v>5</v>
      </c>
    </row>
    <row r="79" spans="2:105" x14ac:dyDescent="0.3">
      <c r="B79" t="s">
        <v>78</v>
      </c>
      <c r="C79" s="18" t="s">
        <v>140</v>
      </c>
      <c r="D79" s="4">
        <f>CN79*$CN$1+CP79*$CP$1+CR79*$CR$1</f>
        <v>76.724999999999994</v>
      </c>
      <c r="E79" s="29">
        <f>IFERROR(_xlfn.XLOOKUP(B79,'w1'!$B:$B,'w1'!$C:$C),0)</f>
        <v>5.0999999999999996</v>
      </c>
      <c r="F79" s="30">
        <f>_xlfn.RANK.EQ(E79,E$3:E$10000,0)</f>
        <v>75</v>
      </c>
      <c r="G79" s="31">
        <f>IFERROR(_xlfn.XLOOKUP(B79,'w1'!$B:$B,'w1'!$F:$F),1)</f>
        <v>0.24583333333333332</v>
      </c>
      <c r="H79" s="30">
        <f>_xlfn.RANK.EQ(G79,G$3:G$10000,1)</f>
        <v>15</v>
      </c>
      <c r="I79" s="30">
        <f>IFERROR(IF(_xlfn.XLOOKUP(B79,'w1'!$B:$B,'w1'!$G:$G)="--",0,_xlfn.XLOOKUP(B79,'w1'!$B:$B,'w1'!$G:$G)),0)</f>
        <v>47</v>
      </c>
      <c r="J79" s="30">
        <f>_xlfn.RANK.EQ(I79,I$3:I$10000,0)</f>
        <v>67</v>
      </c>
      <c r="K79" s="34">
        <f>IFERROR(_xlfn.XLOOKUP(B79,'w2'!$B:$B,'w2'!$C:$C),0)</f>
        <v>10</v>
      </c>
      <c r="L79" s="35">
        <f>_xlfn.RANK.EQ(K79,K$3:K$10000,0)</f>
        <v>63</v>
      </c>
      <c r="M79" s="36">
        <f>IFERROR(_xlfn.XLOOKUP(B79,'w2'!$B:$B,'w2'!$F:$F),1)</f>
        <v>0.27777777777777779</v>
      </c>
      <c r="N79" s="35">
        <f>_xlfn.RANK.EQ(M79,M$3:M$10000,1)</f>
        <v>35</v>
      </c>
      <c r="O79" s="35">
        <f>IFERROR(IF(_xlfn.XLOOKUP(B79,'w2'!$B:$B,'w2'!$G:$G)="--",0,_xlfn.XLOOKUP(B79,'w2'!$B:$B,'w2'!$G:$G)),0)</f>
        <v>33</v>
      </c>
      <c r="P79" s="35">
        <f>_xlfn.RANK.EQ(O79,O$3:O$10000,0)</f>
        <v>67</v>
      </c>
      <c r="Q79" s="39">
        <f>IFERROR(_xlfn.XLOOKUP(B79,'w3'!$B:$B,'w3'!$C:$C),0)</f>
        <v>8.3000000000000007</v>
      </c>
      <c r="R79" s="40">
        <f>_xlfn.RANK.EQ(Q79,Q$3:Q$10000,0)</f>
        <v>73</v>
      </c>
      <c r="S79" s="41">
        <f>IFERROR(_xlfn.XLOOKUP(B79,'w3'!$B:$B,'w3'!$F:$F),1)</f>
        <v>0.25138888888888888</v>
      </c>
      <c r="T79" s="40">
        <f>_xlfn.RANK.EQ(S79,S$3:S$10000,1)</f>
        <v>20</v>
      </c>
      <c r="U79" s="40">
        <f>IFERROR(IF(_xlfn.XLOOKUP(B79,'w3'!$B:$B,'w3'!$G:$G)="--",0,_xlfn.XLOOKUP(B79,'w3'!$B:$B,'w3'!$G:$G)),0)</f>
        <v>39</v>
      </c>
      <c r="V79" s="40">
        <f>_xlfn.RANK.EQ(U79,U$3:U$10000,0)</f>
        <v>70</v>
      </c>
      <c r="W79" s="44">
        <f>IFERROR(_xlfn.XLOOKUP(B79,'w4'!$B:$B,'w4'!$C:$C),0)</f>
        <v>8.6</v>
      </c>
      <c r="X79" s="45">
        <f>_xlfn.RANK.EQ(W79,W$3:W$10000,0)</f>
        <v>67</v>
      </c>
      <c r="Y79" s="46">
        <f>IFERROR(_xlfn.XLOOKUP(B79,'w4'!$B:$B,'w4'!$F:$F),1)</f>
        <v>0.24097222222222223</v>
      </c>
      <c r="Z79" s="45">
        <f>_xlfn.RANK.EQ(Y79,Y$3:Y$10000,1)</f>
        <v>13</v>
      </c>
      <c r="AA79" s="45">
        <f>IFERROR(IF(_xlfn.XLOOKUP(B79,'w4'!$B:$B,'w4'!$G:$G)="--",0,_xlfn.XLOOKUP(B79,'w4'!$B:$B,'w4'!$G:$G)),0)</f>
        <v>0</v>
      </c>
      <c r="AB79" s="45">
        <f>_xlfn.RANK.EQ(AA79,AA$3:AA$10000,0)</f>
        <v>68</v>
      </c>
      <c r="AC79" s="13">
        <f>IFERROR(_xlfn.XLOOKUP(B79,'w5'!$B:$B,'w5'!$C:$C),0)</f>
        <v>0</v>
      </c>
      <c r="AD79" s="12">
        <f>_xlfn.RANK.EQ(AC79,AC$3:AC$10000,0)</f>
        <v>77</v>
      </c>
      <c r="AE79" s="14">
        <f>IFERROR(_xlfn.XLOOKUP(B79,'w5'!$B:$B,'w5'!$F:$F),1)</f>
        <v>1</v>
      </c>
      <c r="AF79" s="12">
        <f>_xlfn.RANK.EQ(AE79,AE$3:AE$10000,1)</f>
        <v>76</v>
      </c>
      <c r="AG79" s="12">
        <f>IFERROR(IF(_xlfn.XLOOKUP(B79,'w5'!$B:$B,'w5'!$G:$G)="--",0,_xlfn.XLOOKUP(B79,'w5'!$B:$B,'w5'!$G:$G)),0)</f>
        <v>0</v>
      </c>
      <c r="AH79" s="12">
        <f>_xlfn.RANK.EQ(AG79,AG$3:AG$10000,0)</f>
        <v>73</v>
      </c>
      <c r="AI79" s="51">
        <f>IFERROR(_xlfn.XLOOKUP(B79,'w6'!$B:$B,'w6'!$C:$C),0)</f>
        <v>0</v>
      </c>
      <c r="AJ79" s="50">
        <f>_xlfn.RANK.EQ(AI79,AI$3:AI$10000,0)</f>
        <v>65</v>
      </c>
      <c r="AK79" s="52">
        <f>IFERROR(_xlfn.XLOOKUP(B79,'w6'!$B:$B,'w6'!$F:$F),1)</f>
        <v>1</v>
      </c>
      <c r="AL79" s="50">
        <f>_xlfn.RANK.EQ(AK79,AK$3:AK$10000,1)</f>
        <v>65</v>
      </c>
      <c r="AM79" s="50">
        <f>IFERROR(IF(_xlfn.XLOOKUP(B79,'w6'!$B:$B,'w6'!$G:$G)="--",0,_xlfn.XLOOKUP(B79,'w6'!$B:$B,'w6'!$G:$G)),0)</f>
        <v>0</v>
      </c>
      <c r="AN79" s="50">
        <f>_xlfn.RANK.EQ(AM79,AM$3:AM$10000,0)</f>
        <v>61</v>
      </c>
      <c r="AO79" s="56">
        <f>IFERROR(_xlfn.XLOOKUP(B79,'w7'!$B:$B,'w7'!$C:$C),0)</f>
        <v>10</v>
      </c>
      <c r="AP79" s="57">
        <f>_xlfn.RANK.EQ(AO79,AO$3:AO$10000,0)</f>
        <v>55</v>
      </c>
      <c r="AQ79" s="58">
        <f>IFERROR(_xlfn.XLOOKUP(B79,'w7'!$B:$B,'w7'!$F:$F),1)</f>
        <v>0.27708333333333335</v>
      </c>
      <c r="AR79" s="57">
        <f>_xlfn.RANK.EQ(AQ79,AQ$3:AQ$10000,1)</f>
        <v>33</v>
      </c>
      <c r="AS79" s="57">
        <f>IFERROR(IF(_xlfn.XLOOKUP(B79,'w7'!$B:$B,'w7'!$G:$G)="--",0,_xlfn.XLOOKUP(B79,'w7'!$B:$B,'w7'!$G:$G)),0)</f>
        <v>24</v>
      </c>
      <c r="AT79" s="57">
        <f>_xlfn.RANK.EQ(AS79,AS$3:AS$10000,0)</f>
        <v>65</v>
      </c>
      <c r="AU79" s="62">
        <f>IFERROR(_xlfn.XLOOKUP(B79,'w8'!$B:$B,'w8'!$C:$C),0)</f>
        <v>0</v>
      </c>
      <c r="AV79" s="61">
        <f>_xlfn.RANK.EQ(AU79,AU$3:AU$10000,0)</f>
        <v>73</v>
      </c>
      <c r="AW79" s="63">
        <f>IFERROR(_xlfn.XLOOKUP(B79,'w8'!$B:$B,'w8'!$F:$F),1)</f>
        <v>1</v>
      </c>
      <c r="AX79" s="61">
        <f>_xlfn.RANK.EQ(AW79,AW$3:AW$10000,1)</f>
        <v>73</v>
      </c>
      <c r="AY79" s="61">
        <f>IFERROR(IF(_xlfn.XLOOKUP(B79,'w8'!$B:$B,'w8'!$G:$G)="--",0,_xlfn.XLOOKUP(B79,'w8'!$B:$B,'w8'!$G:$G)),0)</f>
        <v>0</v>
      </c>
      <c r="AZ79" s="61">
        <f>_xlfn.RANK.EQ(AY79,AY$3:AY$10000,0)</f>
        <v>70</v>
      </c>
      <c r="BA79" s="66">
        <f>IFERROR(_xlfn.XLOOKUP(C79,'w9'!$B:$B,'w9'!$C:$C),0)</f>
        <v>0</v>
      </c>
      <c r="BB79" s="67">
        <f>_xlfn.RANK.EQ(BA79,BA$3:BA$10000,0)</f>
        <v>75</v>
      </c>
      <c r="BC79" s="68">
        <f>IFERROR(_xlfn.XLOOKUP(C79,'w9'!$B:$B,'w9'!$F:$F),1)</f>
        <v>1</v>
      </c>
      <c r="BD79" s="67">
        <f>_xlfn.RANK.EQ(BC79,BC$3:BC$10000,1)</f>
        <v>75</v>
      </c>
      <c r="BE79" s="67">
        <f>IFERROR(IF(_xlfn.XLOOKUP(C79,'w9'!$B:$B,'w9'!$G:$G)="--",0,_xlfn.XLOOKUP(C79,'w9'!$B:$B,'w9'!$G:$G)),0)</f>
        <v>0</v>
      </c>
      <c r="BF79" s="67">
        <f>_xlfn.RANK.EQ(BE79,BE$3:BE$10000,0)</f>
        <v>74</v>
      </c>
      <c r="BG79" s="72">
        <f>IFERROR(_xlfn.XLOOKUP(B79,'w10'!$B:$B,'w10'!$C:$C),0)</f>
        <v>10.199999999999999</v>
      </c>
      <c r="BH79" s="74">
        <f>_xlfn.RANK.EQ(BG79,BG$3:BG$10000,0)</f>
        <v>66</v>
      </c>
      <c r="BI79" s="75">
        <f>IFERROR(_xlfn.XLOOKUP(B79,'w10'!$B:$B,'w10'!$F:$F),1)</f>
        <v>0.24097222222222223</v>
      </c>
      <c r="BJ79" s="74">
        <f>_xlfn.RANK.EQ(BI79,BI$3:BI$10000,1)</f>
        <v>17</v>
      </c>
      <c r="BK79" s="74">
        <f>IFERROR(IF(_xlfn.XLOOKUP(B79,'w10'!$B:$B,'w10'!$G:$G)="--",0,_xlfn.XLOOKUP(B79,'w10'!$B:$B,'w10'!$G:$G)),0)</f>
        <v>24</v>
      </c>
      <c r="BL79" s="74">
        <f>_xlfn.RANK.EQ(BK79,BK$3:BK$10000,0)</f>
        <v>72</v>
      </c>
      <c r="BM79" s="78">
        <f>IFERROR(_xlfn.XLOOKUP(B79,'w11'!$B:$B,'w11'!$C:$C),0)</f>
        <v>13.5</v>
      </c>
      <c r="BN79" s="80">
        <f>_xlfn.RANK.EQ(BM79,BM$3:BM$10000,0)</f>
        <v>54</v>
      </c>
      <c r="BO79" s="81">
        <f>IFERROR(_xlfn.XLOOKUP(B79,'w11'!$B:$B,'w11'!$F:$F),1)</f>
        <v>0.52222222222222225</v>
      </c>
      <c r="BP79" s="80">
        <f>_xlfn.RANK.EQ(BO79,BO$3:BO$10000,1)</f>
        <v>72</v>
      </c>
      <c r="BQ79" s="80">
        <f>IFERROR(IF(_xlfn.XLOOKUP(B79,'w11'!$B:$B,'w11'!$G:$G)="--",0,_xlfn.XLOOKUP(B79,'w11'!$B:$B,'w11'!$G:$G)),0)</f>
        <v>131</v>
      </c>
      <c r="BR79" s="80">
        <f>_xlfn.RANK.EQ(BQ79,BQ$3:BQ$10000,0)</f>
        <v>51</v>
      </c>
      <c r="BS79" s="83">
        <f>IFERROR(_xlfn.XLOOKUP(B79,'w12'!$B:$B,'w12'!$C:$C),0)</f>
        <v>5</v>
      </c>
      <c r="BT79" s="86">
        <f>_xlfn.RANK.EQ(BS79,BS$3:BS$10000,0)</f>
        <v>69</v>
      </c>
      <c r="BU79" s="87">
        <f>IFERROR(_xlfn.XLOOKUP(B79,'w12'!$B:$B,'w12'!$F:$F),1)</f>
        <v>0.25763888888888886</v>
      </c>
      <c r="BV79" s="86">
        <f>_xlfn.RANK.EQ(BU79,BU$3:BU$10000,1)</f>
        <v>23</v>
      </c>
      <c r="BW79" s="86">
        <f>IFERROR(IF(_xlfn.XLOOKUP(B79,'w12'!$B:$B,'w12'!$G:$G)="--",0,_xlfn.XLOOKUP(B79,'w12'!$B:$B,'w12'!$G:$G)),0)</f>
        <v>64</v>
      </c>
      <c r="BX79" s="86">
        <f>_xlfn.RANK.EQ(BW79,BW$3:BW$10000,0)</f>
        <v>63</v>
      </c>
      <c r="BY79" s="89">
        <f>IFERROR(_xlfn.XLOOKUP(B79,'w13'!$B:$B,'w13'!$C:$C),0)</f>
        <v>18.2</v>
      </c>
      <c r="BZ79" s="92">
        <f>_xlfn.RANK.EQ(BY79,BY$3:BY$10000,0)</f>
        <v>43</v>
      </c>
      <c r="CA79" s="93">
        <f>IFERROR(_xlfn.XLOOKUP(B79,'w13'!$B:$B,'w13'!$F:$F),1)</f>
        <v>0.25694444444444442</v>
      </c>
      <c r="CB79" s="92">
        <f>_xlfn.RANK.EQ(CA79,CA$3:CA$10000,1)</f>
        <v>27</v>
      </c>
      <c r="CC79" s="92">
        <f>IFERROR(IF(_xlfn.XLOOKUP(B79,'w13'!$B:$B,'w13'!$G:$G)="--",0,_xlfn.XLOOKUP(B79,'w13'!$B:$B,'w13'!$G:$G)),0)</f>
        <v>103</v>
      </c>
      <c r="CD79" s="92">
        <f>_xlfn.RANK.EQ(CC79,CC$3:CC$10000,0)</f>
        <v>50</v>
      </c>
      <c r="CE79" s="95">
        <f>IFERROR(_xlfn.XLOOKUP(B79,'w14'!$B:$B,'w14'!$C:$C),0)</f>
        <v>6.5</v>
      </c>
      <c r="CF79" s="98">
        <f>_xlfn.RANK.EQ(CE79,CE$3:CE$10000,0)</f>
        <v>65</v>
      </c>
      <c r="CG79" s="99">
        <f>IFERROR(_xlfn.XLOOKUP(B79,'w14'!$B:$B,'w14'!$F:$F),1)</f>
        <v>0.25624999999999998</v>
      </c>
      <c r="CH79" s="98">
        <f>_xlfn.RANK.EQ(CG79,CG$3:CG$10000,1)</f>
        <v>19</v>
      </c>
      <c r="CI79" s="98">
        <f>IFERROR(IF(_xlfn.XLOOKUP(B79,'w14'!$B:$B,'w14'!$G:$G)="--",0,_xlfn.XLOOKUP(B79,'w14'!$B:$B,'w14'!$G:$G)),0)</f>
        <v>2</v>
      </c>
      <c r="CJ79" s="98">
        <f>_xlfn.RANK.EQ(CI79,CI$3:CI$10000,0)</f>
        <v>66</v>
      </c>
      <c r="CK79" s="9">
        <f>_xlfn.RANK.EQ(D79,D$3:D$10000,1)</f>
        <v>77</v>
      </c>
      <c r="CL79" s="26" t="s">
        <v>140</v>
      </c>
      <c r="CM79" s="8">
        <f>SUM(E79,K79,Q79,W79,AC79,AI79,AO79,AU79,BA79,BG79,BM79,BS79,BY79,CE79)</f>
        <v>95.4</v>
      </c>
      <c r="CN79" s="9">
        <f>_xlfn.RANK.EQ(CM79,CM$3:CM$10000)</f>
        <v>77</v>
      </c>
      <c r="CO79" s="15">
        <f>IFERROR(SUM(PRODUCT(E79,G79),PRODUCT(K79,M79),PRODUCT(Q79,S79),PRODUCT(W79,Y79),PRODUCT(AC79,AE79),PRODUCT(AI79,AK79),PRODUCT(AO79,AQ79),PRODUCT(AU79,AW79),PRODUCT(BA79,BC79),PRODUCT(BG79,BI79),PRODUCT(BM79,BO79),PRODUCT(BS79,BU79),PRODUCT(BY79,CA79),PRODUCT(CE79,CG79))/CM79,1)</f>
        <v>0.29454271488469597</v>
      </c>
      <c r="CP79" s="9">
        <f>_xlfn.RANK.EQ(CO79,CO$3:CO$10000,1)</f>
        <v>56</v>
      </c>
      <c r="CQ79" s="9">
        <f>SUM(I79,O79,U79,AA79,AG79,AM79,AS79,AY79,BE79,BK79,BQ79,BW79,CC79,CI79)</f>
        <v>467</v>
      </c>
      <c r="CR79" s="9">
        <f>_xlfn.RANK.EQ(CQ79,CQ$3:CQ$10000)</f>
        <v>87</v>
      </c>
      <c r="CS79" s="23"/>
      <c r="CT79" s="25"/>
      <c r="CU79" s="24">
        <f>_xlfn.STDEV.S(F79,L79,R79,X79,AD79,AJ79,AP79,AV79,BB79,BH79,BN79,BT79,BZ79,CF79)</f>
        <v>9.587079216950702</v>
      </c>
      <c r="CV79" s="21">
        <f>_xlfn.RANK.EQ(CU79,CU$3:CU$10000,1)</f>
        <v>29</v>
      </c>
      <c r="CW79" s="24">
        <f>_xlfn.STDEV.S(H79,N79,T79,Z79,AF79,AL79,AR79,AX79,BD79,BJ79,BP79,BV79,CB79,CH79)</f>
        <v>25.5920016694777</v>
      </c>
      <c r="CX79" s="21">
        <f>_xlfn.RANK.EQ(CW79,CW$3:CW$10000,1)</f>
        <v>97</v>
      </c>
      <c r="CY79" s="24">
        <f>_xlfn.STDEV.S(J79,P79,V79,AB79,AH79,AN79,AT79,AZ79,BF79,BL79,BR79,BX79,CD79,CJ79)</f>
        <v>7.3353726768101088</v>
      </c>
      <c r="CZ79" s="21">
        <f>_xlfn.RANK.EQ(CY79,CY$3:CY$10000,1)</f>
        <v>16</v>
      </c>
      <c r="DA79">
        <f>SUM(COUNTIF(E79,"&gt;0"),COUNTIF(K79,"&gt;0"),COUNTIF(Q79,"&gt;0"),COUNTIF(W79,"&gt;0"),COUNTIF(AC79,"&gt;0"),COUNTIF(AI79,"&gt;0"),COUNTIF(AO79,"&gt;0"),COUNTIF(AU79,"&gt;0"),COUNTIF(BA79,"&gt;0"),COUNTIF(BG79,"&gt;0"),COUNTIF(BM79,"&gt;0"),COUNTIF(BS79,"&gt;0"),COUNTIF(BY79,"&gt;0"),COUNTIF(CE79,"&gt;0"))</f>
        <v>10</v>
      </c>
    </row>
    <row r="80" spans="2:105" x14ac:dyDescent="0.3">
      <c r="B80" t="s">
        <v>72</v>
      </c>
      <c r="C80" s="18" t="s">
        <v>136</v>
      </c>
      <c r="D80" s="4">
        <f>CN80*$CN$1+CP80*$CP$1+CR80*$CR$1</f>
        <v>76.874999999999986</v>
      </c>
      <c r="E80" s="29">
        <f>IFERROR(_xlfn.XLOOKUP(B80,'w1'!$B:$B,'w1'!$C:$C),0)</f>
        <v>10</v>
      </c>
      <c r="F80" s="30">
        <f>_xlfn.RANK.EQ(E80,E$3:E$10000,0)</f>
        <v>69</v>
      </c>
      <c r="G80" s="31">
        <f>IFERROR(_xlfn.XLOOKUP(B80,'w1'!$B:$B,'w1'!$F:$F),1)</f>
        <v>0.24722222222222223</v>
      </c>
      <c r="H80" s="30">
        <f>_xlfn.RANK.EQ(G80,G$3:G$10000,1)</f>
        <v>18</v>
      </c>
      <c r="I80" s="30">
        <f>IFERROR(IF(_xlfn.XLOOKUP(B80,'w1'!$B:$B,'w1'!$G:$G)="--",0,_xlfn.XLOOKUP(B80,'w1'!$B:$B,'w1'!$G:$G)),0)</f>
        <v>68</v>
      </c>
      <c r="J80" s="30">
        <f>_xlfn.RANK.EQ(I80,I$3:I$10000,0)</f>
        <v>62</v>
      </c>
      <c r="K80" s="34">
        <f>IFERROR(_xlfn.XLOOKUP(B80,'w2'!$B:$B,'w2'!$C:$C),0)</f>
        <v>0</v>
      </c>
      <c r="L80" s="35">
        <f>_xlfn.RANK.EQ(K80,K$3:K$10000,0)</f>
        <v>73</v>
      </c>
      <c r="M80" s="36">
        <f>IFERROR(_xlfn.XLOOKUP(B80,'w2'!$B:$B,'w2'!$F:$F),1)</f>
        <v>1</v>
      </c>
      <c r="N80" s="35">
        <f>_xlfn.RANK.EQ(M80,M$3:M$10000,1)</f>
        <v>72</v>
      </c>
      <c r="O80" s="35">
        <f>IFERROR(IF(_xlfn.XLOOKUP(B80,'w2'!$B:$B,'w2'!$G:$G)="--",0,_xlfn.XLOOKUP(B80,'w2'!$B:$B,'w2'!$G:$G)),0)</f>
        <v>0</v>
      </c>
      <c r="P80" s="35">
        <f>_xlfn.RANK.EQ(O80,O$3:O$10000,0)</f>
        <v>71</v>
      </c>
      <c r="Q80" s="39">
        <f>IFERROR(_xlfn.XLOOKUP(B80,'w3'!$B:$B,'w3'!$C:$C),0)</f>
        <v>8</v>
      </c>
      <c r="R80" s="40">
        <f>_xlfn.RANK.EQ(Q80,Q$3:Q$10000,0)</f>
        <v>74</v>
      </c>
      <c r="S80" s="41">
        <f>IFERROR(_xlfn.XLOOKUP(B80,'w3'!$B:$B,'w3'!$F:$F),1)</f>
        <v>0.24513888888888888</v>
      </c>
      <c r="T80" s="40">
        <f>_xlfn.RANK.EQ(S80,S$3:S$10000,1)</f>
        <v>16</v>
      </c>
      <c r="U80" s="40">
        <f>IFERROR(IF(_xlfn.XLOOKUP(B80,'w3'!$B:$B,'w3'!$G:$G)="--",0,_xlfn.XLOOKUP(B80,'w3'!$B:$B,'w3'!$G:$G)),0)</f>
        <v>55</v>
      </c>
      <c r="V80" s="40">
        <f>_xlfn.RANK.EQ(U80,U$3:U$10000,0)</f>
        <v>69</v>
      </c>
      <c r="W80" s="44">
        <f>IFERROR(_xlfn.XLOOKUP(B80,'w4'!$B:$B,'w4'!$C:$C),0)</f>
        <v>5</v>
      </c>
      <c r="X80" s="45">
        <f>_xlfn.RANK.EQ(W80,W$3:W$10000,0)</f>
        <v>71</v>
      </c>
      <c r="Y80" s="46">
        <f>IFERROR(_xlfn.XLOOKUP(B80,'w4'!$B:$B,'w4'!$F:$F),1)</f>
        <v>0.24652777777777779</v>
      </c>
      <c r="Z80" s="45">
        <f>_xlfn.RANK.EQ(Y80,Y$3:Y$10000,1)</f>
        <v>21</v>
      </c>
      <c r="AA80" s="45">
        <f>IFERROR(IF(_xlfn.XLOOKUP(B80,'w4'!$B:$B,'w4'!$G:$G)="--",0,_xlfn.XLOOKUP(B80,'w4'!$B:$B,'w4'!$G:$G)),0)</f>
        <v>35</v>
      </c>
      <c r="AB80" s="45">
        <f>_xlfn.RANK.EQ(AA80,AA$3:AA$10000,0)</f>
        <v>60</v>
      </c>
      <c r="AC80" s="13">
        <f>IFERROR(_xlfn.XLOOKUP(B80,'w5'!$B:$B,'w5'!$C:$C),0)</f>
        <v>8.6999999999999993</v>
      </c>
      <c r="AD80" s="12">
        <f>_xlfn.RANK.EQ(AC80,AC$3:AC$10000,0)</f>
        <v>69</v>
      </c>
      <c r="AE80" s="14">
        <f>IFERROR(_xlfn.XLOOKUP(B80,'w5'!$B:$B,'w5'!$F:$F),1)</f>
        <v>0.24791666666666667</v>
      </c>
      <c r="AF80" s="12">
        <f>_xlfn.RANK.EQ(AE80,AE$3:AE$10000,1)</f>
        <v>18</v>
      </c>
      <c r="AG80" s="12">
        <f>IFERROR(IF(_xlfn.XLOOKUP(B80,'w5'!$B:$B,'w5'!$G:$G)="--",0,_xlfn.XLOOKUP(B80,'w5'!$B:$B,'w5'!$G:$G)),0)</f>
        <v>64</v>
      </c>
      <c r="AH80" s="12">
        <f>_xlfn.RANK.EQ(AG80,AG$3:AG$10000,0)</f>
        <v>68</v>
      </c>
      <c r="AI80" s="51">
        <f>IFERROR(_xlfn.XLOOKUP(B80,'w6'!$B:$B,'w6'!$C:$C),0)</f>
        <v>0</v>
      </c>
      <c r="AJ80" s="50">
        <f>_xlfn.RANK.EQ(AI80,AI$3:AI$10000,0)</f>
        <v>65</v>
      </c>
      <c r="AK80" s="52">
        <f>IFERROR(_xlfn.XLOOKUP(B80,'w6'!$B:$B,'w6'!$F:$F),1)</f>
        <v>1</v>
      </c>
      <c r="AL80" s="50">
        <f>_xlfn.RANK.EQ(AK80,AK$3:AK$10000,1)</f>
        <v>65</v>
      </c>
      <c r="AM80" s="50">
        <f>IFERROR(IF(_xlfn.XLOOKUP(B80,'w6'!$B:$B,'w6'!$G:$G)="--",0,_xlfn.XLOOKUP(B80,'w6'!$B:$B,'w6'!$G:$G)),0)</f>
        <v>0</v>
      </c>
      <c r="AN80" s="50">
        <f>_xlfn.RANK.EQ(AM80,AM$3:AM$10000,0)</f>
        <v>61</v>
      </c>
      <c r="AO80" s="56">
        <f>IFERROR(_xlfn.XLOOKUP(B80,'w7'!$B:$B,'w7'!$C:$C),0)</f>
        <v>6</v>
      </c>
      <c r="AP80" s="57">
        <f>_xlfn.RANK.EQ(AO80,AO$3:AO$10000,0)</f>
        <v>65</v>
      </c>
      <c r="AQ80" s="58">
        <f>IFERROR(_xlfn.XLOOKUP(B80,'w7'!$B:$B,'w7'!$F:$F),1)</f>
        <v>0.26944444444444443</v>
      </c>
      <c r="AR80" s="57">
        <f>_xlfn.RANK.EQ(AQ80,AQ$3:AQ$10000,1)</f>
        <v>30</v>
      </c>
      <c r="AS80" s="57">
        <f>IFERROR(IF(_xlfn.XLOOKUP(B80,'w7'!$B:$B,'w7'!$G:$G)="--",0,_xlfn.XLOOKUP(B80,'w7'!$B:$B,'w7'!$G:$G)),0)</f>
        <v>112</v>
      </c>
      <c r="AT80" s="57">
        <f>_xlfn.RANK.EQ(AS80,AS$3:AS$10000,0)</f>
        <v>50</v>
      </c>
      <c r="AU80" s="62">
        <f>IFERROR(_xlfn.XLOOKUP(B80,'w8'!$B:$B,'w8'!$C:$C),0)</f>
        <v>17</v>
      </c>
      <c r="AV80" s="61">
        <f>_xlfn.RANK.EQ(AU80,AU$3:AU$10000,0)</f>
        <v>55</v>
      </c>
      <c r="AW80" s="63">
        <f>IFERROR(_xlfn.XLOOKUP(B80,'w8'!$B:$B,'w8'!$F:$F),1)</f>
        <v>0.28819444444444442</v>
      </c>
      <c r="AX80" s="61">
        <f>_xlfn.RANK.EQ(AW80,AW$3:AW$10000,1)</f>
        <v>40</v>
      </c>
      <c r="AY80" s="61">
        <f>IFERROR(IF(_xlfn.XLOOKUP(B80,'w8'!$B:$B,'w8'!$G:$G)="--",0,_xlfn.XLOOKUP(B80,'w8'!$B:$B,'w8'!$G:$G)),0)</f>
        <v>267</v>
      </c>
      <c r="AZ80" s="61">
        <f>_xlfn.RANK.EQ(AY80,AY$3:AY$10000,0)</f>
        <v>33</v>
      </c>
      <c r="BA80" s="66">
        <f>IFERROR(_xlfn.XLOOKUP(C80,'w9'!$B:$B,'w9'!$C:$C),0)</f>
        <v>0</v>
      </c>
      <c r="BB80" s="67">
        <f>_xlfn.RANK.EQ(BA80,BA$3:BA$10000,0)</f>
        <v>75</v>
      </c>
      <c r="BC80" s="68">
        <f>IFERROR(_xlfn.XLOOKUP(C80,'w9'!$B:$B,'w9'!$F:$F),1)</f>
        <v>1</v>
      </c>
      <c r="BD80" s="67">
        <f>_xlfn.RANK.EQ(BC80,BC$3:BC$10000,1)</f>
        <v>75</v>
      </c>
      <c r="BE80" s="67">
        <f>IFERROR(IF(_xlfn.XLOOKUP(C80,'w9'!$B:$B,'w9'!$G:$G)="--",0,_xlfn.XLOOKUP(C80,'w9'!$B:$B,'w9'!$G:$G)),0)</f>
        <v>0</v>
      </c>
      <c r="BF80" s="67">
        <f>_xlfn.RANK.EQ(BE80,BE$3:BE$10000,0)</f>
        <v>74</v>
      </c>
      <c r="BG80" s="72">
        <f>IFERROR(_xlfn.XLOOKUP(B80,'w10'!$B:$B,'w10'!$C:$C),0)</f>
        <v>5</v>
      </c>
      <c r="BH80" s="74">
        <f>_xlfn.RANK.EQ(BG80,BG$3:BG$10000,0)</f>
        <v>74</v>
      </c>
      <c r="BI80" s="75">
        <f>IFERROR(_xlfn.XLOOKUP(B80,'w10'!$B:$B,'w10'!$F:$F),1)</f>
        <v>0.25069444444444444</v>
      </c>
      <c r="BJ80" s="74">
        <f>_xlfn.RANK.EQ(BI80,BI$3:BI$10000,1)</f>
        <v>21</v>
      </c>
      <c r="BK80" s="74">
        <f>IFERROR(IF(_xlfn.XLOOKUP(B80,'w10'!$B:$B,'w10'!$G:$G)="--",0,_xlfn.XLOOKUP(B80,'w10'!$B:$B,'w10'!$G:$G)),0)</f>
        <v>40</v>
      </c>
      <c r="BL80" s="74">
        <f>_xlfn.RANK.EQ(BK80,BK$3:BK$10000,0)</f>
        <v>67</v>
      </c>
      <c r="BM80" s="78">
        <f>IFERROR(_xlfn.XLOOKUP(B80,'w11'!$B:$B,'w11'!$C:$C),0)</f>
        <v>10</v>
      </c>
      <c r="BN80" s="80">
        <f>_xlfn.RANK.EQ(BM80,BM$3:BM$10000,0)</f>
        <v>62</v>
      </c>
      <c r="BO80" s="81">
        <f>IFERROR(_xlfn.XLOOKUP(B80,'w11'!$B:$B,'w11'!$F:$F),1)</f>
        <v>0.26111111111111113</v>
      </c>
      <c r="BP80" s="80">
        <f>_xlfn.RANK.EQ(BO80,BO$3:BO$10000,1)</f>
        <v>26</v>
      </c>
      <c r="BQ80" s="80">
        <f>IFERROR(IF(_xlfn.XLOOKUP(B80,'w11'!$B:$B,'w11'!$G:$G)="--",0,_xlfn.XLOOKUP(B80,'w11'!$B:$B,'w11'!$G:$G)),0)</f>
        <v>126</v>
      </c>
      <c r="BR80" s="80">
        <f>_xlfn.RANK.EQ(BQ80,BQ$3:BQ$10000,0)</f>
        <v>53</v>
      </c>
      <c r="BS80" s="83">
        <f>IFERROR(_xlfn.XLOOKUP(B80,'w12'!$B:$B,'w12'!$C:$C),0)</f>
        <v>2.9</v>
      </c>
      <c r="BT80" s="86">
        <f>_xlfn.RANK.EQ(BS80,BS$3:BS$10000,0)</f>
        <v>73</v>
      </c>
      <c r="BU80" s="87">
        <f>IFERROR(_xlfn.XLOOKUP(B80,'w12'!$B:$B,'w12'!$F:$F),1)</f>
        <v>0.34722222222222221</v>
      </c>
      <c r="BV80" s="86">
        <f>_xlfn.RANK.EQ(BU80,BU$3:BU$10000,1)</f>
        <v>67</v>
      </c>
      <c r="BW80" s="86">
        <f>IFERROR(IF(_xlfn.XLOOKUP(B80,'w12'!$B:$B,'w12'!$G:$G)="--",0,_xlfn.XLOOKUP(B80,'w12'!$B:$B,'w12'!$G:$G)),0)</f>
        <v>6</v>
      </c>
      <c r="BX80" s="86">
        <f>_xlfn.RANK.EQ(BW80,BW$3:BW$10000,0)</f>
        <v>71</v>
      </c>
      <c r="BY80" s="89">
        <f>IFERROR(_xlfn.XLOOKUP(B80,'w13'!$B:$B,'w13'!$C:$C),0)</f>
        <v>3.2</v>
      </c>
      <c r="BZ80" s="92">
        <f>_xlfn.RANK.EQ(BY80,BY$3:BY$10000,0)</f>
        <v>75</v>
      </c>
      <c r="CA80" s="93">
        <f>IFERROR(_xlfn.XLOOKUP(B80,'w13'!$B:$B,'w13'!$F:$F),1)</f>
        <v>0.24027777777777778</v>
      </c>
      <c r="CB80" s="92">
        <f>_xlfn.RANK.EQ(CA80,CA$3:CA$10000,1)</f>
        <v>17</v>
      </c>
      <c r="CC80" s="92">
        <f>IFERROR(IF(_xlfn.XLOOKUP(B80,'w13'!$B:$B,'w13'!$G:$G)="--",0,_xlfn.XLOOKUP(B80,'w13'!$B:$B,'w13'!$G:$G)),0)</f>
        <v>6</v>
      </c>
      <c r="CD80" s="92">
        <f>_xlfn.RANK.EQ(CC80,CC$3:CC$10000,0)</f>
        <v>74</v>
      </c>
      <c r="CE80" s="95">
        <f>IFERROR(_xlfn.XLOOKUP(B80,'w14'!$B:$B,'w14'!$C:$C),0)</f>
        <v>16</v>
      </c>
      <c r="CF80" s="98">
        <f>_xlfn.RANK.EQ(CE80,CE$3:CE$10000,0)</f>
        <v>49</v>
      </c>
      <c r="CG80" s="99">
        <f>IFERROR(_xlfn.XLOOKUP(B80,'w14'!$B:$B,'w14'!$F:$F),1)</f>
        <v>0.27847222222222223</v>
      </c>
      <c r="CH80" s="98">
        <f>_xlfn.RANK.EQ(CG80,CG$3:CG$10000,1)</f>
        <v>35</v>
      </c>
      <c r="CI80" s="98">
        <f>IFERROR(IF(_xlfn.XLOOKUP(B80,'w14'!$B:$B,'w14'!$G:$G)="--",0,_xlfn.XLOOKUP(B80,'w14'!$B:$B,'w14'!$G:$G)),0)</f>
        <v>256</v>
      </c>
      <c r="CJ80" s="98">
        <f>_xlfn.RANK.EQ(CI80,CI$3:CI$10000,0)</f>
        <v>34</v>
      </c>
      <c r="CK80" s="9">
        <f>_xlfn.RANK.EQ(D80,D$3:D$10000,1)</f>
        <v>78</v>
      </c>
      <c r="CL80" s="26" t="s">
        <v>136</v>
      </c>
      <c r="CM80" s="8">
        <f>SUM(E80,K80,Q80,W80,AC80,AI80,AO80,AU80,BA80,BG80,BM80,BS80,BY80,CE80)</f>
        <v>91.800000000000011</v>
      </c>
      <c r="CN80" s="9">
        <f>_xlfn.RANK.EQ(CM80,CM$3:CM$10000)</f>
        <v>78</v>
      </c>
      <c r="CO80" s="15">
        <f>IFERROR(SUM(PRODUCT(E80,G80),PRODUCT(K80,M80),PRODUCT(Q80,S80),PRODUCT(W80,Y80),PRODUCT(AC80,AE80),PRODUCT(AI80,AK80),PRODUCT(AO80,AQ80),PRODUCT(AU80,AW80),PRODUCT(BA80,BC80),PRODUCT(BG80,BI80),PRODUCT(BM80,BO80),PRODUCT(BS80,BU80),PRODUCT(BY80,CA80),PRODUCT(CE80,CG80))/CM80,1)</f>
        <v>0.26617420116194623</v>
      </c>
      <c r="CP80" s="9">
        <f>_xlfn.RANK.EQ(CO80,CO$3:CO$10000,1)</f>
        <v>34</v>
      </c>
      <c r="CQ80" s="9">
        <f>SUM(I80,O80,U80,AA80,AG80,AM80,AS80,AY80,BE80,BK80,BQ80,BW80,CC80,CI80)</f>
        <v>1035</v>
      </c>
      <c r="CR80" s="9">
        <f>_xlfn.RANK.EQ(CQ80,CQ$3:CQ$10000)</f>
        <v>77</v>
      </c>
      <c r="CS80" s="23"/>
      <c r="CT80" s="25"/>
      <c r="CU80" s="24">
        <f>_xlfn.STDEV.S(F80,L80,R80,X80,AD80,AJ80,AP80,AV80,BB80,BH80,BN80,BT80,BZ80,CF80)</f>
        <v>7.9147240724397525</v>
      </c>
      <c r="CV80" s="21">
        <f>_xlfn.RANK.EQ(CU80,CU$3:CU$10000,1)</f>
        <v>24</v>
      </c>
      <c r="CW80" s="24">
        <f>_xlfn.STDEV.S(H80,N80,T80,Z80,AF80,AL80,AR80,AX80,BD80,BJ80,BP80,BV80,CB80,CH80)</f>
        <v>22.549700906863727</v>
      </c>
      <c r="CX80" s="21">
        <f>_xlfn.RANK.EQ(CW80,CW$3:CW$10000,1)</f>
        <v>83</v>
      </c>
      <c r="CY80" s="24">
        <f>_xlfn.STDEV.S(J80,P80,V80,AB80,AH80,AN80,AT80,AZ80,BF80,BL80,BR80,BX80,CD80,CJ80)</f>
        <v>13.54053742826162</v>
      </c>
      <c r="CZ80" s="21">
        <f>_xlfn.RANK.EQ(CY80,CY$3:CY$10000,1)</f>
        <v>47</v>
      </c>
      <c r="DA80">
        <f>SUM(COUNTIF(E80,"&gt;0"),COUNTIF(K80,"&gt;0"),COUNTIF(Q80,"&gt;0"),COUNTIF(W80,"&gt;0"),COUNTIF(AC80,"&gt;0"),COUNTIF(AI80,"&gt;0"),COUNTIF(AO80,"&gt;0"),COUNTIF(AU80,"&gt;0"),COUNTIF(BA80,"&gt;0"),COUNTIF(BG80,"&gt;0"),COUNTIF(BM80,"&gt;0"),COUNTIF(BS80,"&gt;0"),COUNTIF(BY80,"&gt;0"),COUNTIF(CE80,"&gt;0"))</f>
        <v>11</v>
      </c>
    </row>
    <row r="81" spans="2:105" x14ac:dyDescent="0.3">
      <c r="B81" t="s">
        <v>46</v>
      </c>
      <c r="C81" s="18" t="s">
        <v>123</v>
      </c>
      <c r="D81" s="4">
        <f>CN81*$CN$1+CP81*$CP$1+CR81*$CR$1</f>
        <v>78.375</v>
      </c>
      <c r="E81" s="29">
        <f>IFERROR(_xlfn.XLOOKUP(B81,'w1'!$B:$B,'w1'!$C:$C),0)</f>
        <v>20</v>
      </c>
      <c r="F81" s="30">
        <f>_xlfn.RANK.EQ(E81,E$3:E$10000,0)</f>
        <v>43</v>
      </c>
      <c r="G81" s="31">
        <f>IFERROR(_xlfn.XLOOKUP(B81,'w1'!$B:$B,'w1'!$F:$F),1)</f>
        <v>0.25416666666666665</v>
      </c>
      <c r="H81" s="30">
        <f>_xlfn.RANK.EQ(G81,G$3:G$10000,1)</f>
        <v>23</v>
      </c>
      <c r="I81" s="30">
        <f>IFERROR(IF(_xlfn.XLOOKUP(B81,'w1'!$B:$B,'w1'!$G:$G)="--",0,_xlfn.XLOOKUP(B81,'w1'!$B:$B,'w1'!$G:$G)),0)</f>
        <v>113</v>
      </c>
      <c r="J81" s="30">
        <f>_xlfn.RANK.EQ(I81,I$3:I$10000,0)</f>
        <v>52</v>
      </c>
      <c r="K81" s="34">
        <f>IFERROR(_xlfn.XLOOKUP(B81,'w2'!$B:$B,'w2'!$C:$C),0)</f>
        <v>0</v>
      </c>
      <c r="L81" s="35">
        <f>_xlfn.RANK.EQ(K81,K$3:K$10000,0)</f>
        <v>73</v>
      </c>
      <c r="M81" s="36">
        <f>IFERROR(_xlfn.XLOOKUP(B81,'w2'!$B:$B,'w2'!$F:$F),1)</f>
        <v>1</v>
      </c>
      <c r="N81" s="35">
        <f>_xlfn.RANK.EQ(M81,M$3:M$10000,1)</f>
        <v>72</v>
      </c>
      <c r="O81" s="35">
        <f>IFERROR(IF(_xlfn.XLOOKUP(B81,'w2'!$B:$B,'w2'!$G:$G)="--",0,_xlfn.XLOOKUP(B81,'w2'!$B:$B,'w2'!$G:$G)),0)</f>
        <v>0</v>
      </c>
      <c r="P81" s="35">
        <f>_xlfn.RANK.EQ(O81,O$3:O$10000,0)</f>
        <v>71</v>
      </c>
      <c r="Q81" s="39">
        <f>IFERROR(_xlfn.XLOOKUP(B81,'w3'!$B:$B,'w3'!$C:$C),0)</f>
        <v>0</v>
      </c>
      <c r="R81" s="40">
        <f>_xlfn.RANK.EQ(Q81,Q$3:Q$10000,0)</f>
        <v>84</v>
      </c>
      <c r="S81" s="41">
        <f>IFERROR(_xlfn.XLOOKUP(B81,'w3'!$B:$B,'w3'!$F:$F),1)</f>
        <v>1</v>
      </c>
      <c r="T81" s="40">
        <f>_xlfn.RANK.EQ(S81,S$3:S$10000,1)</f>
        <v>83</v>
      </c>
      <c r="U81" s="40">
        <f>IFERROR(IF(_xlfn.XLOOKUP(B81,'w3'!$B:$B,'w3'!$G:$G)="--",0,_xlfn.XLOOKUP(B81,'w3'!$B:$B,'w3'!$G:$G)),0)</f>
        <v>0</v>
      </c>
      <c r="V81" s="40">
        <f>_xlfn.RANK.EQ(U81,U$3:U$10000,0)</f>
        <v>80</v>
      </c>
      <c r="W81" s="44">
        <f>IFERROR(_xlfn.XLOOKUP(B81,'w4'!$B:$B,'w4'!$C:$C),0)</f>
        <v>24</v>
      </c>
      <c r="X81" s="45">
        <f>_xlfn.RANK.EQ(W81,W$3:W$10000,0)</f>
        <v>37</v>
      </c>
      <c r="Y81" s="46">
        <f>IFERROR(_xlfn.XLOOKUP(B81,'w4'!$B:$B,'w4'!$F:$F),1)</f>
        <v>0.23333333333333334</v>
      </c>
      <c r="Z81" s="45">
        <f>_xlfn.RANK.EQ(Y81,Y$3:Y$10000,1)</f>
        <v>9</v>
      </c>
      <c r="AA81" s="45">
        <f>IFERROR(IF(_xlfn.XLOOKUP(B81,'w4'!$B:$B,'w4'!$G:$G)="--",0,_xlfn.XLOOKUP(B81,'w4'!$B:$B,'w4'!$G:$G)),0)</f>
        <v>0</v>
      </c>
      <c r="AB81" s="45">
        <f>_xlfn.RANK.EQ(AA81,AA$3:AA$10000,0)</f>
        <v>68</v>
      </c>
      <c r="AC81" s="13">
        <f>IFERROR(_xlfn.XLOOKUP(B81,'w5'!$B:$B,'w5'!$C:$C),0)</f>
        <v>0</v>
      </c>
      <c r="AD81" s="12">
        <f>_xlfn.RANK.EQ(AC81,AC$3:AC$10000,0)</f>
        <v>77</v>
      </c>
      <c r="AE81" s="14">
        <f>IFERROR(_xlfn.XLOOKUP(B81,'w5'!$B:$B,'w5'!$F:$F),1)</f>
        <v>1</v>
      </c>
      <c r="AF81" s="12">
        <f>_xlfn.RANK.EQ(AE81,AE$3:AE$10000,1)</f>
        <v>76</v>
      </c>
      <c r="AG81" s="12">
        <f>IFERROR(IF(_xlfn.XLOOKUP(B81,'w5'!$B:$B,'w5'!$G:$G)="--",0,_xlfn.XLOOKUP(B81,'w5'!$B:$B,'w5'!$G:$G)),0)</f>
        <v>0</v>
      </c>
      <c r="AH81" s="12">
        <f>_xlfn.RANK.EQ(AG81,AG$3:AG$10000,0)</f>
        <v>73</v>
      </c>
      <c r="AI81" s="51">
        <f>IFERROR(_xlfn.XLOOKUP(B81,'w6'!$B:$B,'w6'!$C:$C),0)</f>
        <v>10.199999999999999</v>
      </c>
      <c r="AJ81" s="50">
        <f>_xlfn.RANK.EQ(AI81,AI$3:AI$10000,0)</f>
        <v>48</v>
      </c>
      <c r="AK81" s="52">
        <f>IFERROR(_xlfn.XLOOKUP(B81,'w6'!$B:$B,'w6'!$F:$F),1)</f>
        <v>0.3659722222222222</v>
      </c>
      <c r="AL81" s="50">
        <f>_xlfn.RANK.EQ(AK81,AK$3:AK$10000,1)</f>
        <v>57</v>
      </c>
      <c r="AM81" s="50">
        <f>IFERROR(IF(_xlfn.XLOOKUP(B81,'w6'!$B:$B,'w6'!$G:$G)="--",0,_xlfn.XLOOKUP(B81,'w6'!$B:$B,'w6'!$G:$G)),0)</f>
        <v>298</v>
      </c>
      <c r="AN81" s="50">
        <f>_xlfn.RANK.EQ(AM81,AM$3:AM$10000,0)</f>
        <v>26</v>
      </c>
      <c r="AO81" s="56">
        <f>IFERROR(_xlfn.XLOOKUP(B81,'w7'!$B:$B,'w7'!$C:$C),0)</f>
        <v>0</v>
      </c>
      <c r="AP81" s="57">
        <f>_xlfn.RANK.EQ(AO81,AO$3:AO$10000,0)</f>
        <v>72</v>
      </c>
      <c r="AQ81" s="58">
        <f>IFERROR(_xlfn.XLOOKUP(B81,'w7'!$B:$B,'w7'!$F:$F),1)</f>
        <v>1</v>
      </c>
      <c r="AR81" s="57">
        <f>_xlfn.RANK.EQ(AQ81,AQ$3:AQ$10000,1)</f>
        <v>72</v>
      </c>
      <c r="AS81" s="57">
        <f>IFERROR(IF(_xlfn.XLOOKUP(B81,'w7'!$B:$B,'w7'!$G:$G)="--",0,_xlfn.XLOOKUP(B81,'w7'!$B:$B,'w7'!$G:$G)),0)</f>
        <v>0</v>
      </c>
      <c r="AT81" s="57">
        <f>_xlfn.RANK.EQ(AS81,AS$3:AS$10000,0)</f>
        <v>69</v>
      </c>
      <c r="AU81" s="62">
        <f>IFERROR(_xlfn.XLOOKUP(B81,'w8'!$B:$B,'w8'!$C:$C),0)</f>
        <v>0</v>
      </c>
      <c r="AV81" s="61">
        <f>_xlfn.RANK.EQ(AU81,AU$3:AU$10000,0)</f>
        <v>73</v>
      </c>
      <c r="AW81" s="63">
        <f>IFERROR(_xlfn.XLOOKUP(B81,'w8'!$B:$B,'w8'!$F:$F),1)</f>
        <v>1</v>
      </c>
      <c r="AX81" s="61">
        <f>_xlfn.RANK.EQ(AW81,AW$3:AW$10000,1)</f>
        <v>73</v>
      </c>
      <c r="AY81" s="61">
        <f>IFERROR(IF(_xlfn.XLOOKUP(B81,'w8'!$B:$B,'w8'!$G:$G)="--",0,_xlfn.XLOOKUP(B81,'w8'!$B:$B,'w8'!$G:$G)),0)</f>
        <v>0</v>
      </c>
      <c r="AZ81" s="61">
        <f>_xlfn.RANK.EQ(AY81,AY$3:AY$10000,0)</f>
        <v>70</v>
      </c>
      <c r="BA81" s="66">
        <f>IFERROR(_xlfn.XLOOKUP(C81,'w9'!$B:$B,'w9'!$C:$C),0)</f>
        <v>0</v>
      </c>
      <c r="BB81" s="67">
        <f>_xlfn.RANK.EQ(BA81,BA$3:BA$10000,0)</f>
        <v>75</v>
      </c>
      <c r="BC81" s="68">
        <f>IFERROR(_xlfn.XLOOKUP(C81,'w9'!$B:$B,'w9'!$F:$F),1)</f>
        <v>1</v>
      </c>
      <c r="BD81" s="67">
        <f>_xlfn.RANK.EQ(BC81,BC$3:BC$10000,1)</f>
        <v>75</v>
      </c>
      <c r="BE81" s="67">
        <f>IFERROR(IF(_xlfn.XLOOKUP(C81,'w9'!$B:$B,'w9'!$G:$G)="--",0,_xlfn.XLOOKUP(C81,'w9'!$B:$B,'w9'!$G:$G)),0)</f>
        <v>0</v>
      </c>
      <c r="BF81" s="67">
        <f>_xlfn.RANK.EQ(BE81,BE$3:BE$10000,0)</f>
        <v>74</v>
      </c>
      <c r="BG81" s="72">
        <f>IFERROR(_xlfn.XLOOKUP(B81,'w10'!$B:$B,'w10'!$C:$C),0)</f>
        <v>35.4</v>
      </c>
      <c r="BH81" s="74">
        <f>_xlfn.RANK.EQ(BG81,BG$3:BG$10000,0)</f>
        <v>23</v>
      </c>
      <c r="BI81" s="75">
        <f>IFERROR(_xlfn.XLOOKUP(B81,'w10'!$B:$B,'w10'!$F:$F),1)</f>
        <v>0.4909722222222222</v>
      </c>
      <c r="BJ81" s="74">
        <f>_xlfn.RANK.EQ(BI81,BI$3:BI$10000,1)</f>
        <v>73</v>
      </c>
      <c r="BK81" s="74">
        <f>IFERROR(IF(_xlfn.XLOOKUP(B81,'w10'!$B:$B,'w10'!$G:$G)="--",0,_xlfn.XLOOKUP(B81,'w10'!$B:$B,'w10'!$G:$G)),0)</f>
        <v>2059</v>
      </c>
      <c r="BL81" s="74">
        <f>_xlfn.RANK.EQ(BK81,BK$3:BK$10000,0)</f>
        <v>4</v>
      </c>
      <c r="BM81" s="78">
        <f>IFERROR(_xlfn.XLOOKUP(B81,'w11'!$B:$B,'w11'!$C:$C),0)</f>
        <v>0</v>
      </c>
      <c r="BN81" s="80">
        <f>_xlfn.RANK.EQ(BM81,BM$3:BM$10000,0)</f>
        <v>76</v>
      </c>
      <c r="BO81" s="81">
        <f>IFERROR(_xlfn.XLOOKUP(B81,'w11'!$B:$B,'w11'!$F:$F),1)</f>
        <v>1</v>
      </c>
      <c r="BP81" s="80">
        <f>_xlfn.RANK.EQ(BO81,BO$3:BO$10000,1)</f>
        <v>76</v>
      </c>
      <c r="BQ81" s="80">
        <f>IFERROR(IF(_xlfn.XLOOKUP(B81,'w11'!$B:$B,'w11'!$G:$G)="--",0,_xlfn.XLOOKUP(B81,'w11'!$B:$B,'w11'!$G:$G)),0)</f>
        <v>0</v>
      </c>
      <c r="BR81" s="80">
        <f>_xlfn.RANK.EQ(BQ81,BQ$3:BQ$10000,0)</f>
        <v>75</v>
      </c>
      <c r="BS81" s="83">
        <f>IFERROR(_xlfn.XLOOKUP(B81,'w12'!$B:$B,'w12'!$C:$C),0)</f>
        <v>0</v>
      </c>
      <c r="BT81" s="86">
        <f>_xlfn.RANK.EQ(BS81,BS$3:BS$10000,0)</f>
        <v>76</v>
      </c>
      <c r="BU81" s="87">
        <f>IFERROR(_xlfn.XLOOKUP(B81,'w12'!$B:$B,'w12'!$F:$F),1)</f>
        <v>1</v>
      </c>
      <c r="BV81" s="86">
        <f>_xlfn.RANK.EQ(BU81,BU$3:BU$10000,1)</f>
        <v>76</v>
      </c>
      <c r="BW81" s="86">
        <f>IFERROR(IF(_xlfn.XLOOKUP(B81,'w12'!$B:$B,'w12'!$G:$G)="--",0,_xlfn.XLOOKUP(B81,'w12'!$B:$B,'w12'!$G:$G)),0)</f>
        <v>0</v>
      </c>
      <c r="BX81" s="86">
        <f>_xlfn.RANK.EQ(BW81,BW$3:BW$10000,0)</f>
        <v>73</v>
      </c>
      <c r="BY81" s="89">
        <f>IFERROR(_xlfn.XLOOKUP(B81,'w13'!$B:$B,'w13'!$C:$C),0)</f>
        <v>0</v>
      </c>
      <c r="BZ81" s="92">
        <f>_xlfn.RANK.EQ(BY81,BY$3:BY$10000,0)</f>
        <v>76</v>
      </c>
      <c r="CA81" s="93">
        <f>IFERROR(_xlfn.XLOOKUP(B81,'w13'!$B:$B,'w13'!$F:$F),1)</f>
        <v>1</v>
      </c>
      <c r="CB81" s="92">
        <f>_xlfn.RANK.EQ(CA81,CA$3:CA$10000,1)</f>
        <v>76</v>
      </c>
      <c r="CC81" s="92">
        <f>IFERROR(IF(_xlfn.XLOOKUP(B81,'w13'!$B:$B,'w13'!$G:$G)="--",0,_xlfn.XLOOKUP(B81,'w13'!$B:$B,'w13'!$G:$G)),0)</f>
        <v>0</v>
      </c>
      <c r="CD81" s="92">
        <f>_xlfn.RANK.EQ(CC81,CC$3:CC$10000,0)</f>
        <v>76</v>
      </c>
      <c r="CE81" s="95">
        <f>IFERROR(_xlfn.XLOOKUP(B81,'w14'!$B:$B,'w14'!$C:$C),0)</f>
        <v>0</v>
      </c>
      <c r="CF81" s="98">
        <f>_xlfn.RANK.EQ(CE81,CE$3:CE$10000,0)</f>
        <v>69</v>
      </c>
      <c r="CG81" s="99">
        <f>IFERROR(_xlfn.XLOOKUP(B81,'w14'!$B:$B,'w14'!$F:$F),1)</f>
        <v>1</v>
      </c>
      <c r="CH81" s="98">
        <f>_xlfn.RANK.EQ(CG81,CG$3:CG$10000,1)</f>
        <v>69</v>
      </c>
      <c r="CI81" s="98">
        <f>IFERROR(IF(_xlfn.XLOOKUP(B81,'w14'!$B:$B,'w14'!$G:$G)="--",0,_xlfn.XLOOKUP(B81,'w14'!$B:$B,'w14'!$G:$G)),0)</f>
        <v>0</v>
      </c>
      <c r="CJ81" s="98">
        <f>_xlfn.RANK.EQ(CI81,CI$3:CI$10000,0)</f>
        <v>69</v>
      </c>
      <c r="CK81" s="9">
        <f>_xlfn.RANK.EQ(D81,D$3:D$10000,1)</f>
        <v>79</v>
      </c>
      <c r="CL81" s="26" t="s">
        <v>123</v>
      </c>
      <c r="CM81" s="8">
        <f>SUM(E81,K81,Q81,W81,AC81,AI81,AO81,AU81,BA81,BG81,BM81,BS81,BY81,CE81)</f>
        <v>89.6</v>
      </c>
      <c r="CN81" s="9">
        <f>_xlfn.RANK.EQ(CM81,CM$3:CM$10000)</f>
        <v>79</v>
      </c>
      <c r="CO81" s="15">
        <f>IFERROR(SUM(PRODUCT(E81,G81),PRODUCT(K81,M81),PRODUCT(Q81,S81),PRODUCT(W81,Y81),PRODUCT(AC81,AE81),PRODUCT(AI81,AK81),PRODUCT(AO81,AQ81),PRODUCT(AU81,AW81),PRODUCT(BA81,BC81),PRODUCT(BG81,BI81),PRODUCT(BM81,BO81),PRODUCT(BS81,BU81),PRODUCT(BY81,CA81),PRODUCT(CE81,CG81))/CM81,1)</f>
        <v>0.35487351190476191</v>
      </c>
      <c r="CP81" s="9">
        <f>_xlfn.RANK.EQ(CO81,CO$3:CO$10000,1)</f>
        <v>87</v>
      </c>
      <c r="CQ81" s="9">
        <f>SUM(I81,O81,U81,AA81,AG81,AM81,AS81,AY81,BE81,BK81,BQ81,BW81,CC81,CI81)</f>
        <v>2470</v>
      </c>
      <c r="CR81" s="9">
        <f>_xlfn.RANK.EQ(CQ81,CQ$3:CQ$10000)</f>
        <v>46</v>
      </c>
      <c r="CS81" s="23"/>
      <c r="CT81" s="25"/>
      <c r="CU81" s="24">
        <f>_xlfn.STDEV.S(F81,L81,R81,X81,AD81,AJ81,AP81,AV81,BB81,BH81,BN81,BT81,BZ81,CF81)</f>
        <v>18.558490844289643</v>
      </c>
      <c r="CV81" s="21">
        <f>_xlfn.RANK.EQ(CU81,CU$3:CU$10000,1)</f>
        <v>86</v>
      </c>
      <c r="CW81" s="24">
        <f>_xlfn.STDEV.S(H81,N81,T81,Z81,AF81,AL81,AR81,AX81,BD81,BJ81,BP81,BV81,CB81,CH81)</f>
        <v>21.68657862152747</v>
      </c>
      <c r="CX81" s="21">
        <f>_xlfn.RANK.EQ(CW81,CW$3:CW$10000,1)</f>
        <v>80</v>
      </c>
      <c r="CY81" s="24">
        <f>_xlfn.STDEV.S(J81,P81,V81,AB81,AH81,AN81,AT81,AZ81,BF81,BL81,BR81,BX81,CD81,CJ81)</f>
        <v>21.668329043017675</v>
      </c>
      <c r="CZ81" s="21">
        <f>_xlfn.RANK.EQ(CY81,CY$3:CY$10000,1)</f>
        <v>95</v>
      </c>
      <c r="DA81">
        <f>SUM(COUNTIF(E81,"&gt;0"),COUNTIF(K81,"&gt;0"),COUNTIF(Q81,"&gt;0"),COUNTIF(W81,"&gt;0"),COUNTIF(AC81,"&gt;0"),COUNTIF(AI81,"&gt;0"),COUNTIF(AO81,"&gt;0"),COUNTIF(AU81,"&gt;0"),COUNTIF(BA81,"&gt;0"),COUNTIF(BG81,"&gt;0"),COUNTIF(BM81,"&gt;0"),COUNTIF(BS81,"&gt;0"),COUNTIF(BY81,"&gt;0"),COUNTIF(CE81,"&gt;0"))</f>
        <v>4</v>
      </c>
    </row>
    <row r="82" spans="2:105" x14ac:dyDescent="0.3">
      <c r="B82" t="s">
        <v>59</v>
      </c>
      <c r="C82" s="18" t="s">
        <v>129</v>
      </c>
      <c r="D82" s="4">
        <f>CN82*$CN$1+CP82*$CP$1+CR82*$CR$1</f>
        <v>80</v>
      </c>
      <c r="E82" s="29">
        <f>IFERROR(_xlfn.XLOOKUP(B82,'w1'!$B:$B,'w1'!$C:$C),0)</f>
        <v>12.8</v>
      </c>
      <c r="F82" s="30">
        <f>_xlfn.RANK.EQ(E82,E$3:E$10000,0)</f>
        <v>56</v>
      </c>
      <c r="G82" s="31">
        <f>IFERROR(_xlfn.XLOOKUP(B82,'w1'!$B:$B,'w1'!$F:$F),1)</f>
        <v>0.23819444444444443</v>
      </c>
      <c r="H82" s="30">
        <f>_xlfn.RANK.EQ(G82,G$3:G$10000,1)</f>
        <v>11</v>
      </c>
      <c r="I82" s="30">
        <f>IFERROR(IF(_xlfn.XLOOKUP(B82,'w1'!$B:$B,'w1'!$G:$G)="--",0,_xlfn.XLOOKUP(B82,'w1'!$B:$B,'w1'!$G:$G)),0)</f>
        <v>59</v>
      </c>
      <c r="J82" s="30">
        <f>_xlfn.RANK.EQ(I82,I$3:I$10000,0)</f>
        <v>64</v>
      </c>
      <c r="K82" s="34">
        <f>IFERROR(_xlfn.XLOOKUP(B82,'w2'!$B:$B,'w2'!$C:$C),0)</f>
        <v>0</v>
      </c>
      <c r="L82" s="35">
        <f>_xlfn.RANK.EQ(K82,K$3:K$10000,0)</f>
        <v>73</v>
      </c>
      <c r="M82" s="36">
        <f>IFERROR(_xlfn.XLOOKUP(B82,'w2'!$B:$B,'w2'!$F:$F),1)</f>
        <v>1</v>
      </c>
      <c r="N82" s="35">
        <f>_xlfn.RANK.EQ(M82,M$3:M$10000,1)</f>
        <v>72</v>
      </c>
      <c r="O82" s="35">
        <f>IFERROR(IF(_xlfn.XLOOKUP(B82,'w2'!$B:$B,'w2'!$G:$G)="--",0,_xlfn.XLOOKUP(B82,'w2'!$B:$B,'w2'!$G:$G)),0)</f>
        <v>0</v>
      </c>
      <c r="P82" s="35">
        <f>_xlfn.RANK.EQ(O82,O$3:O$10000,0)</f>
        <v>71</v>
      </c>
      <c r="Q82" s="39">
        <f>IFERROR(_xlfn.XLOOKUP(B82,'w3'!$B:$B,'w3'!$C:$C),0)</f>
        <v>0</v>
      </c>
      <c r="R82" s="40">
        <f>_xlfn.RANK.EQ(Q82,Q$3:Q$10000,0)</f>
        <v>84</v>
      </c>
      <c r="S82" s="41">
        <f>IFERROR(_xlfn.XLOOKUP(B82,'w3'!$B:$B,'w3'!$F:$F),1)</f>
        <v>1</v>
      </c>
      <c r="T82" s="40">
        <f>_xlfn.RANK.EQ(S82,S$3:S$10000,1)</f>
        <v>83</v>
      </c>
      <c r="U82" s="40">
        <f>IFERROR(IF(_xlfn.XLOOKUP(B82,'w3'!$B:$B,'w3'!$G:$G)="--",0,_xlfn.XLOOKUP(B82,'w3'!$B:$B,'w3'!$G:$G)),0)</f>
        <v>0</v>
      </c>
      <c r="V82" s="40">
        <f>_xlfn.RANK.EQ(U82,U$3:U$10000,0)</f>
        <v>80</v>
      </c>
      <c r="W82" s="44">
        <f>IFERROR(_xlfn.XLOOKUP(B82,'w4'!$B:$B,'w4'!$C:$C),0)</f>
        <v>0</v>
      </c>
      <c r="X82" s="45">
        <f>_xlfn.RANK.EQ(W82,W$3:W$10000,0)</f>
        <v>76</v>
      </c>
      <c r="Y82" s="46">
        <f>IFERROR(_xlfn.XLOOKUP(B82,'w4'!$B:$B,'w4'!$F:$F),1)</f>
        <v>1</v>
      </c>
      <c r="Z82" s="45">
        <f>_xlfn.RANK.EQ(Y82,Y$3:Y$10000,1)</f>
        <v>76</v>
      </c>
      <c r="AA82" s="45">
        <f>IFERROR(IF(_xlfn.XLOOKUP(B82,'w4'!$B:$B,'w4'!$G:$G)="--",0,_xlfn.XLOOKUP(B82,'w4'!$B:$B,'w4'!$G:$G)),0)</f>
        <v>0</v>
      </c>
      <c r="AB82" s="45">
        <f>_xlfn.RANK.EQ(AA82,AA$3:AA$10000,0)</f>
        <v>68</v>
      </c>
      <c r="AC82" s="13">
        <f>IFERROR(_xlfn.XLOOKUP(B82,'w5'!$B:$B,'w5'!$C:$C),0)</f>
        <v>0</v>
      </c>
      <c r="AD82" s="12">
        <f>_xlfn.RANK.EQ(AC82,AC$3:AC$10000,0)</f>
        <v>77</v>
      </c>
      <c r="AE82" s="14">
        <f>IFERROR(_xlfn.XLOOKUP(B82,'w5'!$B:$B,'w5'!$F:$F),1)</f>
        <v>1</v>
      </c>
      <c r="AF82" s="12">
        <f>_xlfn.RANK.EQ(AE82,AE$3:AE$10000,1)</f>
        <v>76</v>
      </c>
      <c r="AG82" s="12">
        <f>IFERROR(IF(_xlfn.XLOOKUP(B82,'w5'!$B:$B,'w5'!$G:$G)="--",0,_xlfn.XLOOKUP(B82,'w5'!$B:$B,'w5'!$G:$G)),0)</f>
        <v>0</v>
      </c>
      <c r="AH82" s="12">
        <f>_xlfn.RANK.EQ(AG82,AG$3:AG$10000,0)</f>
        <v>73</v>
      </c>
      <c r="AI82" s="51">
        <f>IFERROR(_xlfn.XLOOKUP(B82,'w6'!$B:$B,'w6'!$C:$C),0)</f>
        <v>10.7</v>
      </c>
      <c r="AJ82" s="50">
        <f>_xlfn.RANK.EQ(AI82,AI$3:AI$10000,0)</f>
        <v>41</v>
      </c>
      <c r="AK82" s="52">
        <f>IFERROR(_xlfn.XLOOKUP(B82,'w6'!$B:$B,'w6'!$F:$F),1)</f>
        <v>0.34861111111111109</v>
      </c>
      <c r="AL82" s="50">
        <f>_xlfn.RANK.EQ(AK82,AK$3:AK$10000,1)</f>
        <v>52</v>
      </c>
      <c r="AM82" s="50">
        <f>IFERROR(IF(_xlfn.XLOOKUP(B82,'w6'!$B:$B,'w6'!$G:$G)="--",0,_xlfn.XLOOKUP(B82,'w6'!$B:$B,'w6'!$G:$G)),0)</f>
        <v>71</v>
      </c>
      <c r="AN82" s="50">
        <f>_xlfn.RANK.EQ(AM82,AM$3:AM$10000,0)</f>
        <v>54</v>
      </c>
      <c r="AO82" s="56">
        <f>IFERROR(_xlfn.XLOOKUP(B82,'w7'!$B:$B,'w7'!$C:$C),0)</f>
        <v>0</v>
      </c>
      <c r="AP82" s="57">
        <f>_xlfn.RANK.EQ(AO82,AO$3:AO$10000,0)</f>
        <v>72</v>
      </c>
      <c r="AQ82" s="58">
        <f>IFERROR(_xlfn.XLOOKUP(B82,'w7'!$B:$B,'w7'!$F:$F),1)</f>
        <v>1</v>
      </c>
      <c r="AR82" s="57">
        <f>_xlfn.RANK.EQ(AQ82,AQ$3:AQ$10000,1)</f>
        <v>72</v>
      </c>
      <c r="AS82" s="57">
        <f>IFERROR(IF(_xlfn.XLOOKUP(B82,'w7'!$B:$B,'w7'!$G:$G)="--",0,_xlfn.XLOOKUP(B82,'w7'!$B:$B,'w7'!$G:$G)),0)</f>
        <v>0</v>
      </c>
      <c r="AT82" s="57">
        <f>_xlfn.RANK.EQ(AS82,AS$3:AS$10000,0)</f>
        <v>69</v>
      </c>
      <c r="AU82" s="62">
        <f>IFERROR(_xlfn.XLOOKUP(B82,'w8'!$B:$B,'w8'!$C:$C),0)</f>
        <v>10.199999999999999</v>
      </c>
      <c r="AV82" s="61">
        <f>_xlfn.RANK.EQ(AU82,AU$3:AU$10000,0)</f>
        <v>61</v>
      </c>
      <c r="AW82" s="63">
        <f>IFERROR(_xlfn.XLOOKUP(B82,'w8'!$B:$B,'w8'!$F:$F),1)</f>
        <v>0.28819444444444442</v>
      </c>
      <c r="AX82" s="61">
        <f>_xlfn.RANK.EQ(AW82,AW$3:AW$10000,1)</f>
        <v>40</v>
      </c>
      <c r="AY82" s="61">
        <f>IFERROR(IF(_xlfn.XLOOKUP(B82,'w8'!$B:$B,'w8'!$G:$G)="--",0,_xlfn.XLOOKUP(B82,'w8'!$B:$B,'w8'!$G:$G)),0)</f>
        <v>21</v>
      </c>
      <c r="AZ82" s="61">
        <f>_xlfn.RANK.EQ(AY82,AY$3:AY$10000,0)</f>
        <v>66</v>
      </c>
      <c r="BA82" s="66">
        <f>IFERROR(_xlfn.XLOOKUP(C82,'w9'!$B:$B,'w9'!$C:$C),0)</f>
        <v>0</v>
      </c>
      <c r="BB82" s="67">
        <f>_xlfn.RANK.EQ(BA82,BA$3:BA$10000,0)</f>
        <v>75</v>
      </c>
      <c r="BC82" s="68">
        <f>IFERROR(_xlfn.XLOOKUP(C82,'w9'!$B:$B,'w9'!$F:$F),1)</f>
        <v>1</v>
      </c>
      <c r="BD82" s="67">
        <f>_xlfn.RANK.EQ(BC82,BC$3:BC$10000,1)</f>
        <v>75</v>
      </c>
      <c r="BE82" s="67">
        <f>IFERROR(IF(_xlfn.XLOOKUP(C82,'w9'!$B:$B,'w9'!$G:$G)="--",0,_xlfn.XLOOKUP(C82,'w9'!$B:$B,'w9'!$G:$G)),0)</f>
        <v>0</v>
      </c>
      <c r="BF82" s="67">
        <f>_xlfn.RANK.EQ(BE82,BE$3:BE$10000,0)</f>
        <v>74</v>
      </c>
      <c r="BG82" s="72">
        <f>IFERROR(_xlfn.XLOOKUP(B82,'w10'!$B:$B,'w10'!$C:$C),0)</f>
        <v>0</v>
      </c>
      <c r="BH82" s="74">
        <f>_xlfn.RANK.EQ(BG82,BG$3:BG$10000,0)</f>
        <v>77</v>
      </c>
      <c r="BI82" s="75">
        <f>IFERROR(_xlfn.XLOOKUP(B82,'w10'!$B:$B,'w10'!$F:$F),1)</f>
        <v>1</v>
      </c>
      <c r="BJ82" s="74">
        <f>_xlfn.RANK.EQ(BI82,BI$3:BI$10000,1)</f>
        <v>76</v>
      </c>
      <c r="BK82" s="74">
        <f>IFERROR(IF(_xlfn.XLOOKUP(B82,'w10'!$B:$B,'w10'!$G:$G)="--",0,_xlfn.XLOOKUP(B82,'w10'!$B:$B,'w10'!$G:$G)),0)</f>
        <v>0</v>
      </c>
      <c r="BL82" s="74">
        <f>_xlfn.RANK.EQ(BK82,BK$3:BK$10000,0)</f>
        <v>76</v>
      </c>
      <c r="BM82" s="78">
        <f>IFERROR(_xlfn.XLOOKUP(B82,'w11'!$B:$B,'w11'!$C:$C),0)</f>
        <v>23.7</v>
      </c>
      <c r="BN82" s="80">
        <f>_xlfn.RANK.EQ(BM82,BM$3:BM$10000,0)</f>
        <v>36</v>
      </c>
      <c r="BO82" s="81">
        <f>IFERROR(_xlfn.XLOOKUP(B82,'w11'!$B:$B,'w11'!$F:$F),1)</f>
        <v>0.3888888888888889</v>
      </c>
      <c r="BP82" s="80">
        <f>_xlfn.RANK.EQ(BO82,BO$3:BO$10000,1)</f>
        <v>69</v>
      </c>
      <c r="BQ82" s="80">
        <f>IFERROR(IF(_xlfn.XLOOKUP(B82,'w11'!$B:$B,'w11'!$G:$G)="--",0,_xlfn.XLOOKUP(B82,'w11'!$B:$B,'w11'!$G:$G)),0)</f>
        <v>354</v>
      </c>
      <c r="BR82" s="80">
        <f>_xlfn.RANK.EQ(BQ82,BQ$3:BQ$10000,0)</f>
        <v>24</v>
      </c>
      <c r="BS82" s="83">
        <f>IFERROR(_xlfn.XLOOKUP(B82,'w12'!$B:$B,'w12'!$C:$C),0)</f>
        <v>10</v>
      </c>
      <c r="BT82" s="86">
        <f>_xlfn.RANK.EQ(BS82,BS$3:BS$10000,0)</f>
        <v>59</v>
      </c>
      <c r="BU82" s="87">
        <f>IFERROR(_xlfn.XLOOKUP(B82,'w12'!$B:$B,'w12'!$F:$F),1)</f>
        <v>0.29930555555555555</v>
      </c>
      <c r="BV82" s="86">
        <f>_xlfn.RANK.EQ(BU82,BU$3:BU$10000,1)</f>
        <v>51</v>
      </c>
      <c r="BW82" s="86">
        <f>IFERROR(IF(_xlfn.XLOOKUP(B82,'w12'!$B:$B,'w12'!$G:$G)="--",0,_xlfn.XLOOKUP(B82,'w12'!$B:$B,'w12'!$G:$G)),0)</f>
        <v>21</v>
      </c>
      <c r="BX82" s="86">
        <f>_xlfn.RANK.EQ(BW82,BW$3:BW$10000,0)</f>
        <v>68</v>
      </c>
      <c r="BY82" s="89">
        <f>IFERROR(_xlfn.XLOOKUP(B82,'w13'!$B:$B,'w13'!$C:$C),0)</f>
        <v>14.1</v>
      </c>
      <c r="BZ82" s="92">
        <f>_xlfn.RANK.EQ(BY82,BY$3:BY$10000,0)</f>
        <v>57</v>
      </c>
      <c r="CA82" s="93">
        <f>IFERROR(_xlfn.XLOOKUP(B82,'w13'!$B:$B,'w13'!$F:$F),1)</f>
        <v>0.3347222222222222</v>
      </c>
      <c r="CB82" s="92">
        <f>_xlfn.RANK.EQ(CA82,CA$3:CA$10000,1)</f>
        <v>56</v>
      </c>
      <c r="CC82" s="92">
        <f>IFERROR(IF(_xlfn.XLOOKUP(B82,'w13'!$B:$B,'w13'!$G:$G)="--",0,_xlfn.XLOOKUP(B82,'w13'!$B:$B,'w13'!$G:$G)),0)</f>
        <v>14</v>
      </c>
      <c r="CD82" s="92">
        <f>_xlfn.RANK.EQ(CC82,CC$3:CC$10000,0)</f>
        <v>72</v>
      </c>
      <c r="CE82" s="95">
        <f>IFERROR(_xlfn.XLOOKUP(B82,'w14'!$B:$B,'w14'!$C:$C),0)</f>
        <v>0</v>
      </c>
      <c r="CF82" s="98">
        <f>_xlfn.RANK.EQ(CE82,CE$3:CE$10000,0)</f>
        <v>69</v>
      </c>
      <c r="CG82" s="99">
        <f>IFERROR(_xlfn.XLOOKUP(B82,'w14'!$B:$B,'w14'!$F:$F),1)</f>
        <v>1</v>
      </c>
      <c r="CH82" s="98">
        <f>_xlfn.RANK.EQ(CG82,CG$3:CG$10000,1)</f>
        <v>69</v>
      </c>
      <c r="CI82" s="98">
        <f>IFERROR(IF(_xlfn.XLOOKUP(B82,'w14'!$B:$B,'w14'!$G:$G)="--",0,_xlfn.XLOOKUP(B82,'w14'!$B:$B,'w14'!$G:$G)),0)</f>
        <v>0</v>
      </c>
      <c r="CJ82" s="98">
        <f>_xlfn.RANK.EQ(CI82,CI$3:CI$10000,0)</f>
        <v>69</v>
      </c>
      <c r="CK82" s="9">
        <f>_xlfn.RANK.EQ(D82,D$3:D$10000,1)</f>
        <v>80</v>
      </c>
      <c r="CL82" s="26" t="s">
        <v>129</v>
      </c>
      <c r="CM82" s="8">
        <f>SUM(E82,K82,Q82,W82,AC82,AI82,AO82,AU82,BA82,BG82,BM82,BS82,BY82,CE82)</f>
        <v>81.5</v>
      </c>
      <c r="CN82" s="9">
        <f>_xlfn.RANK.EQ(CM82,CM$3:CM$10000)</f>
        <v>80</v>
      </c>
      <c r="CO82" s="15">
        <f>IFERROR(SUM(PRODUCT(E82,G82),PRODUCT(K82,M82),PRODUCT(Q82,S82),PRODUCT(W82,Y82),PRODUCT(AC82,AE82),PRODUCT(AI82,AK82),PRODUCT(AO82,AQ82),PRODUCT(AU82,AW82),PRODUCT(BA82,BC82),PRODUCT(BG82,BI82),PRODUCT(BM82,BO82),PRODUCT(BS82,BU82),PRODUCT(BY82,CA82),PRODUCT(CE82,CG82))/CM82,1)</f>
        <v>0.3269683026584867</v>
      </c>
      <c r="CP82" s="9">
        <f>_xlfn.RANK.EQ(CO82,CO$3:CO$10000,1)</f>
        <v>74</v>
      </c>
      <c r="CQ82" s="9">
        <f>SUM(I82,O82,U82,AA82,AG82,AM82,AS82,AY82,BE82,BK82,BQ82,BW82,CC82,CI82)</f>
        <v>540</v>
      </c>
      <c r="CR82" s="9">
        <f>_xlfn.RANK.EQ(CQ82,CQ$3:CQ$10000)</f>
        <v>86</v>
      </c>
      <c r="CS82" s="23"/>
      <c r="CT82" s="25"/>
      <c r="CU82" s="24">
        <f>_xlfn.STDEV.S(F82,L82,R82,X82,AD82,AJ82,AP82,AV82,BB82,BH82,BN82,BT82,BZ82,CF82)</f>
        <v>14.175702785066763</v>
      </c>
      <c r="CV82" s="21">
        <f>_xlfn.RANK.EQ(CU82,CU$3:CU$10000,1)</f>
        <v>52</v>
      </c>
      <c r="CW82" s="24">
        <f>_xlfn.STDEV.S(H82,N82,T82,Z82,AF82,AL82,AR82,AX82,BD82,BJ82,BP82,BV82,CB82,CH82)</f>
        <v>19.277043227746205</v>
      </c>
      <c r="CX82" s="21">
        <f>_xlfn.RANK.EQ(CW82,CW$3:CW$10000,1)</f>
        <v>76</v>
      </c>
      <c r="CY82" s="24">
        <f>_xlfn.STDEV.S(J82,P82,V82,AB82,AH82,AN82,AT82,AZ82,BF82,BL82,BR82,BX82,CD82,CJ82)</f>
        <v>13.606721028332187</v>
      </c>
      <c r="CZ82" s="21">
        <f>_xlfn.RANK.EQ(CY82,CY$3:CY$10000,1)</f>
        <v>48</v>
      </c>
      <c r="DA82">
        <f>SUM(COUNTIF(E82,"&gt;0"),COUNTIF(K82,"&gt;0"),COUNTIF(Q82,"&gt;0"),COUNTIF(W82,"&gt;0"),COUNTIF(AC82,"&gt;0"),COUNTIF(AI82,"&gt;0"),COUNTIF(AO82,"&gt;0"),COUNTIF(AU82,"&gt;0"),COUNTIF(BA82,"&gt;0"),COUNTIF(BG82,"&gt;0"),COUNTIF(BM82,"&gt;0"),COUNTIF(BS82,"&gt;0"),COUNTIF(BY82,"&gt;0"),COUNTIF(CE82,"&gt;0"))</f>
        <v>6</v>
      </c>
    </row>
    <row r="83" spans="2:105" x14ac:dyDescent="0.3">
      <c r="B83" t="s">
        <v>63</v>
      </c>
      <c r="C83" s="18" t="s">
        <v>131</v>
      </c>
      <c r="D83" s="4">
        <f>CN83*$CN$1+CP83*$CP$1+CR83*$CR$1</f>
        <v>80.45</v>
      </c>
      <c r="E83" s="29">
        <f>IFERROR(_xlfn.XLOOKUP(B83,'w1'!$B:$B,'w1'!$C:$C),0)</f>
        <v>12</v>
      </c>
      <c r="F83" s="30">
        <f>_xlfn.RANK.EQ(E83,E$3:E$10000,0)</f>
        <v>59</v>
      </c>
      <c r="G83" s="31">
        <f>IFERROR(_xlfn.XLOOKUP(B83,'w1'!$B:$B,'w1'!$F:$F),1)</f>
        <v>0.28611111111111109</v>
      </c>
      <c r="H83" s="30">
        <f>_xlfn.RANK.EQ(G83,G$3:G$10000,1)</f>
        <v>49</v>
      </c>
      <c r="I83" s="30">
        <f>IFERROR(IF(_xlfn.XLOOKUP(B83,'w1'!$B:$B,'w1'!$G:$G)="--",0,_xlfn.XLOOKUP(B83,'w1'!$B:$B,'w1'!$G:$G)),0)</f>
        <v>57</v>
      </c>
      <c r="J83" s="30">
        <f>_xlfn.RANK.EQ(I83,I$3:I$10000,0)</f>
        <v>65</v>
      </c>
      <c r="K83" s="34">
        <f>IFERROR(_xlfn.XLOOKUP(B83,'w2'!$B:$B,'w2'!$C:$C),0)</f>
        <v>0</v>
      </c>
      <c r="L83" s="35">
        <f>_xlfn.RANK.EQ(K83,K$3:K$10000,0)</f>
        <v>73</v>
      </c>
      <c r="M83" s="36">
        <f>IFERROR(_xlfn.XLOOKUP(B83,'w2'!$B:$B,'w2'!$F:$F),1)</f>
        <v>1</v>
      </c>
      <c r="N83" s="35">
        <f>_xlfn.RANK.EQ(M83,M$3:M$10000,1)</f>
        <v>72</v>
      </c>
      <c r="O83" s="35">
        <f>IFERROR(IF(_xlfn.XLOOKUP(B83,'w2'!$B:$B,'w2'!$G:$G)="--",0,_xlfn.XLOOKUP(B83,'w2'!$B:$B,'w2'!$G:$G)),0)</f>
        <v>0</v>
      </c>
      <c r="P83" s="35">
        <f>_xlfn.RANK.EQ(O83,O$3:O$10000,0)</f>
        <v>71</v>
      </c>
      <c r="Q83" s="39">
        <f>IFERROR(_xlfn.XLOOKUP(B83,'w3'!$B:$B,'w3'!$C:$C),0)</f>
        <v>5</v>
      </c>
      <c r="R83" s="40">
        <f>_xlfn.RANK.EQ(Q83,Q$3:Q$10000,0)</f>
        <v>80</v>
      </c>
      <c r="S83" s="41">
        <f>IFERROR(_xlfn.XLOOKUP(B83,'w3'!$B:$B,'w3'!$F:$F),1)</f>
        <v>0.26944444444444443</v>
      </c>
      <c r="T83" s="40">
        <f>_xlfn.RANK.EQ(S83,S$3:S$10000,1)</f>
        <v>35</v>
      </c>
      <c r="U83" s="40">
        <f>IFERROR(IF(_xlfn.XLOOKUP(B83,'w3'!$B:$B,'w3'!$G:$G)="--",0,_xlfn.XLOOKUP(B83,'w3'!$B:$B,'w3'!$G:$G)),0)</f>
        <v>14</v>
      </c>
      <c r="V83" s="40">
        <f>_xlfn.RANK.EQ(U83,U$3:U$10000,0)</f>
        <v>76</v>
      </c>
      <c r="W83" s="44">
        <f>IFERROR(_xlfn.XLOOKUP(B83,'w4'!$B:$B,'w4'!$C:$C),0)</f>
        <v>12</v>
      </c>
      <c r="X83" s="45">
        <f>_xlfn.RANK.EQ(W83,W$3:W$10000,0)</f>
        <v>54</v>
      </c>
      <c r="Y83" s="46">
        <f>IFERROR(_xlfn.XLOOKUP(B83,'w4'!$B:$B,'w4'!$F:$F),1)</f>
        <v>0.26874999999999999</v>
      </c>
      <c r="Z83" s="45">
        <f>_xlfn.RANK.EQ(Y83,Y$3:Y$10000,1)</f>
        <v>36</v>
      </c>
      <c r="AA83" s="45">
        <f>IFERROR(IF(_xlfn.XLOOKUP(B83,'w4'!$B:$B,'w4'!$G:$G)="--",0,_xlfn.XLOOKUP(B83,'w4'!$B:$B,'w4'!$G:$G)),0)</f>
        <v>49</v>
      </c>
      <c r="AB83" s="45">
        <f>_xlfn.RANK.EQ(AA83,AA$3:AA$10000,0)</f>
        <v>57</v>
      </c>
      <c r="AC83" s="13">
        <f>IFERROR(_xlfn.XLOOKUP(B83,'w5'!$B:$B,'w5'!$C:$C),0)</f>
        <v>0</v>
      </c>
      <c r="AD83" s="12">
        <f>_xlfn.RANK.EQ(AC83,AC$3:AC$10000,0)</f>
        <v>77</v>
      </c>
      <c r="AE83" s="14">
        <f>IFERROR(_xlfn.XLOOKUP(B83,'w5'!$B:$B,'w5'!$F:$F),1)</f>
        <v>1</v>
      </c>
      <c r="AF83" s="12">
        <f>_xlfn.RANK.EQ(AE83,AE$3:AE$10000,1)</f>
        <v>76</v>
      </c>
      <c r="AG83" s="12">
        <f>IFERROR(IF(_xlfn.XLOOKUP(B83,'w5'!$B:$B,'w5'!$G:$G)="--",0,_xlfn.XLOOKUP(B83,'w5'!$B:$B,'w5'!$G:$G)),0)</f>
        <v>0</v>
      </c>
      <c r="AH83" s="12">
        <f>_xlfn.RANK.EQ(AG83,AG$3:AG$10000,0)</f>
        <v>73</v>
      </c>
      <c r="AI83" s="51">
        <f>IFERROR(_xlfn.XLOOKUP(B83,'w6'!$B:$B,'w6'!$C:$C),0)</f>
        <v>0</v>
      </c>
      <c r="AJ83" s="50">
        <f>_xlfn.RANK.EQ(AI83,AI$3:AI$10000,0)</f>
        <v>65</v>
      </c>
      <c r="AK83" s="52">
        <f>IFERROR(_xlfn.XLOOKUP(B83,'w6'!$B:$B,'w6'!$F:$F),1)</f>
        <v>1</v>
      </c>
      <c r="AL83" s="50">
        <f>_xlfn.RANK.EQ(AK83,AK$3:AK$10000,1)</f>
        <v>65</v>
      </c>
      <c r="AM83" s="50">
        <f>IFERROR(IF(_xlfn.XLOOKUP(B83,'w6'!$B:$B,'w6'!$G:$G)="--",0,_xlfn.XLOOKUP(B83,'w6'!$B:$B,'w6'!$G:$G)),0)</f>
        <v>0</v>
      </c>
      <c r="AN83" s="50">
        <f>_xlfn.RANK.EQ(AM83,AM$3:AM$10000,0)</f>
        <v>61</v>
      </c>
      <c r="AO83" s="56">
        <f>IFERROR(_xlfn.XLOOKUP(B83,'w7'!$B:$B,'w7'!$C:$C),0)</f>
        <v>4</v>
      </c>
      <c r="AP83" s="57">
        <f>_xlfn.RANK.EQ(AO83,AO$3:AO$10000,0)</f>
        <v>68</v>
      </c>
      <c r="AQ83" s="58">
        <f>IFERROR(_xlfn.XLOOKUP(B83,'w7'!$B:$B,'w7'!$F:$F),1)</f>
        <v>0.27986111111111112</v>
      </c>
      <c r="AR83" s="57">
        <f>_xlfn.RANK.EQ(AQ83,AQ$3:AQ$10000,1)</f>
        <v>34</v>
      </c>
      <c r="AS83" s="57">
        <f>IFERROR(IF(_xlfn.XLOOKUP(B83,'w7'!$B:$B,'w7'!$G:$G)="--",0,_xlfn.XLOOKUP(B83,'w7'!$B:$B,'w7'!$G:$G)),0)</f>
        <v>4</v>
      </c>
      <c r="AT83" s="57">
        <f>_xlfn.RANK.EQ(AS83,AS$3:AS$10000,0)</f>
        <v>68</v>
      </c>
      <c r="AU83" s="62">
        <f>IFERROR(_xlfn.XLOOKUP(B83,'w8'!$B:$B,'w8'!$C:$C),0)</f>
        <v>0</v>
      </c>
      <c r="AV83" s="61">
        <f>_xlfn.RANK.EQ(AU83,AU$3:AU$10000,0)</f>
        <v>73</v>
      </c>
      <c r="AW83" s="63">
        <f>IFERROR(_xlfn.XLOOKUP(B83,'w8'!$B:$B,'w8'!$F:$F),1)</f>
        <v>1</v>
      </c>
      <c r="AX83" s="61">
        <f>_xlfn.RANK.EQ(AW83,AW$3:AW$10000,1)</f>
        <v>73</v>
      </c>
      <c r="AY83" s="61">
        <f>IFERROR(IF(_xlfn.XLOOKUP(B83,'w8'!$B:$B,'w8'!$G:$G)="--",0,_xlfn.XLOOKUP(B83,'w8'!$B:$B,'w8'!$G:$G)),0)</f>
        <v>0</v>
      </c>
      <c r="AZ83" s="61">
        <f>_xlfn.RANK.EQ(AY83,AY$3:AY$10000,0)</f>
        <v>70</v>
      </c>
      <c r="BA83" s="66">
        <f>IFERROR(_xlfn.XLOOKUP(C83,'w9'!$B:$B,'w9'!$C:$C),0)</f>
        <v>5</v>
      </c>
      <c r="BB83" s="67">
        <f>_xlfn.RANK.EQ(BA83,BA$3:BA$10000,0)</f>
        <v>73</v>
      </c>
      <c r="BC83" s="68">
        <f>IFERROR(_xlfn.XLOOKUP(C83,'w9'!$B:$B,'w9'!$F:$F),1)</f>
        <v>0.30833333333333335</v>
      </c>
      <c r="BD83" s="67">
        <f>_xlfn.RANK.EQ(BC83,BC$3:BC$10000,1)</f>
        <v>44</v>
      </c>
      <c r="BE83" s="67">
        <f>IFERROR(IF(_xlfn.XLOOKUP(C83,'w9'!$B:$B,'w9'!$G:$G)="--",0,_xlfn.XLOOKUP(C83,'w9'!$B:$B,'w9'!$G:$G)),0)</f>
        <v>10</v>
      </c>
      <c r="BF83" s="67">
        <f>_xlfn.RANK.EQ(BE83,BE$3:BE$10000,0)</f>
        <v>73</v>
      </c>
      <c r="BG83" s="72">
        <f>IFERROR(_xlfn.XLOOKUP(B83,'w10'!$B:$B,'w10'!$C:$C),0)</f>
        <v>7</v>
      </c>
      <c r="BH83" s="74">
        <f>_xlfn.RANK.EQ(BG83,BG$3:BG$10000,0)</f>
        <v>72</v>
      </c>
      <c r="BI83" s="75">
        <f>IFERROR(_xlfn.XLOOKUP(B83,'w10'!$B:$B,'w10'!$F:$F),1)</f>
        <v>0.27500000000000002</v>
      </c>
      <c r="BJ83" s="74">
        <f>_xlfn.RANK.EQ(BI83,BI$3:BI$10000,1)</f>
        <v>37</v>
      </c>
      <c r="BK83" s="74">
        <f>IFERROR(IF(_xlfn.XLOOKUP(B83,'w10'!$B:$B,'w10'!$G:$G)="--",0,_xlfn.XLOOKUP(B83,'w10'!$B:$B,'w10'!$G:$G)),0)</f>
        <v>16</v>
      </c>
      <c r="BL83" s="74">
        <f>_xlfn.RANK.EQ(BK83,BK$3:BK$10000,0)</f>
        <v>74</v>
      </c>
      <c r="BM83" s="78">
        <f>IFERROR(_xlfn.XLOOKUP(B83,'w11'!$B:$B,'w11'!$C:$C),0)</f>
        <v>10</v>
      </c>
      <c r="BN83" s="80">
        <f>_xlfn.RANK.EQ(BM83,BM$3:BM$10000,0)</f>
        <v>62</v>
      </c>
      <c r="BO83" s="81">
        <f>IFERROR(_xlfn.XLOOKUP(B83,'w11'!$B:$B,'w11'!$F:$F),1)</f>
        <v>0.27638888888888891</v>
      </c>
      <c r="BP83" s="80">
        <f>_xlfn.RANK.EQ(BO83,BO$3:BO$10000,1)</f>
        <v>38</v>
      </c>
      <c r="BQ83" s="80">
        <f>IFERROR(IF(_xlfn.XLOOKUP(B83,'w11'!$B:$B,'w11'!$G:$G)="--",0,_xlfn.XLOOKUP(B83,'w11'!$B:$B,'w11'!$G:$G)),0)</f>
        <v>11</v>
      </c>
      <c r="BR83" s="80">
        <f>_xlfn.RANK.EQ(BQ83,BQ$3:BQ$10000,0)</f>
        <v>74</v>
      </c>
      <c r="BS83" s="83">
        <f>IFERROR(_xlfn.XLOOKUP(B83,'w12'!$B:$B,'w12'!$C:$C),0)</f>
        <v>20</v>
      </c>
      <c r="BT83" s="86">
        <f>_xlfn.RANK.EQ(BS83,BS$3:BS$10000,0)</f>
        <v>36</v>
      </c>
      <c r="BU83" s="87">
        <f>IFERROR(_xlfn.XLOOKUP(B83,'w12'!$B:$B,'w12'!$F:$F),1)</f>
        <v>0.2951388888888889</v>
      </c>
      <c r="BV83" s="86">
        <f>_xlfn.RANK.EQ(BU83,BU$3:BU$10000,1)</f>
        <v>47</v>
      </c>
      <c r="BW83" s="86">
        <f>IFERROR(IF(_xlfn.XLOOKUP(B83,'w12'!$B:$B,'w12'!$G:$G)="--",0,_xlfn.XLOOKUP(B83,'w12'!$B:$B,'w12'!$G:$G)),0)</f>
        <v>79</v>
      </c>
      <c r="BX83" s="86">
        <f>_xlfn.RANK.EQ(BW83,BW$3:BW$10000,0)</f>
        <v>59</v>
      </c>
      <c r="BY83" s="89">
        <f>IFERROR(_xlfn.XLOOKUP(B83,'w13'!$B:$B,'w13'!$C:$C),0)</f>
        <v>6</v>
      </c>
      <c r="BZ83" s="92">
        <f>_xlfn.RANK.EQ(BY83,BY$3:BY$10000,0)</f>
        <v>71</v>
      </c>
      <c r="CA83" s="93">
        <f>IFERROR(_xlfn.XLOOKUP(B83,'w13'!$B:$B,'w13'!$F:$F),1)</f>
        <v>0.27569444444444446</v>
      </c>
      <c r="CB83" s="92">
        <f>_xlfn.RANK.EQ(CA83,CA$3:CA$10000,1)</f>
        <v>40</v>
      </c>
      <c r="CC83" s="92">
        <f>IFERROR(IF(_xlfn.XLOOKUP(B83,'w13'!$B:$B,'w13'!$G:$G)="--",0,_xlfn.XLOOKUP(B83,'w13'!$B:$B,'w13'!$G:$G)),0)</f>
        <v>2</v>
      </c>
      <c r="CD83" s="92">
        <f>_xlfn.RANK.EQ(CC83,CC$3:CC$10000,0)</f>
        <v>75</v>
      </c>
      <c r="CE83" s="95">
        <f>IFERROR(_xlfn.XLOOKUP(B83,'w14'!$B:$B,'w14'!$C:$C),0)</f>
        <v>0</v>
      </c>
      <c r="CF83" s="98">
        <f>_xlfn.RANK.EQ(CE83,CE$3:CE$10000,0)</f>
        <v>69</v>
      </c>
      <c r="CG83" s="99">
        <f>IFERROR(_xlfn.XLOOKUP(B83,'w14'!$B:$B,'w14'!$F:$F),1)</f>
        <v>1</v>
      </c>
      <c r="CH83" s="98">
        <f>_xlfn.RANK.EQ(CG83,CG$3:CG$10000,1)</f>
        <v>69</v>
      </c>
      <c r="CI83" s="98">
        <f>IFERROR(IF(_xlfn.XLOOKUP(B83,'w14'!$B:$B,'w14'!$G:$G)="--",0,_xlfn.XLOOKUP(B83,'w14'!$B:$B,'w14'!$G:$G)),0)</f>
        <v>0</v>
      </c>
      <c r="CJ83" s="98">
        <f>_xlfn.RANK.EQ(CI83,CI$3:CI$10000,0)</f>
        <v>69</v>
      </c>
      <c r="CK83" s="9">
        <f>_xlfn.RANK.EQ(D83,D$3:D$10000,1)</f>
        <v>81</v>
      </c>
      <c r="CL83" s="26" t="s">
        <v>131</v>
      </c>
      <c r="CM83" s="8">
        <f>SUM(E83,K83,Q83,W83,AC83,AI83,AO83,AU83,BA83,BG83,BM83,BS83,BY83,CE83)</f>
        <v>81</v>
      </c>
      <c r="CN83" s="9">
        <f>_xlfn.RANK.EQ(CM83,CM$3:CM$10000)</f>
        <v>81</v>
      </c>
      <c r="CO83" s="15">
        <f>IFERROR(SUM(PRODUCT(E83,G83),PRODUCT(K83,M83),PRODUCT(Q83,S83),PRODUCT(W83,Y83),PRODUCT(AC83,AE83),PRODUCT(AI83,AK83),PRODUCT(AO83,AQ83),PRODUCT(AU83,AW83),PRODUCT(BA83,BC83),PRODUCT(BG83,BI83),PRODUCT(BM83,BO83),PRODUCT(BS83,BU83),PRODUCT(BY83,CA83),PRODUCT(CE83,CG83))/CM83,1)</f>
        <v>0.28287037037037038</v>
      </c>
      <c r="CP83" s="9">
        <f>_xlfn.RANK.EQ(CO83,CO$3:CO$10000,1)</f>
        <v>47</v>
      </c>
      <c r="CQ83" s="9">
        <f>SUM(I83,O83,U83,AA83,AG83,AM83,AS83,AY83,BE83,BK83,BQ83,BW83,CC83,CI83)</f>
        <v>242</v>
      </c>
      <c r="CR83" s="9">
        <f>_xlfn.RANK.EQ(CQ83,CQ$3:CQ$10000)</f>
        <v>93</v>
      </c>
      <c r="CS83" s="23"/>
      <c r="CT83" s="25"/>
      <c r="CU83" s="24">
        <f>_xlfn.STDEV.S(F83,L83,R83,X83,AD83,AJ83,AP83,AV83,BB83,BH83,BN83,BT83,BZ83,CF83)</f>
        <v>11.243557373784443</v>
      </c>
      <c r="CV83" s="21">
        <f>_xlfn.RANK.EQ(CU83,CU$3:CU$10000,1)</f>
        <v>36</v>
      </c>
      <c r="CW83" s="24">
        <f>_xlfn.STDEV.S(H83,N83,T83,Z83,AF83,AL83,AR83,AX83,BD83,BJ83,BP83,BV83,CB83,CH83)</f>
        <v>16.160085137410377</v>
      </c>
      <c r="CX83" s="21">
        <f>_xlfn.RANK.EQ(CW83,CW$3:CW$10000,1)</f>
        <v>59</v>
      </c>
      <c r="CY83" s="24">
        <f>_xlfn.STDEV.S(J83,P83,V83,AB83,AH83,AN83,AT83,AZ83,BF83,BL83,BR83,BX83,CD83,CJ83)</f>
        <v>6.1826591953038079</v>
      </c>
      <c r="CZ83" s="21">
        <f>_xlfn.RANK.EQ(CY83,CY$3:CY$10000,1)</f>
        <v>9</v>
      </c>
      <c r="DA83">
        <f>SUM(COUNTIF(E83,"&gt;0"),COUNTIF(K83,"&gt;0"),COUNTIF(Q83,"&gt;0"),COUNTIF(W83,"&gt;0"),COUNTIF(AC83,"&gt;0"),COUNTIF(AI83,"&gt;0"),COUNTIF(AO83,"&gt;0"),COUNTIF(AU83,"&gt;0"),COUNTIF(BA83,"&gt;0"),COUNTIF(BG83,"&gt;0"),COUNTIF(BM83,"&gt;0"),COUNTIF(BS83,"&gt;0"),COUNTIF(BY83,"&gt;0"),COUNTIF(CE83,"&gt;0"))</f>
        <v>9</v>
      </c>
    </row>
    <row r="84" spans="2:105" x14ac:dyDescent="0.3">
      <c r="B84" t="s">
        <v>57</v>
      </c>
      <c r="C84" s="18" t="s">
        <v>128</v>
      </c>
      <c r="D84" s="4">
        <f>CN84*$CN$1+CP84*$CP$1+CR84*$CR$1</f>
        <v>81.649999999999991</v>
      </c>
      <c r="E84" s="29">
        <f>IFERROR(_xlfn.XLOOKUP(B84,'w1'!$B:$B,'w1'!$C:$C),0)</f>
        <v>14.4</v>
      </c>
      <c r="F84" s="30">
        <f>_xlfn.RANK.EQ(E84,E$3:E$10000,0)</f>
        <v>54</v>
      </c>
      <c r="G84" s="31">
        <f>IFERROR(_xlfn.XLOOKUP(B84,'w1'!$B:$B,'w1'!$F:$F),1)</f>
        <v>0.25277777777777777</v>
      </c>
      <c r="H84" s="30">
        <f>_xlfn.RANK.EQ(G84,G$3:G$10000,1)</f>
        <v>21</v>
      </c>
      <c r="I84" s="30">
        <f>IFERROR(IF(_xlfn.XLOOKUP(B84,'w1'!$B:$B,'w1'!$G:$G)="--",0,_xlfn.XLOOKUP(B84,'w1'!$B:$B,'w1'!$G:$G)),0)</f>
        <v>29</v>
      </c>
      <c r="J84" s="30">
        <f>_xlfn.RANK.EQ(I84,I$3:I$10000,0)</f>
        <v>73</v>
      </c>
      <c r="K84" s="34">
        <f>IFERROR(_xlfn.XLOOKUP(B84,'w2'!$B:$B,'w2'!$C:$C),0)</f>
        <v>7.1</v>
      </c>
      <c r="L84" s="35">
        <f>_xlfn.RANK.EQ(K84,K$3:K$10000,0)</f>
        <v>69</v>
      </c>
      <c r="M84" s="36">
        <f>IFERROR(_xlfn.XLOOKUP(B84,'w2'!$B:$B,'w2'!$F:$F),1)</f>
        <v>0.24444444444444444</v>
      </c>
      <c r="N84" s="35">
        <f>_xlfn.RANK.EQ(M84,M$3:M$10000,1)</f>
        <v>12</v>
      </c>
      <c r="O84" s="35">
        <f>IFERROR(IF(_xlfn.XLOOKUP(B84,'w2'!$B:$B,'w2'!$G:$G)="--",0,_xlfn.XLOOKUP(B84,'w2'!$B:$B,'w2'!$G:$G)),0)</f>
        <v>10</v>
      </c>
      <c r="P84" s="35">
        <f>_xlfn.RANK.EQ(O84,O$3:O$10000,0)</f>
        <v>70</v>
      </c>
      <c r="Q84" s="39">
        <f>IFERROR(_xlfn.XLOOKUP(B84,'w3'!$B:$B,'w3'!$C:$C),0)</f>
        <v>8.6</v>
      </c>
      <c r="R84" s="40">
        <f>_xlfn.RANK.EQ(Q84,Q$3:Q$10000,0)</f>
        <v>72</v>
      </c>
      <c r="S84" s="41">
        <f>IFERROR(_xlfn.XLOOKUP(B84,'w3'!$B:$B,'w3'!$F:$F),1)</f>
        <v>0.24097222222222223</v>
      </c>
      <c r="T84" s="40">
        <f>_xlfn.RANK.EQ(S84,S$3:S$10000,1)</f>
        <v>11</v>
      </c>
      <c r="U84" s="40">
        <f>IFERROR(IF(_xlfn.XLOOKUP(B84,'w3'!$B:$B,'w3'!$G:$G)="--",0,_xlfn.XLOOKUP(B84,'w3'!$B:$B,'w3'!$G:$G)),0)</f>
        <v>6</v>
      </c>
      <c r="V84" s="40">
        <f>_xlfn.RANK.EQ(U84,U$3:U$10000,0)</f>
        <v>78</v>
      </c>
      <c r="W84" s="44">
        <f>IFERROR(_xlfn.XLOOKUP(B84,'w4'!$B:$B,'w4'!$C:$C),0)</f>
        <v>0</v>
      </c>
      <c r="X84" s="45">
        <f>_xlfn.RANK.EQ(W84,W$3:W$10000,0)</f>
        <v>76</v>
      </c>
      <c r="Y84" s="46">
        <f>IFERROR(_xlfn.XLOOKUP(B84,'w4'!$B:$B,'w4'!$F:$F),1)</f>
        <v>1</v>
      </c>
      <c r="Z84" s="45">
        <f>_xlfn.RANK.EQ(Y84,Y$3:Y$10000,1)</f>
        <v>76</v>
      </c>
      <c r="AA84" s="45">
        <f>IFERROR(IF(_xlfn.XLOOKUP(B84,'w4'!$B:$B,'w4'!$G:$G)="--",0,_xlfn.XLOOKUP(B84,'w4'!$B:$B,'w4'!$G:$G)),0)</f>
        <v>0</v>
      </c>
      <c r="AB84" s="45">
        <f>_xlfn.RANK.EQ(AA84,AA$3:AA$10000,0)</f>
        <v>68</v>
      </c>
      <c r="AC84" s="13">
        <f>IFERROR(_xlfn.XLOOKUP(B84,'w5'!$B:$B,'w5'!$C:$C),0)</f>
        <v>7.4</v>
      </c>
      <c r="AD84" s="12">
        <f>_xlfn.RANK.EQ(AC84,AC$3:AC$10000,0)</f>
        <v>72</v>
      </c>
      <c r="AE84" s="14">
        <f>IFERROR(_xlfn.XLOOKUP(B84,'w5'!$B:$B,'w5'!$F:$F),1)</f>
        <v>0.26041666666666669</v>
      </c>
      <c r="AF84" s="12">
        <f>_xlfn.RANK.EQ(AE84,AE$3:AE$10000,1)</f>
        <v>25</v>
      </c>
      <c r="AG84" s="12">
        <f>IFERROR(IF(_xlfn.XLOOKUP(B84,'w5'!$B:$B,'w5'!$G:$G)="--",0,_xlfn.XLOOKUP(B84,'w5'!$B:$B,'w5'!$G:$G)),0)</f>
        <v>26</v>
      </c>
      <c r="AH84" s="12">
        <f>_xlfn.RANK.EQ(AG84,AG$3:AG$10000,0)</f>
        <v>71</v>
      </c>
      <c r="AI84" s="51">
        <f>IFERROR(_xlfn.XLOOKUP(B84,'w6'!$B:$B,'w6'!$C:$C),0)</f>
        <v>0</v>
      </c>
      <c r="AJ84" s="50">
        <f>_xlfn.RANK.EQ(AI84,AI$3:AI$10000,0)</f>
        <v>65</v>
      </c>
      <c r="AK84" s="52">
        <f>IFERROR(_xlfn.XLOOKUP(B84,'w6'!$B:$B,'w6'!$F:$F),1)</f>
        <v>1</v>
      </c>
      <c r="AL84" s="50">
        <f>_xlfn.RANK.EQ(AK84,AK$3:AK$10000,1)</f>
        <v>65</v>
      </c>
      <c r="AM84" s="50">
        <f>IFERROR(IF(_xlfn.XLOOKUP(B84,'w6'!$B:$B,'w6'!$G:$G)="--",0,_xlfn.XLOOKUP(B84,'w6'!$B:$B,'w6'!$G:$G)),0)</f>
        <v>0</v>
      </c>
      <c r="AN84" s="50">
        <f>_xlfn.RANK.EQ(AM84,AM$3:AM$10000,0)</f>
        <v>61</v>
      </c>
      <c r="AO84" s="56">
        <f>IFERROR(_xlfn.XLOOKUP(B84,'w7'!$B:$B,'w7'!$C:$C),0)</f>
        <v>0</v>
      </c>
      <c r="AP84" s="57">
        <f>_xlfn.RANK.EQ(AO84,AO$3:AO$10000,0)</f>
        <v>72</v>
      </c>
      <c r="AQ84" s="58">
        <f>IFERROR(_xlfn.XLOOKUP(B84,'w7'!$B:$B,'w7'!$F:$F),1)</f>
        <v>1</v>
      </c>
      <c r="AR84" s="57">
        <f>_xlfn.RANK.EQ(AQ84,AQ$3:AQ$10000,1)</f>
        <v>72</v>
      </c>
      <c r="AS84" s="57">
        <f>IFERROR(IF(_xlfn.XLOOKUP(B84,'w7'!$B:$B,'w7'!$G:$G)="--",0,_xlfn.XLOOKUP(B84,'w7'!$B:$B,'w7'!$G:$G)),0)</f>
        <v>0</v>
      </c>
      <c r="AT84" s="57">
        <f>_xlfn.RANK.EQ(AS84,AS$3:AS$10000,0)</f>
        <v>69</v>
      </c>
      <c r="AU84" s="62">
        <f>IFERROR(_xlfn.XLOOKUP(B84,'w8'!$B:$B,'w8'!$C:$C),0)</f>
        <v>7.1</v>
      </c>
      <c r="AV84" s="61">
        <f>_xlfn.RANK.EQ(AU84,AU$3:AU$10000,0)</f>
        <v>66</v>
      </c>
      <c r="AW84" s="63">
        <f>IFERROR(_xlfn.XLOOKUP(B84,'w8'!$B:$B,'w8'!$F:$F),1)</f>
        <v>0.25347222222222221</v>
      </c>
      <c r="AX84" s="61">
        <f>_xlfn.RANK.EQ(AW84,AW$3:AW$10000,1)</f>
        <v>15</v>
      </c>
      <c r="AY84" s="61">
        <f>IFERROR(IF(_xlfn.XLOOKUP(B84,'w8'!$B:$B,'w8'!$G:$G)="--",0,_xlfn.XLOOKUP(B84,'w8'!$B:$B,'w8'!$G:$G)),0)</f>
        <v>11</v>
      </c>
      <c r="AZ84" s="61">
        <f>_xlfn.RANK.EQ(AY84,AY$3:AY$10000,0)</f>
        <v>67</v>
      </c>
      <c r="BA84" s="66">
        <f>IFERROR(_xlfn.XLOOKUP(C84,'w9'!$B:$B,'w9'!$C:$C),0)</f>
        <v>14</v>
      </c>
      <c r="BB84" s="67">
        <f>_xlfn.RANK.EQ(BA84,BA$3:BA$10000,0)</f>
        <v>65</v>
      </c>
      <c r="BC84" s="68">
        <f>IFERROR(_xlfn.XLOOKUP(C84,'w9'!$B:$B,'w9'!$F:$F),1)</f>
        <v>0.24861111111111112</v>
      </c>
      <c r="BD84" s="67">
        <f>_xlfn.RANK.EQ(BC84,BC$3:BC$10000,1)</f>
        <v>15</v>
      </c>
      <c r="BE84" s="67">
        <f>IFERROR(IF(_xlfn.XLOOKUP(C84,'w9'!$B:$B,'w9'!$G:$G)="--",0,_xlfn.XLOOKUP(C84,'w9'!$B:$B,'w9'!$G:$G)),0)</f>
        <v>122</v>
      </c>
      <c r="BF84" s="67">
        <f>_xlfn.RANK.EQ(BE84,BE$3:BE$10000,0)</f>
        <v>59</v>
      </c>
      <c r="BG84" s="72">
        <f>IFERROR(_xlfn.XLOOKUP(B84,'w10'!$B:$B,'w10'!$C:$C),0)</f>
        <v>7.5</v>
      </c>
      <c r="BH84" s="74">
        <f>_xlfn.RANK.EQ(BG84,BG$3:BG$10000,0)</f>
        <v>71</v>
      </c>
      <c r="BI84" s="75">
        <f>IFERROR(_xlfn.XLOOKUP(B84,'w10'!$B:$B,'w10'!$F:$F),1)</f>
        <v>0.25069444444444444</v>
      </c>
      <c r="BJ84" s="74">
        <f>_xlfn.RANK.EQ(BI84,BI$3:BI$10000,1)</f>
        <v>21</v>
      </c>
      <c r="BK84" s="74">
        <f>IFERROR(IF(_xlfn.XLOOKUP(B84,'w10'!$B:$B,'w10'!$G:$G)="--",0,_xlfn.XLOOKUP(B84,'w10'!$B:$B,'w10'!$G:$G)),0)</f>
        <v>107</v>
      </c>
      <c r="BL84" s="74">
        <f>_xlfn.RANK.EQ(BK84,BK$3:BK$10000,0)</f>
        <v>56</v>
      </c>
      <c r="BM84" s="78">
        <f>IFERROR(_xlfn.XLOOKUP(B84,'w11'!$B:$B,'w11'!$C:$C),0)</f>
        <v>0</v>
      </c>
      <c r="BN84" s="80">
        <f>_xlfn.RANK.EQ(BM84,BM$3:BM$10000,0)</f>
        <v>76</v>
      </c>
      <c r="BO84" s="81">
        <f>IFERROR(_xlfn.XLOOKUP(B84,'w11'!$B:$B,'w11'!$F:$F),1)</f>
        <v>1</v>
      </c>
      <c r="BP84" s="80">
        <f>_xlfn.RANK.EQ(BO84,BO$3:BO$10000,1)</f>
        <v>76</v>
      </c>
      <c r="BQ84" s="80">
        <f>IFERROR(IF(_xlfn.XLOOKUP(B84,'w11'!$B:$B,'w11'!$G:$G)="--",0,_xlfn.XLOOKUP(B84,'w11'!$B:$B,'w11'!$G:$G)),0)</f>
        <v>0</v>
      </c>
      <c r="BR84" s="80">
        <f>_xlfn.RANK.EQ(BQ84,BQ$3:BQ$10000,0)</f>
        <v>75</v>
      </c>
      <c r="BS84" s="83">
        <f>IFERROR(_xlfn.XLOOKUP(B84,'w12'!$B:$B,'w12'!$C:$C),0)</f>
        <v>0</v>
      </c>
      <c r="BT84" s="86">
        <f>_xlfn.RANK.EQ(BS84,BS$3:BS$10000,0)</f>
        <v>76</v>
      </c>
      <c r="BU84" s="87">
        <f>IFERROR(_xlfn.XLOOKUP(B84,'w12'!$B:$B,'w12'!$F:$F),1)</f>
        <v>1</v>
      </c>
      <c r="BV84" s="86">
        <f>_xlfn.RANK.EQ(BU84,BU$3:BU$10000,1)</f>
        <v>76</v>
      </c>
      <c r="BW84" s="86">
        <f>IFERROR(IF(_xlfn.XLOOKUP(B84,'w12'!$B:$B,'w12'!$G:$G)="--",0,_xlfn.XLOOKUP(B84,'w12'!$B:$B,'w12'!$G:$G)),0)</f>
        <v>0</v>
      </c>
      <c r="BX84" s="86">
        <f>_xlfn.RANK.EQ(BW84,BW$3:BW$10000,0)</f>
        <v>73</v>
      </c>
      <c r="BY84" s="89">
        <f>IFERROR(_xlfn.XLOOKUP(B84,'w13'!$B:$B,'w13'!$C:$C),0)</f>
        <v>0</v>
      </c>
      <c r="BZ84" s="92">
        <f>_xlfn.RANK.EQ(BY84,BY$3:BY$10000,0)</f>
        <v>76</v>
      </c>
      <c r="CA84" s="93">
        <f>IFERROR(_xlfn.XLOOKUP(B84,'w13'!$B:$B,'w13'!$F:$F),1)</f>
        <v>1</v>
      </c>
      <c r="CB84" s="92">
        <f>_xlfn.RANK.EQ(CA84,CA$3:CA$10000,1)</f>
        <v>76</v>
      </c>
      <c r="CC84" s="92">
        <f>IFERROR(IF(_xlfn.XLOOKUP(B84,'w13'!$B:$B,'w13'!$G:$G)="--",0,_xlfn.XLOOKUP(B84,'w13'!$B:$B,'w13'!$G:$G)),0)</f>
        <v>0</v>
      </c>
      <c r="CD84" s="92">
        <f>_xlfn.RANK.EQ(CC84,CC$3:CC$10000,0)</f>
        <v>76</v>
      </c>
      <c r="CE84" s="95">
        <f>IFERROR(_xlfn.XLOOKUP(B84,'w14'!$B:$B,'w14'!$C:$C),0)</f>
        <v>8.3000000000000007</v>
      </c>
      <c r="CF84" s="98">
        <f>_xlfn.RANK.EQ(CE84,CE$3:CE$10000,0)</f>
        <v>63</v>
      </c>
      <c r="CG84" s="99">
        <f>IFERROR(_xlfn.XLOOKUP(B84,'w14'!$B:$B,'w14'!$F:$F),1)</f>
        <v>0.28125</v>
      </c>
      <c r="CH84" s="98">
        <f>_xlfn.RANK.EQ(CG84,CG$3:CG$10000,1)</f>
        <v>37</v>
      </c>
      <c r="CI84" s="98">
        <f>IFERROR(IF(_xlfn.XLOOKUP(B84,'w14'!$B:$B,'w14'!$G:$G)="--",0,_xlfn.XLOOKUP(B84,'w14'!$B:$B,'w14'!$G:$G)),0)</f>
        <v>14</v>
      </c>
      <c r="CJ84" s="98">
        <f>_xlfn.RANK.EQ(CI84,CI$3:CI$10000,0)</f>
        <v>62</v>
      </c>
      <c r="CK84" s="9">
        <f>_xlfn.RANK.EQ(D84,D$3:D$10000,1)</f>
        <v>82</v>
      </c>
      <c r="CL84" s="26" t="s">
        <v>128</v>
      </c>
      <c r="CM84" s="8">
        <f>SUM(E84,K84,Q84,W84,AC84,AI84,AO84,AU84,BA84,BG84,BM84,BS84,BY84,CE84)</f>
        <v>74.399999999999991</v>
      </c>
      <c r="CN84" s="9">
        <f>_xlfn.RANK.EQ(CM84,CM$3:CM$10000)</f>
        <v>83</v>
      </c>
      <c r="CO84" s="15">
        <f>IFERROR(SUM(PRODUCT(E84,G84),PRODUCT(K84,M84),PRODUCT(Q84,S84),PRODUCT(W84,Y84),PRODUCT(AC84,AE84),PRODUCT(AI84,AK84),PRODUCT(AO84,AQ84),PRODUCT(AU84,AW84),PRODUCT(BA84,BC84),PRODUCT(BG84,BI84),PRODUCT(BM84,BO84),PRODUCT(BS84,BU84),PRODUCT(BY84,CA84),PRODUCT(CE84,CG84))/CM84,1)</f>
        <v>0.2536262320788531</v>
      </c>
      <c r="CP84" s="9">
        <f>_xlfn.RANK.EQ(CO84,CO$3:CO$10000,1)</f>
        <v>22</v>
      </c>
      <c r="CQ84" s="9">
        <f>SUM(I84,O84,U84,AA84,AG84,AM84,AS84,AY84,BE84,BK84,BQ84,BW84,CC84,CI84)</f>
        <v>325</v>
      </c>
      <c r="CR84" s="9">
        <f>_xlfn.RANK.EQ(CQ84,CQ$3:CQ$10000)</f>
        <v>90</v>
      </c>
      <c r="CS84" s="23"/>
      <c r="CT84" s="25"/>
      <c r="CU84" s="24">
        <f>_xlfn.STDEV.S(F84,L84,R84,X84,AD84,AJ84,AP84,AV84,BB84,BH84,BN84,BT84,BZ84,CF84)</f>
        <v>6.3579145105196968</v>
      </c>
      <c r="CV84" s="21">
        <f>_xlfn.RANK.EQ(CU84,CU$3:CU$10000,1)</f>
        <v>20</v>
      </c>
      <c r="CW84" s="24">
        <f>_xlfn.STDEV.S(H84,N84,T84,Z84,AF84,AL84,AR84,AX84,BD84,BJ84,BP84,BV84,CB84,CH84)</f>
        <v>28.502168801226798</v>
      </c>
      <c r="CX84" s="21">
        <f>_xlfn.RANK.EQ(CW84,CW$3:CW$10000,1)</f>
        <v>101</v>
      </c>
      <c r="CY84" s="24">
        <f>_xlfn.STDEV.S(J84,P84,V84,AB84,AH84,AN84,AT84,AZ84,BF84,BL84,BR84,BX84,CD84,CJ84)</f>
        <v>6.7106607001819896</v>
      </c>
      <c r="CZ84" s="21">
        <f>_xlfn.RANK.EQ(CY84,CY$3:CY$10000,1)</f>
        <v>11</v>
      </c>
      <c r="DA84">
        <f>SUM(COUNTIF(E84,"&gt;0"),COUNTIF(K84,"&gt;0"),COUNTIF(Q84,"&gt;0"),COUNTIF(W84,"&gt;0"),COUNTIF(AC84,"&gt;0"),COUNTIF(AI84,"&gt;0"),COUNTIF(AO84,"&gt;0"),COUNTIF(AU84,"&gt;0"),COUNTIF(BA84,"&gt;0"),COUNTIF(BG84,"&gt;0"),COUNTIF(BM84,"&gt;0"),COUNTIF(BS84,"&gt;0"),COUNTIF(BY84,"&gt;0"),COUNTIF(CE84,"&gt;0"))</f>
        <v>8</v>
      </c>
    </row>
    <row r="85" spans="2:105" x14ac:dyDescent="0.3">
      <c r="B85" t="s">
        <v>193</v>
      </c>
      <c r="C85" s="18" t="s">
        <v>200</v>
      </c>
      <c r="D85" s="4">
        <f>CN85*$CN$1+CP85*$CP$1+CR85*$CR$1</f>
        <v>81.8</v>
      </c>
      <c r="E85" s="29">
        <f>IFERROR(_xlfn.XLOOKUP(B85,'w1'!$B:$B,'w1'!$C:$C),0)</f>
        <v>0</v>
      </c>
      <c r="F85" s="30">
        <f>_xlfn.RANK.EQ(E85,E$3:E$10000,0)</f>
        <v>79</v>
      </c>
      <c r="G85" s="31">
        <f>IFERROR(_xlfn.XLOOKUP(B85,'w1'!$B:$B,'w1'!$F:$F),1)</f>
        <v>1</v>
      </c>
      <c r="H85" s="30">
        <f>_xlfn.RANK.EQ(G85,G$3:G$10000,1)</f>
        <v>79</v>
      </c>
      <c r="I85" s="30">
        <f>IFERROR(IF(_xlfn.XLOOKUP(B85,'w1'!$B:$B,'w1'!$G:$G)="--",0,_xlfn.XLOOKUP(B85,'w1'!$B:$B,'w1'!$G:$G)),0)</f>
        <v>0</v>
      </c>
      <c r="J85" s="30">
        <f>_xlfn.RANK.EQ(I85,I$3:I$10000,0)</f>
        <v>77</v>
      </c>
      <c r="K85" s="34">
        <f>IFERROR(_xlfn.XLOOKUP(B85,'w2'!$B:$B,'w2'!$C:$C),0)</f>
        <v>0</v>
      </c>
      <c r="L85" s="35">
        <f>_xlfn.RANK.EQ(K85,K$3:K$10000,0)</f>
        <v>73</v>
      </c>
      <c r="M85" s="36">
        <f>IFERROR(_xlfn.XLOOKUP(B85,'w2'!$B:$B,'w2'!$F:$F),1)</f>
        <v>1</v>
      </c>
      <c r="N85" s="35">
        <f>_xlfn.RANK.EQ(M85,M$3:M$10000,1)</f>
        <v>72</v>
      </c>
      <c r="O85" s="35">
        <f>IFERROR(IF(_xlfn.XLOOKUP(B85,'w2'!$B:$B,'w2'!$G:$G)="--",0,_xlfn.XLOOKUP(B85,'w2'!$B:$B,'w2'!$G:$G)),0)</f>
        <v>0</v>
      </c>
      <c r="P85" s="35">
        <f>_xlfn.RANK.EQ(O85,O$3:O$10000,0)</f>
        <v>71</v>
      </c>
      <c r="Q85" s="39">
        <f>IFERROR(_xlfn.XLOOKUP(B85,'w3'!$B:$B,'w3'!$C:$C),0)</f>
        <v>23.9</v>
      </c>
      <c r="R85" s="40">
        <f>_xlfn.RANK.EQ(Q85,Q$3:Q$10000,0)</f>
        <v>39</v>
      </c>
      <c r="S85" s="41">
        <f>IFERROR(_xlfn.XLOOKUP(B85,'w3'!$B:$B,'w3'!$F:$F),1)</f>
        <v>0.46388888888888891</v>
      </c>
      <c r="T85" s="40">
        <f>_xlfn.RANK.EQ(S85,S$3:S$10000,1)</f>
        <v>77</v>
      </c>
      <c r="U85" s="40">
        <f>IFERROR(IF(_xlfn.XLOOKUP(B85,'w3'!$B:$B,'w3'!$G:$G)="--",0,_xlfn.XLOOKUP(B85,'w3'!$B:$B,'w3'!$G:$G)),0)</f>
        <v>537</v>
      </c>
      <c r="V85" s="40">
        <f>_xlfn.RANK.EQ(U85,U$3:U$10000,0)</f>
        <v>18</v>
      </c>
      <c r="W85" s="44">
        <f>IFERROR(_xlfn.XLOOKUP(B85,'w4'!$B:$B,'w4'!$C:$C),0)</f>
        <v>0</v>
      </c>
      <c r="X85" s="45">
        <f>_xlfn.RANK.EQ(W85,W$3:W$10000,0)</f>
        <v>76</v>
      </c>
      <c r="Y85" s="46">
        <f>IFERROR(_xlfn.XLOOKUP(B85,'w4'!$B:$B,'w4'!$F:$F),1)</f>
        <v>1</v>
      </c>
      <c r="Z85" s="45">
        <f>_xlfn.RANK.EQ(Y85,Y$3:Y$10000,1)</f>
        <v>76</v>
      </c>
      <c r="AA85" s="45">
        <f>IFERROR(IF(_xlfn.XLOOKUP(B85,'w4'!$B:$B,'w4'!$G:$G)="--",0,_xlfn.XLOOKUP(B85,'w4'!$B:$B,'w4'!$G:$G)),0)</f>
        <v>0</v>
      </c>
      <c r="AB85" s="45">
        <f>_xlfn.RANK.EQ(AA85,AA$3:AA$10000,0)</f>
        <v>68</v>
      </c>
      <c r="AC85" s="13">
        <f>IFERROR(_xlfn.XLOOKUP(B85,'w5'!$B:$B,'w5'!$C:$C),0)</f>
        <v>0</v>
      </c>
      <c r="AD85" s="12">
        <f>_xlfn.RANK.EQ(AC85,AC$3:AC$10000,0)</f>
        <v>77</v>
      </c>
      <c r="AE85" s="14">
        <f>IFERROR(_xlfn.XLOOKUP(B85,'w5'!$B:$B,'w5'!$F:$F),1)</f>
        <v>1</v>
      </c>
      <c r="AF85" s="12">
        <f>_xlfn.RANK.EQ(AE85,AE$3:AE$10000,1)</f>
        <v>76</v>
      </c>
      <c r="AG85" s="12">
        <f>IFERROR(IF(_xlfn.XLOOKUP(B85,'w5'!$B:$B,'w5'!$G:$G)="--",0,_xlfn.XLOOKUP(B85,'w5'!$B:$B,'w5'!$G:$G)),0)</f>
        <v>0</v>
      </c>
      <c r="AH85" s="12">
        <f>_xlfn.RANK.EQ(AG85,AG$3:AG$10000,0)</f>
        <v>73</v>
      </c>
      <c r="AI85" s="51">
        <f>IFERROR(_xlfn.XLOOKUP(B85,'w6'!$B:$B,'w6'!$C:$C),0)</f>
        <v>0</v>
      </c>
      <c r="AJ85" s="50">
        <f>_xlfn.RANK.EQ(AI85,AI$3:AI$10000,0)</f>
        <v>65</v>
      </c>
      <c r="AK85" s="52">
        <f>IFERROR(_xlfn.XLOOKUP(B85,'w6'!$B:$B,'w6'!$F:$F),1)</f>
        <v>1</v>
      </c>
      <c r="AL85" s="50">
        <f>_xlfn.RANK.EQ(AK85,AK$3:AK$10000,1)</f>
        <v>65</v>
      </c>
      <c r="AM85" s="50">
        <f>IFERROR(IF(_xlfn.XLOOKUP(B85,'w6'!$B:$B,'w6'!$G:$G)="--",0,_xlfn.XLOOKUP(B85,'w6'!$B:$B,'w6'!$G:$G)),0)</f>
        <v>0</v>
      </c>
      <c r="AN85" s="50">
        <f>_xlfn.RANK.EQ(AM85,AM$3:AM$10000,0)</f>
        <v>61</v>
      </c>
      <c r="AO85" s="56">
        <f>IFERROR(_xlfn.XLOOKUP(B85,'w7'!$B:$B,'w7'!$C:$C),0)</f>
        <v>0</v>
      </c>
      <c r="AP85" s="57">
        <f>_xlfn.RANK.EQ(AO85,AO$3:AO$10000,0)</f>
        <v>72</v>
      </c>
      <c r="AQ85" s="58">
        <f>IFERROR(_xlfn.XLOOKUP(B85,'w7'!$B:$B,'w7'!$F:$F),1)</f>
        <v>1</v>
      </c>
      <c r="AR85" s="57">
        <f>_xlfn.RANK.EQ(AQ85,AQ$3:AQ$10000,1)</f>
        <v>72</v>
      </c>
      <c r="AS85" s="57">
        <f>IFERROR(IF(_xlfn.XLOOKUP(B85,'w7'!$B:$B,'w7'!$G:$G)="--",0,_xlfn.XLOOKUP(B85,'w7'!$B:$B,'w7'!$G:$G)),0)</f>
        <v>0</v>
      </c>
      <c r="AT85" s="57">
        <f>_xlfn.RANK.EQ(AS85,AS$3:AS$10000,0)</f>
        <v>69</v>
      </c>
      <c r="AU85" s="62">
        <f>IFERROR(_xlfn.XLOOKUP(B85,'w8'!$B:$B,'w8'!$C:$C),0)</f>
        <v>0</v>
      </c>
      <c r="AV85" s="61">
        <f>_xlfn.RANK.EQ(AU85,AU$3:AU$10000,0)</f>
        <v>73</v>
      </c>
      <c r="AW85" s="63">
        <f>IFERROR(_xlfn.XLOOKUP(B85,'w8'!$B:$B,'w8'!$F:$F),1)</f>
        <v>1</v>
      </c>
      <c r="AX85" s="61">
        <f>_xlfn.RANK.EQ(AW85,AW$3:AW$10000,1)</f>
        <v>73</v>
      </c>
      <c r="AY85" s="61">
        <f>IFERROR(IF(_xlfn.XLOOKUP(B85,'w8'!$B:$B,'w8'!$G:$G)="--",0,_xlfn.XLOOKUP(B85,'w8'!$B:$B,'w8'!$G:$G)),0)</f>
        <v>0</v>
      </c>
      <c r="AZ85" s="61">
        <f>_xlfn.RANK.EQ(AY85,AY$3:AY$10000,0)</f>
        <v>70</v>
      </c>
      <c r="BA85" s="66">
        <f>IFERROR(_xlfn.XLOOKUP(C85,'w9'!$B:$B,'w9'!$C:$C),0)</f>
        <v>43.8</v>
      </c>
      <c r="BB85" s="67">
        <f>_xlfn.RANK.EQ(BA85,BA$3:BA$10000,0)</f>
        <v>19</v>
      </c>
      <c r="BC85" s="68">
        <f>IFERROR(_xlfn.XLOOKUP(C85,'w9'!$B:$B,'w9'!$F:$F),1)</f>
        <v>0.30555555555555558</v>
      </c>
      <c r="BD85" s="67">
        <f>_xlfn.RANK.EQ(BC85,BC$3:BC$10000,1)</f>
        <v>42</v>
      </c>
      <c r="BE85" s="67">
        <f>IFERROR(IF(_xlfn.XLOOKUP(C85,'w9'!$B:$B,'w9'!$G:$G)="--",0,_xlfn.XLOOKUP(C85,'w9'!$B:$B,'w9'!$G:$G)),0)</f>
        <v>526</v>
      </c>
      <c r="BF85" s="67">
        <f>_xlfn.RANK.EQ(BE85,BE$3:BE$10000,0)</f>
        <v>24</v>
      </c>
      <c r="BG85" s="72">
        <f>IFERROR(_xlfn.XLOOKUP(B85,'w10'!$B:$B,'w10'!$C:$C),0)</f>
        <v>0</v>
      </c>
      <c r="BH85" s="74">
        <f>_xlfn.RANK.EQ(BG85,BG$3:BG$10000,0)</f>
        <v>77</v>
      </c>
      <c r="BI85" s="75">
        <f>IFERROR(_xlfn.XLOOKUP(B85,'w10'!$B:$B,'w10'!$F:$F),1)</f>
        <v>1</v>
      </c>
      <c r="BJ85" s="74">
        <f>_xlfn.RANK.EQ(BI85,BI$3:BI$10000,1)</f>
        <v>76</v>
      </c>
      <c r="BK85" s="74">
        <f>IFERROR(IF(_xlfn.XLOOKUP(B85,'w10'!$B:$B,'w10'!$G:$G)="--",0,_xlfn.XLOOKUP(B85,'w10'!$B:$B,'w10'!$G:$G)),0)</f>
        <v>0</v>
      </c>
      <c r="BL85" s="74">
        <f>_xlfn.RANK.EQ(BK85,BK$3:BK$10000,0)</f>
        <v>76</v>
      </c>
      <c r="BM85" s="78">
        <f>IFERROR(_xlfn.XLOOKUP(B85,'w11'!$B:$B,'w11'!$C:$C),0)</f>
        <v>0</v>
      </c>
      <c r="BN85" s="80">
        <f>_xlfn.RANK.EQ(BM85,BM$3:BM$10000,0)</f>
        <v>76</v>
      </c>
      <c r="BO85" s="81">
        <f>IFERROR(_xlfn.XLOOKUP(B85,'w11'!$B:$B,'w11'!$F:$F),1)</f>
        <v>1</v>
      </c>
      <c r="BP85" s="80">
        <f>_xlfn.RANK.EQ(BO85,BO$3:BO$10000,1)</f>
        <v>76</v>
      </c>
      <c r="BQ85" s="80">
        <f>IFERROR(IF(_xlfn.XLOOKUP(B85,'w11'!$B:$B,'w11'!$G:$G)="--",0,_xlfn.XLOOKUP(B85,'w11'!$B:$B,'w11'!$G:$G)),0)</f>
        <v>0</v>
      </c>
      <c r="BR85" s="80">
        <f>_xlfn.RANK.EQ(BQ85,BQ$3:BQ$10000,0)</f>
        <v>75</v>
      </c>
      <c r="BS85" s="83">
        <f>IFERROR(_xlfn.XLOOKUP(B85,'w12'!$B:$B,'w12'!$C:$C),0)</f>
        <v>9.6</v>
      </c>
      <c r="BT85" s="86">
        <f>_xlfn.RANK.EQ(BS85,BS$3:BS$10000,0)</f>
        <v>62</v>
      </c>
      <c r="BU85" s="87">
        <f>IFERROR(_xlfn.XLOOKUP(B85,'w12'!$B:$B,'w12'!$F:$F),1)</f>
        <v>0.2986111111111111</v>
      </c>
      <c r="BV85" s="86">
        <f>_xlfn.RANK.EQ(BU85,BU$3:BU$10000,1)</f>
        <v>50</v>
      </c>
      <c r="BW85" s="86">
        <f>IFERROR(IF(_xlfn.XLOOKUP(B85,'w12'!$B:$B,'w12'!$G:$G)="--",0,_xlfn.XLOOKUP(B85,'w12'!$B:$B,'w12'!$G:$G)),0)</f>
        <v>131</v>
      </c>
      <c r="BX85" s="86">
        <f>_xlfn.RANK.EQ(BW85,BW$3:BW$10000,0)</f>
        <v>51</v>
      </c>
      <c r="BY85" s="89">
        <f>IFERROR(_xlfn.XLOOKUP(B85,'w13'!$B:$B,'w13'!$C:$C),0)</f>
        <v>0</v>
      </c>
      <c r="BZ85" s="92">
        <f>_xlfn.RANK.EQ(BY85,BY$3:BY$10000,0)</f>
        <v>76</v>
      </c>
      <c r="CA85" s="93">
        <f>IFERROR(_xlfn.XLOOKUP(B85,'w13'!$B:$B,'w13'!$F:$F),1)</f>
        <v>1</v>
      </c>
      <c r="CB85" s="92">
        <f>_xlfn.RANK.EQ(CA85,CA$3:CA$10000,1)</f>
        <v>76</v>
      </c>
      <c r="CC85" s="92">
        <f>IFERROR(IF(_xlfn.XLOOKUP(B85,'w13'!$B:$B,'w13'!$G:$G)="--",0,_xlfn.XLOOKUP(B85,'w13'!$B:$B,'w13'!$G:$G)),0)</f>
        <v>0</v>
      </c>
      <c r="CD85" s="92">
        <f>_xlfn.RANK.EQ(CC85,CC$3:CC$10000,0)</f>
        <v>76</v>
      </c>
      <c r="CE85" s="95">
        <f>IFERROR(_xlfn.XLOOKUP(B85,'w14'!$B:$B,'w14'!$C:$C),0)</f>
        <v>0</v>
      </c>
      <c r="CF85" s="98">
        <f>_xlfn.RANK.EQ(CE85,CE$3:CE$10000,0)</f>
        <v>69</v>
      </c>
      <c r="CG85" s="99">
        <f>IFERROR(_xlfn.XLOOKUP(B85,'w14'!$B:$B,'w14'!$F:$F),1)</f>
        <v>1</v>
      </c>
      <c r="CH85" s="98">
        <f>_xlfn.RANK.EQ(CG85,CG$3:CG$10000,1)</f>
        <v>69</v>
      </c>
      <c r="CI85" s="98">
        <f>IFERROR(IF(_xlfn.XLOOKUP(B85,'w14'!$B:$B,'w14'!$G:$G)="--",0,_xlfn.XLOOKUP(B85,'w14'!$B:$B,'w14'!$G:$G)),0)</f>
        <v>0</v>
      </c>
      <c r="CJ85" s="98">
        <f>_xlfn.RANK.EQ(CI85,CI$3:CI$10000,0)</f>
        <v>69</v>
      </c>
      <c r="CK85" s="9">
        <f>_xlfn.RANK.EQ(D85,D$3:D$10000,1)</f>
        <v>83</v>
      </c>
      <c r="CL85" s="26" t="s">
        <v>200</v>
      </c>
      <c r="CM85" s="8">
        <f>SUM(E85,K85,Q85,W85,AC85,AI85,AO85,AU85,BA85,BG85,BM85,BS85,BY85,CE85)</f>
        <v>77.299999999999983</v>
      </c>
      <c r="CN85" s="9">
        <f>_xlfn.RANK.EQ(CM85,CM$3:CM$10000)</f>
        <v>82</v>
      </c>
      <c r="CO85" s="15">
        <f>IFERROR(SUM(PRODUCT(E85,G85),PRODUCT(K85,M85),PRODUCT(Q85,S85),PRODUCT(W85,Y85),PRODUCT(AC85,AE85),PRODUCT(AI85,AK85),PRODUCT(AO85,AQ85),PRODUCT(AU85,AW85),PRODUCT(BA85,BC85),PRODUCT(BG85,BI85),PRODUCT(BM85,BO85),PRODUCT(BS85,BU85),PRODUCT(BY85,CA85),PRODUCT(CE85,CG85))/CM85,1)</f>
        <v>0.35364740549087259</v>
      </c>
      <c r="CP85" s="9">
        <f>_xlfn.RANK.EQ(CO85,CO$3:CO$10000,1)</f>
        <v>86</v>
      </c>
      <c r="CQ85" s="9">
        <f>SUM(I85,O85,U85,AA85,AG85,AM85,AS85,AY85,BE85,BK85,BQ85,BW85,CC85,CI85)</f>
        <v>1194</v>
      </c>
      <c r="CR85" s="9">
        <f>_xlfn.RANK.EQ(CQ85,CQ$3:CQ$10000)</f>
        <v>70</v>
      </c>
      <c r="CS85" s="23"/>
      <c r="CT85" s="25"/>
      <c r="CU85" s="24">
        <f>_xlfn.STDEV.S(F85,L85,R85,X85,AD85,AJ85,AP85,AV85,BB85,BH85,BN85,BT85,BZ85,CF85)</f>
        <v>17.10423763442688</v>
      </c>
      <c r="CV85" s="21">
        <f>_xlfn.RANK.EQ(CU85,CU$3:CU$10000,1)</f>
        <v>76</v>
      </c>
      <c r="CW85" s="24">
        <f>_xlfn.STDEV.S(H85,N85,T85,Z85,AF85,AL85,AR85,AX85,BD85,BJ85,BP85,BV85,CB85,CH85)</f>
        <v>10.873144656688526</v>
      </c>
      <c r="CX85" s="21">
        <f>_xlfn.RANK.EQ(CW85,CW$3:CW$10000,1)</f>
        <v>32</v>
      </c>
      <c r="CY85" s="24">
        <f>_xlfn.STDEV.S(J85,P85,V85,AB85,AH85,AN85,AT85,AZ85,BF85,BL85,BR85,BX85,CD85,CJ85)</f>
        <v>18.975403396658905</v>
      </c>
      <c r="CZ85" s="21">
        <f>_xlfn.RANK.EQ(CY85,CY$3:CY$10000,1)</f>
        <v>80</v>
      </c>
      <c r="DA85">
        <f>SUM(COUNTIF(E85,"&gt;0"),COUNTIF(K85,"&gt;0"),COUNTIF(Q85,"&gt;0"),COUNTIF(W85,"&gt;0"),COUNTIF(AC85,"&gt;0"),COUNTIF(AI85,"&gt;0"),COUNTIF(AO85,"&gt;0"),COUNTIF(AU85,"&gt;0"),COUNTIF(BA85,"&gt;0"),COUNTIF(BG85,"&gt;0"),COUNTIF(BM85,"&gt;0"),COUNTIF(BS85,"&gt;0"),COUNTIF(BY85,"&gt;0"),COUNTIF(CE85,"&gt;0"))</f>
        <v>3</v>
      </c>
    </row>
    <row r="86" spans="2:105" x14ac:dyDescent="0.3">
      <c r="B86" t="s">
        <v>173</v>
      </c>
      <c r="C86" s="18" t="s">
        <v>183</v>
      </c>
      <c r="D86" s="4">
        <f>CN86*$CN$1+CP86*$CP$1+CR86*$CR$1</f>
        <v>83.325000000000003</v>
      </c>
      <c r="E86" s="29">
        <f>IFERROR(_xlfn.XLOOKUP(B86,'w1'!$B:$B,'w1'!$C:$C),0)</f>
        <v>0</v>
      </c>
      <c r="F86" s="30">
        <f>_xlfn.RANK.EQ(E86,E$3:E$10000,0)</f>
        <v>79</v>
      </c>
      <c r="G86" s="31">
        <f>IFERROR(_xlfn.XLOOKUP(B86,'w1'!$B:$B,'w1'!$F:$F),1)</f>
        <v>1</v>
      </c>
      <c r="H86" s="30">
        <f>_xlfn.RANK.EQ(G86,G$3:G$10000,1)</f>
        <v>79</v>
      </c>
      <c r="I86" s="30">
        <f>IFERROR(IF(_xlfn.XLOOKUP(B86,'w1'!$B:$B,'w1'!$G:$G)="--",0,_xlfn.XLOOKUP(B86,'w1'!$B:$B,'w1'!$G:$G)),0)</f>
        <v>0</v>
      </c>
      <c r="J86" s="30">
        <f>_xlfn.RANK.EQ(I86,I$3:I$10000,0)</f>
        <v>77</v>
      </c>
      <c r="K86" s="34">
        <f>IFERROR(_xlfn.XLOOKUP(B86,'w2'!$B:$B,'w2'!$C:$C),0)</f>
        <v>14.8</v>
      </c>
      <c r="L86" s="35">
        <f>_xlfn.RANK.EQ(K86,K$3:K$10000,0)</f>
        <v>50</v>
      </c>
      <c r="M86" s="36">
        <f>IFERROR(_xlfn.XLOOKUP(B86,'w2'!$B:$B,'w2'!$F:$F),1)</f>
        <v>0.34791666666666665</v>
      </c>
      <c r="N86" s="35">
        <f>_xlfn.RANK.EQ(M86,M$3:M$10000,1)</f>
        <v>62</v>
      </c>
      <c r="O86" s="35">
        <f>IFERROR(IF(_xlfn.XLOOKUP(B86,'w2'!$B:$B,'w2'!$G:$G)="--",0,_xlfn.XLOOKUP(B86,'w2'!$B:$B,'w2'!$G:$G)),0)</f>
        <v>524</v>
      </c>
      <c r="P86" s="35">
        <f>_xlfn.RANK.EQ(O86,O$3:O$10000,0)</f>
        <v>16</v>
      </c>
      <c r="Q86" s="39">
        <f>IFERROR(_xlfn.XLOOKUP(B86,'w3'!$B:$B,'w3'!$C:$C),0)</f>
        <v>0</v>
      </c>
      <c r="R86" s="40">
        <f>_xlfn.RANK.EQ(Q86,Q$3:Q$10000,0)</f>
        <v>84</v>
      </c>
      <c r="S86" s="41">
        <f>IFERROR(_xlfn.XLOOKUP(B86,'w3'!$B:$B,'w3'!$F:$F),1)</f>
        <v>1</v>
      </c>
      <c r="T86" s="40">
        <f>_xlfn.RANK.EQ(S86,S$3:S$10000,1)</f>
        <v>83</v>
      </c>
      <c r="U86" s="40">
        <f>IFERROR(IF(_xlfn.XLOOKUP(B86,'w3'!$B:$B,'w3'!$G:$G)="--",0,_xlfn.XLOOKUP(B86,'w3'!$B:$B,'w3'!$G:$G)),0)</f>
        <v>0</v>
      </c>
      <c r="V86" s="40">
        <f>_xlfn.RANK.EQ(U86,U$3:U$10000,0)</f>
        <v>80</v>
      </c>
      <c r="W86" s="44">
        <f>IFERROR(_xlfn.XLOOKUP(B86,'w4'!$B:$B,'w4'!$C:$C),0)</f>
        <v>13.4</v>
      </c>
      <c r="X86" s="45">
        <f>_xlfn.RANK.EQ(W86,W$3:W$10000,0)</f>
        <v>53</v>
      </c>
      <c r="Y86" s="46">
        <f>IFERROR(_xlfn.XLOOKUP(B86,'w4'!$B:$B,'w4'!$F:$F),1)</f>
        <v>0.3659722222222222</v>
      </c>
      <c r="Z86" s="45">
        <f>_xlfn.RANK.EQ(Y86,Y$3:Y$10000,1)</f>
        <v>65</v>
      </c>
      <c r="AA86" s="45">
        <f>IFERROR(IF(_xlfn.XLOOKUP(B86,'w4'!$B:$B,'w4'!$G:$G)="--",0,_xlfn.XLOOKUP(B86,'w4'!$B:$B,'w4'!$G:$G)),0)</f>
        <v>338</v>
      </c>
      <c r="AB86" s="45">
        <f>_xlfn.RANK.EQ(AA86,AA$3:AA$10000,0)</f>
        <v>23</v>
      </c>
      <c r="AC86" s="13">
        <f>IFERROR(_xlfn.XLOOKUP(B86,'w5'!$B:$B,'w5'!$C:$C),0)</f>
        <v>0</v>
      </c>
      <c r="AD86" s="12">
        <f>_xlfn.RANK.EQ(AC86,AC$3:AC$10000,0)</f>
        <v>77</v>
      </c>
      <c r="AE86" s="14">
        <f>IFERROR(_xlfn.XLOOKUP(B86,'w5'!$B:$B,'w5'!$F:$F),1)</f>
        <v>1</v>
      </c>
      <c r="AF86" s="12">
        <f>_xlfn.RANK.EQ(AE86,AE$3:AE$10000,1)</f>
        <v>76</v>
      </c>
      <c r="AG86" s="12">
        <f>IFERROR(IF(_xlfn.XLOOKUP(B86,'w5'!$B:$B,'w5'!$G:$G)="--",0,_xlfn.XLOOKUP(B86,'w5'!$B:$B,'w5'!$G:$G)),0)</f>
        <v>0</v>
      </c>
      <c r="AH86" s="12">
        <f>_xlfn.RANK.EQ(AG86,AG$3:AG$10000,0)</f>
        <v>73</v>
      </c>
      <c r="AI86" s="51">
        <f>IFERROR(_xlfn.XLOOKUP(B86,'w6'!$B:$B,'w6'!$C:$C),0)</f>
        <v>0</v>
      </c>
      <c r="AJ86" s="50">
        <f>_xlfn.RANK.EQ(AI86,AI$3:AI$10000,0)</f>
        <v>65</v>
      </c>
      <c r="AK86" s="52">
        <f>IFERROR(_xlfn.XLOOKUP(B86,'w6'!$B:$B,'w6'!$F:$F),1)</f>
        <v>1</v>
      </c>
      <c r="AL86" s="50">
        <f>_xlfn.RANK.EQ(AK86,AK$3:AK$10000,1)</f>
        <v>65</v>
      </c>
      <c r="AM86" s="50">
        <f>IFERROR(IF(_xlfn.XLOOKUP(B86,'w6'!$B:$B,'w6'!$G:$G)="--",0,_xlfn.XLOOKUP(B86,'w6'!$B:$B,'w6'!$G:$G)),0)</f>
        <v>0</v>
      </c>
      <c r="AN86" s="50">
        <f>_xlfn.RANK.EQ(AM86,AM$3:AM$10000,0)</f>
        <v>61</v>
      </c>
      <c r="AO86" s="56">
        <f>IFERROR(_xlfn.XLOOKUP(B86,'w7'!$B:$B,'w7'!$C:$C),0)</f>
        <v>0</v>
      </c>
      <c r="AP86" s="57">
        <f>_xlfn.RANK.EQ(AO86,AO$3:AO$10000,0)</f>
        <v>72</v>
      </c>
      <c r="AQ86" s="58">
        <f>IFERROR(_xlfn.XLOOKUP(B86,'w7'!$B:$B,'w7'!$F:$F),1)</f>
        <v>1</v>
      </c>
      <c r="AR86" s="57">
        <f>_xlfn.RANK.EQ(AQ86,AQ$3:AQ$10000,1)</f>
        <v>72</v>
      </c>
      <c r="AS86" s="57">
        <f>IFERROR(IF(_xlfn.XLOOKUP(B86,'w7'!$B:$B,'w7'!$G:$G)="--",0,_xlfn.XLOOKUP(B86,'w7'!$B:$B,'w7'!$G:$G)),0)</f>
        <v>0</v>
      </c>
      <c r="AT86" s="57">
        <f>_xlfn.RANK.EQ(AS86,AS$3:AS$10000,0)</f>
        <v>69</v>
      </c>
      <c r="AU86" s="62">
        <f>IFERROR(_xlfn.XLOOKUP(B86,'w8'!$B:$B,'w8'!$C:$C),0)</f>
        <v>0</v>
      </c>
      <c r="AV86" s="61">
        <f>_xlfn.RANK.EQ(AU86,AU$3:AU$10000,0)</f>
        <v>73</v>
      </c>
      <c r="AW86" s="63">
        <f>IFERROR(_xlfn.XLOOKUP(B86,'w8'!$B:$B,'w8'!$F:$F),1)</f>
        <v>1</v>
      </c>
      <c r="AX86" s="61">
        <f>_xlfn.RANK.EQ(AW86,AW$3:AW$10000,1)</f>
        <v>73</v>
      </c>
      <c r="AY86" s="61">
        <f>IFERROR(IF(_xlfn.XLOOKUP(B86,'w8'!$B:$B,'w8'!$G:$G)="--",0,_xlfn.XLOOKUP(B86,'w8'!$B:$B,'w8'!$G:$G)),0)</f>
        <v>0</v>
      </c>
      <c r="AZ86" s="61">
        <f>_xlfn.RANK.EQ(AY86,AY$3:AY$10000,0)</f>
        <v>70</v>
      </c>
      <c r="BA86" s="66">
        <f>IFERROR(_xlfn.XLOOKUP(C86,'w9'!$B:$B,'w9'!$C:$C),0)</f>
        <v>14.4</v>
      </c>
      <c r="BB86" s="67">
        <f>_xlfn.RANK.EQ(BA86,BA$3:BA$10000,0)</f>
        <v>64</v>
      </c>
      <c r="BC86" s="68">
        <f>IFERROR(_xlfn.XLOOKUP(C86,'w9'!$B:$B,'w9'!$F:$F),1)</f>
        <v>0.39444444444444443</v>
      </c>
      <c r="BD86" s="67">
        <f>_xlfn.RANK.EQ(BC86,BC$3:BC$10000,1)</f>
        <v>69</v>
      </c>
      <c r="BE86" s="67">
        <f>IFERROR(IF(_xlfn.XLOOKUP(C86,'w9'!$B:$B,'w9'!$G:$G)="--",0,_xlfn.XLOOKUP(C86,'w9'!$B:$B,'w9'!$G:$G)),0)</f>
        <v>447</v>
      </c>
      <c r="BF86" s="67">
        <f>_xlfn.RANK.EQ(BE86,BE$3:BE$10000,0)</f>
        <v>34</v>
      </c>
      <c r="BG86" s="72">
        <f>IFERROR(_xlfn.XLOOKUP(B86,'w10'!$B:$B,'w10'!$C:$C),0)</f>
        <v>0</v>
      </c>
      <c r="BH86" s="74">
        <f>_xlfn.RANK.EQ(BG86,BG$3:BG$10000,0)</f>
        <v>77</v>
      </c>
      <c r="BI86" s="75">
        <f>IFERROR(_xlfn.XLOOKUP(B86,'w10'!$B:$B,'w10'!$F:$F),1)</f>
        <v>1</v>
      </c>
      <c r="BJ86" s="74">
        <f>_xlfn.RANK.EQ(BI86,BI$3:BI$10000,1)</f>
        <v>76</v>
      </c>
      <c r="BK86" s="74">
        <f>IFERROR(IF(_xlfn.XLOOKUP(B86,'w10'!$B:$B,'w10'!$G:$G)="--",0,_xlfn.XLOOKUP(B86,'w10'!$B:$B,'w10'!$G:$G)),0)</f>
        <v>0</v>
      </c>
      <c r="BL86" s="74">
        <f>_xlfn.RANK.EQ(BK86,BK$3:BK$10000,0)</f>
        <v>76</v>
      </c>
      <c r="BM86" s="78">
        <f>IFERROR(_xlfn.XLOOKUP(B86,'w11'!$B:$B,'w11'!$C:$C),0)</f>
        <v>14.3</v>
      </c>
      <c r="BN86" s="80">
        <f>_xlfn.RANK.EQ(BM86,BM$3:BM$10000,0)</f>
        <v>53</v>
      </c>
      <c r="BO86" s="81">
        <f>IFERROR(_xlfn.XLOOKUP(B86,'w11'!$B:$B,'w11'!$F:$F),1)</f>
        <v>0.33263888888888887</v>
      </c>
      <c r="BP86" s="80">
        <f>_xlfn.RANK.EQ(BO86,BO$3:BO$10000,1)</f>
        <v>58</v>
      </c>
      <c r="BQ86" s="80">
        <f>IFERROR(IF(_xlfn.XLOOKUP(B86,'w11'!$B:$B,'w11'!$G:$G)="--",0,_xlfn.XLOOKUP(B86,'w11'!$B:$B,'w11'!$G:$G)),0)</f>
        <v>535</v>
      </c>
      <c r="BR86" s="80">
        <f>_xlfn.RANK.EQ(BQ86,BQ$3:BQ$10000,0)</f>
        <v>16</v>
      </c>
      <c r="BS86" s="83">
        <f>IFERROR(_xlfn.XLOOKUP(B86,'w12'!$B:$B,'w12'!$C:$C),0)</f>
        <v>12.9</v>
      </c>
      <c r="BT86" s="86">
        <f>_xlfn.RANK.EQ(BS86,BS$3:BS$10000,0)</f>
        <v>50</v>
      </c>
      <c r="BU86" s="87">
        <f>IFERROR(_xlfn.XLOOKUP(B86,'w12'!$B:$B,'w12'!$F:$F),1)</f>
        <v>0.37013888888888891</v>
      </c>
      <c r="BV86" s="86">
        <f>_xlfn.RANK.EQ(BU86,BU$3:BU$10000,1)</f>
        <v>70</v>
      </c>
      <c r="BW86" s="86">
        <f>IFERROR(IF(_xlfn.XLOOKUP(B86,'w12'!$B:$B,'w12'!$G:$G)="--",0,_xlfn.XLOOKUP(B86,'w12'!$B:$B,'w12'!$G:$G)),0)</f>
        <v>332</v>
      </c>
      <c r="BX86" s="86">
        <f>_xlfn.RANK.EQ(BW86,BW$3:BW$10000,0)</f>
        <v>17</v>
      </c>
      <c r="BY86" s="89">
        <f>IFERROR(_xlfn.XLOOKUP(B86,'w13'!$B:$B,'w13'!$C:$C),0)</f>
        <v>0</v>
      </c>
      <c r="BZ86" s="92">
        <f>_xlfn.RANK.EQ(BY86,BY$3:BY$10000,0)</f>
        <v>76</v>
      </c>
      <c r="CA86" s="93">
        <f>IFERROR(_xlfn.XLOOKUP(B86,'w13'!$B:$B,'w13'!$F:$F),1)</f>
        <v>1</v>
      </c>
      <c r="CB86" s="92">
        <f>_xlfn.RANK.EQ(CA86,CA$3:CA$10000,1)</f>
        <v>76</v>
      </c>
      <c r="CC86" s="92">
        <f>IFERROR(IF(_xlfn.XLOOKUP(B86,'w13'!$B:$B,'w13'!$G:$G)="--",0,_xlfn.XLOOKUP(B86,'w13'!$B:$B,'w13'!$G:$G)),0)</f>
        <v>0</v>
      </c>
      <c r="CD86" s="92">
        <f>_xlfn.RANK.EQ(CC86,CC$3:CC$10000,0)</f>
        <v>76</v>
      </c>
      <c r="CE86" s="95">
        <f>IFERROR(_xlfn.XLOOKUP(B86,'w14'!$B:$B,'w14'!$C:$C),0)</f>
        <v>0</v>
      </c>
      <c r="CF86" s="98">
        <f>_xlfn.RANK.EQ(CE86,CE$3:CE$10000,0)</f>
        <v>69</v>
      </c>
      <c r="CG86" s="99">
        <f>IFERROR(_xlfn.XLOOKUP(B86,'w14'!$B:$B,'w14'!$F:$F),1)</f>
        <v>1</v>
      </c>
      <c r="CH86" s="98">
        <f>_xlfn.RANK.EQ(CG86,CG$3:CG$10000,1)</f>
        <v>69</v>
      </c>
      <c r="CI86" s="98">
        <f>IFERROR(IF(_xlfn.XLOOKUP(B86,'w14'!$B:$B,'w14'!$G:$G)="--",0,_xlfn.XLOOKUP(B86,'w14'!$B:$B,'w14'!$G:$G)),0)</f>
        <v>0</v>
      </c>
      <c r="CJ86" s="98">
        <f>_xlfn.RANK.EQ(CI86,CI$3:CI$10000,0)</f>
        <v>69</v>
      </c>
      <c r="CK86" s="9">
        <f>_xlfn.RANK.EQ(D86,D$3:D$10000,1)</f>
        <v>84</v>
      </c>
      <c r="CL86" s="26" t="s">
        <v>183</v>
      </c>
      <c r="CM86" s="8">
        <f>SUM(E86,K86,Q86,W86,AC86,AI86,AO86,AU86,BA86,BG86,BM86,BS86,BY86,CE86)</f>
        <v>69.800000000000011</v>
      </c>
      <c r="CN86" s="9">
        <f>_xlfn.RANK.EQ(CM86,CM$3:CM$10000)</f>
        <v>84</v>
      </c>
      <c r="CO86" s="15">
        <f>IFERROR(SUM(PRODUCT(E86,G86),PRODUCT(K86,M86),PRODUCT(Q86,S86),PRODUCT(W86,Y86),PRODUCT(AC86,AE86),PRODUCT(AI86,AK86),PRODUCT(AO86,AQ86),PRODUCT(AU86,AW86),PRODUCT(BA86,BC86),PRODUCT(BG86,BI86),PRODUCT(BM86,BO86),PRODUCT(BS86,BU86),PRODUCT(BY86,CA86),PRODUCT(CE86,CG86))/CM86,1)</f>
        <v>0.3619587710920088</v>
      </c>
      <c r="CP86" s="9">
        <f>_xlfn.RANK.EQ(CO86,CO$3:CO$10000,1)</f>
        <v>91</v>
      </c>
      <c r="CQ86" s="9">
        <f>SUM(I86,O86,U86,AA86,AG86,AM86,AS86,AY86,BE86,BK86,BQ86,BW86,CC86,CI86)</f>
        <v>2176</v>
      </c>
      <c r="CR86" s="9">
        <f>_xlfn.RANK.EQ(CQ86,CQ$3:CQ$10000)</f>
        <v>50</v>
      </c>
      <c r="CS86" s="23"/>
      <c r="CT86" s="25"/>
      <c r="CU86" s="24">
        <f>_xlfn.STDEV.S(F86,L86,R86,X86,AD86,AJ86,AP86,AV86,BB86,BH86,BN86,BT86,BZ86,CF86)</f>
        <v>11.638322450016137</v>
      </c>
      <c r="CV86" s="21">
        <f>_xlfn.RANK.EQ(CU86,CU$3:CU$10000,1)</f>
        <v>38</v>
      </c>
      <c r="CW86" s="24">
        <f>_xlfn.STDEV.S(H86,N86,T86,Z86,AF86,AL86,AR86,AX86,BD86,BJ86,BP86,BV86,CB86,CH86)</f>
        <v>6.8999920369439636</v>
      </c>
      <c r="CX86" s="21">
        <f>_xlfn.RANK.EQ(CW86,CW$3:CW$10000,1)</f>
        <v>12</v>
      </c>
      <c r="CY86" s="24">
        <f>_xlfn.STDEV.S(J86,P86,V86,AB86,AH86,AN86,AT86,AZ86,BF86,BL86,BR86,BX86,CD86,CJ86)</f>
        <v>26.175338615734312</v>
      </c>
      <c r="CZ86" s="21">
        <f>_xlfn.RANK.EQ(CY86,CY$3:CY$10000,1)</f>
        <v>102</v>
      </c>
      <c r="DA86">
        <f>SUM(COUNTIF(E86,"&gt;0"),COUNTIF(K86,"&gt;0"),COUNTIF(Q86,"&gt;0"),COUNTIF(W86,"&gt;0"),COUNTIF(AC86,"&gt;0"),COUNTIF(AI86,"&gt;0"),COUNTIF(AO86,"&gt;0"),COUNTIF(AU86,"&gt;0"),COUNTIF(BA86,"&gt;0"),COUNTIF(BG86,"&gt;0"),COUNTIF(BM86,"&gt;0"),COUNTIF(BS86,"&gt;0"),COUNTIF(BY86,"&gt;0"),COUNTIF(CE86,"&gt;0"))</f>
        <v>5</v>
      </c>
    </row>
    <row r="87" spans="2:105" x14ac:dyDescent="0.3">
      <c r="B87" t="s">
        <v>181</v>
      </c>
      <c r="C87" s="18" t="s">
        <v>191</v>
      </c>
      <c r="D87" s="4">
        <f>CN87*$CN$1+CP87*$CP$1+CR87*$CR$1</f>
        <v>85.524999999999991</v>
      </c>
      <c r="E87" s="29">
        <f>IFERROR(_xlfn.XLOOKUP(B87,'w1'!$B:$B,'w1'!$C:$C),0)</f>
        <v>0</v>
      </c>
      <c r="F87" s="30">
        <f>_xlfn.RANK.EQ(E87,E$3:E$10000,0)</f>
        <v>79</v>
      </c>
      <c r="G87" s="31">
        <f>IFERROR(_xlfn.XLOOKUP(B87,'w1'!$B:$B,'w1'!$F:$F),1)</f>
        <v>1</v>
      </c>
      <c r="H87" s="30">
        <f>_xlfn.RANK.EQ(G87,G$3:G$10000,1)</f>
        <v>79</v>
      </c>
      <c r="I87" s="30">
        <f>IFERROR(IF(_xlfn.XLOOKUP(B87,'w1'!$B:$B,'w1'!$G:$G)="--",0,_xlfn.XLOOKUP(B87,'w1'!$B:$B,'w1'!$G:$G)),0)</f>
        <v>0</v>
      </c>
      <c r="J87" s="30">
        <f>_xlfn.RANK.EQ(I87,I$3:I$10000,0)</f>
        <v>77</v>
      </c>
      <c r="K87" s="34">
        <f>IFERROR(_xlfn.XLOOKUP(B87,'w2'!$B:$B,'w2'!$C:$C),0)</f>
        <v>4.3</v>
      </c>
      <c r="L87" s="35">
        <f>_xlfn.RANK.EQ(K87,K$3:K$10000,0)</f>
        <v>71</v>
      </c>
      <c r="M87" s="36">
        <f>IFERROR(_xlfn.XLOOKUP(B87,'w2'!$B:$B,'w2'!$F:$F),1)</f>
        <v>0.65138888888888891</v>
      </c>
      <c r="N87" s="35">
        <f>_xlfn.RANK.EQ(M87,M$3:M$10000,1)</f>
        <v>68</v>
      </c>
      <c r="O87" s="35">
        <f>IFERROR(IF(_xlfn.XLOOKUP(B87,'w2'!$B:$B,'w2'!$G:$G)="--",0,_xlfn.XLOOKUP(B87,'w2'!$B:$B,'w2'!$G:$G)),0)</f>
        <v>16</v>
      </c>
      <c r="P87" s="35">
        <f>_xlfn.RANK.EQ(O87,O$3:O$10000,0)</f>
        <v>69</v>
      </c>
      <c r="Q87" s="39">
        <f>IFERROR(_xlfn.XLOOKUP(B87,'w3'!$B:$B,'w3'!$C:$C),0)</f>
        <v>9.6</v>
      </c>
      <c r="R87" s="40">
        <f>_xlfn.RANK.EQ(Q87,Q$3:Q$10000,0)</f>
        <v>71</v>
      </c>
      <c r="S87" s="41">
        <f>IFERROR(_xlfn.XLOOKUP(B87,'w3'!$B:$B,'w3'!$F:$F),1)</f>
        <v>0.47430555555555554</v>
      </c>
      <c r="T87" s="40">
        <f>_xlfn.RANK.EQ(S87,S$3:S$10000,1)</f>
        <v>78</v>
      </c>
      <c r="U87" s="40">
        <f>IFERROR(IF(_xlfn.XLOOKUP(B87,'w3'!$B:$B,'w3'!$G:$G)="--",0,_xlfn.XLOOKUP(B87,'w3'!$B:$B,'w3'!$G:$G)),0)</f>
        <v>39</v>
      </c>
      <c r="V87" s="40">
        <f>_xlfn.RANK.EQ(U87,U$3:U$10000,0)</f>
        <v>70</v>
      </c>
      <c r="W87" s="44">
        <f>IFERROR(_xlfn.XLOOKUP(B87,'w4'!$B:$B,'w4'!$C:$C),0)</f>
        <v>4.0999999999999996</v>
      </c>
      <c r="X87" s="45">
        <f>_xlfn.RANK.EQ(W87,W$3:W$10000,0)</f>
        <v>74</v>
      </c>
      <c r="Y87" s="46">
        <f>IFERROR(_xlfn.XLOOKUP(B87,'w4'!$B:$B,'w4'!$F:$F),1)</f>
        <v>0.38333333333333336</v>
      </c>
      <c r="Z87" s="45">
        <f>_xlfn.RANK.EQ(Y87,Y$3:Y$10000,1)</f>
        <v>69</v>
      </c>
      <c r="AA87" s="45">
        <f>IFERROR(IF(_xlfn.XLOOKUP(B87,'w4'!$B:$B,'w4'!$G:$G)="--",0,_xlfn.XLOOKUP(B87,'w4'!$B:$B,'w4'!$G:$G)),0)</f>
        <v>11</v>
      </c>
      <c r="AB87" s="45">
        <f>_xlfn.RANK.EQ(AA87,AA$3:AA$10000,0)</f>
        <v>67</v>
      </c>
      <c r="AC87" s="13">
        <f>IFERROR(_xlfn.XLOOKUP(B87,'w5'!$B:$B,'w5'!$C:$C),0)</f>
        <v>9.1</v>
      </c>
      <c r="AD87" s="12">
        <f>_xlfn.RANK.EQ(AC87,AC$3:AC$10000,0)</f>
        <v>68</v>
      </c>
      <c r="AE87" s="14">
        <f>IFERROR(_xlfn.XLOOKUP(B87,'w5'!$B:$B,'w5'!$F:$F),1)</f>
        <v>0.46111111111111114</v>
      </c>
      <c r="AF87" s="12">
        <f>_xlfn.RANK.EQ(AE87,AE$3:AE$10000,1)</f>
        <v>69</v>
      </c>
      <c r="AG87" s="12">
        <f>IFERROR(IF(_xlfn.XLOOKUP(B87,'w5'!$B:$B,'w5'!$G:$G)="--",0,_xlfn.XLOOKUP(B87,'w5'!$B:$B,'w5'!$G:$G)),0)</f>
        <v>71</v>
      </c>
      <c r="AH87" s="12">
        <f>_xlfn.RANK.EQ(AG87,AG$3:AG$10000,0)</f>
        <v>67</v>
      </c>
      <c r="AI87" s="51">
        <f>IFERROR(_xlfn.XLOOKUP(B87,'w6'!$B:$B,'w6'!$C:$C),0)</f>
        <v>0</v>
      </c>
      <c r="AJ87" s="50">
        <f>_xlfn.RANK.EQ(AI87,AI$3:AI$10000,0)</f>
        <v>65</v>
      </c>
      <c r="AK87" s="52">
        <f>IFERROR(_xlfn.XLOOKUP(B87,'w6'!$B:$B,'w6'!$F:$F),1)</f>
        <v>1</v>
      </c>
      <c r="AL87" s="50">
        <f>_xlfn.RANK.EQ(AK87,AK$3:AK$10000,1)</f>
        <v>65</v>
      </c>
      <c r="AM87" s="50">
        <f>IFERROR(IF(_xlfn.XLOOKUP(B87,'w6'!$B:$B,'w6'!$G:$G)="--",0,_xlfn.XLOOKUP(B87,'w6'!$B:$B,'w6'!$G:$G)),0)</f>
        <v>0</v>
      </c>
      <c r="AN87" s="50">
        <f>_xlfn.RANK.EQ(AM87,AM$3:AM$10000,0)</f>
        <v>61</v>
      </c>
      <c r="AO87" s="56">
        <f>IFERROR(_xlfn.XLOOKUP(B87,'w7'!$B:$B,'w7'!$C:$C),0)</f>
        <v>0</v>
      </c>
      <c r="AP87" s="57">
        <f>_xlfn.RANK.EQ(AO87,AO$3:AO$10000,0)</f>
        <v>72</v>
      </c>
      <c r="AQ87" s="58">
        <f>IFERROR(_xlfn.XLOOKUP(B87,'w7'!$B:$B,'w7'!$F:$F),1)</f>
        <v>1</v>
      </c>
      <c r="AR87" s="57">
        <f>_xlfn.RANK.EQ(AQ87,AQ$3:AQ$10000,1)</f>
        <v>72</v>
      </c>
      <c r="AS87" s="57">
        <f>IFERROR(IF(_xlfn.XLOOKUP(B87,'w7'!$B:$B,'w7'!$G:$G)="--",0,_xlfn.XLOOKUP(B87,'w7'!$B:$B,'w7'!$G:$G)),0)</f>
        <v>0</v>
      </c>
      <c r="AT87" s="57">
        <f>_xlfn.RANK.EQ(AS87,AS$3:AS$10000,0)</f>
        <v>69</v>
      </c>
      <c r="AU87" s="62">
        <f>IFERROR(_xlfn.XLOOKUP(B87,'w8'!$B:$B,'w8'!$C:$C),0)</f>
        <v>2</v>
      </c>
      <c r="AV87" s="61">
        <f>_xlfn.RANK.EQ(AU87,AU$3:AU$10000,0)</f>
        <v>70</v>
      </c>
      <c r="AW87" s="63">
        <f>IFERROR(_xlfn.XLOOKUP(B87,'w8'!$B:$B,'w8'!$F:$F),1)</f>
        <v>0.27986111111111112</v>
      </c>
      <c r="AX87" s="61">
        <f>_xlfn.RANK.EQ(AW87,AW$3:AW$10000,1)</f>
        <v>36</v>
      </c>
      <c r="AY87" s="61">
        <f>IFERROR(IF(_xlfn.XLOOKUP(B87,'w8'!$B:$B,'w8'!$G:$G)="--",0,_xlfn.XLOOKUP(B87,'w8'!$B:$B,'w8'!$G:$G)),0)</f>
        <v>11</v>
      </c>
      <c r="AZ87" s="61">
        <f>_xlfn.RANK.EQ(AY87,AY$3:AY$10000,0)</f>
        <v>67</v>
      </c>
      <c r="BA87" s="66">
        <f>IFERROR(_xlfn.XLOOKUP(C87,'w9'!$B:$B,'w9'!$C:$C),0)</f>
        <v>9</v>
      </c>
      <c r="BB87" s="67">
        <f>_xlfn.RANK.EQ(BA87,BA$3:BA$10000,0)</f>
        <v>70</v>
      </c>
      <c r="BC87" s="68">
        <f>IFERROR(_xlfn.XLOOKUP(C87,'w9'!$B:$B,'w9'!$F:$F),1)</f>
        <v>0.49861111111111112</v>
      </c>
      <c r="BD87" s="67">
        <f>_xlfn.RANK.EQ(BC87,BC$3:BC$10000,1)</f>
        <v>74</v>
      </c>
      <c r="BE87" s="67">
        <f>IFERROR(IF(_xlfn.XLOOKUP(C87,'w9'!$B:$B,'w9'!$G:$G)="--",0,_xlfn.XLOOKUP(C87,'w9'!$B:$B,'w9'!$G:$G)),0)</f>
        <v>52</v>
      </c>
      <c r="BF87" s="67">
        <f>_xlfn.RANK.EQ(BE87,BE$3:BE$10000,0)</f>
        <v>64</v>
      </c>
      <c r="BG87" s="72">
        <f>IFERROR(_xlfn.XLOOKUP(B87,'w10'!$B:$B,'w10'!$C:$C),0)</f>
        <v>10.3</v>
      </c>
      <c r="BH87" s="74">
        <f>_xlfn.RANK.EQ(BG87,BG$3:BG$10000,0)</f>
        <v>65</v>
      </c>
      <c r="BI87" s="75">
        <f>IFERROR(_xlfn.XLOOKUP(B87,'w10'!$B:$B,'w10'!$F:$F),1)</f>
        <v>0.38611111111111113</v>
      </c>
      <c r="BJ87" s="74">
        <f>_xlfn.RANK.EQ(BI87,BI$3:BI$10000,1)</f>
        <v>72</v>
      </c>
      <c r="BK87" s="74">
        <f>IFERROR(IF(_xlfn.XLOOKUP(B87,'w10'!$B:$B,'w10'!$G:$G)="--",0,_xlfn.XLOOKUP(B87,'w10'!$B:$B,'w10'!$G:$G)),0)</f>
        <v>22</v>
      </c>
      <c r="BL87" s="74">
        <f>_xlfn.RANK.EQ(BK87,BK$3:BK$10000,0)</f>
        <v>73</v>
      </c>
      <c r="BM87" s="78">
        <f>IFERROR(_xlfn.XLOOKUP(B87,'w11'!$B:$B,'w11'!$C:$C),0)</f>
        <v>0</v>
      </c>
      <c r="BN87" s="80">
        <f>_xlfn.RANK.EQ(BM87,BM$3:BM$10000,0)</f>
        <v>76</v>
      </c>
      <c r="BO87" s="81">
        <f>IFERROR(_xlfn.XLOOKUP(B87,'w11'!$B:$B,'w11'!$F:$F),1)</f>
        <v>1</v>
      </c>
      <c r="BP87" s="80">
        <f>_xlfn.RANK.EQ(BO87,BO$3:BO$10000,1)</f>
        <v>76</v>
      </c>
      <c r="BQ87" s="80">
        <f>IFERROR(IF(_xlfn.XLOOKUP(B87,'w11'!$B:$B,'w11'!$G:$G)="--",0,_xlfn.XLOOKUP(B87,'w11'!$B:$B,'w11'!$G:$G)),0)</f>
        <v>0</v>
      </c>
      <c r="BR87" s="80">
        <f>_xlfn.RANK.EQ(BQ87,BQ$3:BQ$10000,0)</f>
        <v>75</v>
      </c>
      <c r="BS87" s="83">
        <f>IFERROR(_xlfn.XLOOKUP(B87,'w12'!$B:$B,'w12'!$C:$C),0)</f>
        <v>0</v>
      </c>
      <c r="BT87" s="86">
        <f>_xlfn.RANK.EQ(BS87,BS$3:BS$10000,0)</f>
        <v>76</v>
      </c>
      <c r="BU87" s="87">
        <f>IFERROR(_xlfn.XLOOKUP(B87,'w12'!$B:$B,'w12'!$F:$F),1)</f>
        <v>1</v>
      </c>
      <c r="BV87" s="86">
        <f>_xlfn.RANK.EQ(BU87,BU$3:BU$10000,1)</f>
        <v>76</v>
      </c>
      <c r="BW87" s="86">
        <f>IFERROR(IF(_xlfn.XLOOKUP(B87,'w12'!$B:$B,'w12'!$G:$G)="--",0,_xlfn.XLOOKUP(B87,'w12'!$B:$B,'w12'!$G:$G)),0)</f>
        <v>0</v>
      </c>
      <c r="BX87" s="86">
        <f>_xlfn.RANK.EQ(BW87,BW$3:BW$10000,0)</f>
        <v>73</v>
      </c>
      <c r="BY87" s="89">
        <f>IFERROR(_xlfn.XLOOKUP(B87,'w13'!$B:$B,'w13'!$C:$C),0)</f>
        <v>9</v>
      </c>
      <c r="BZ87" s="92">
        <f>_xlfn.RANK.EQ(BY87,BY$3:BY$10000,0)</f>
        <v>68</v>
      </c>
      <c r="CA87" s="93">
        <f>IFERROR(_xlfn.XLOOKUP(B87,'w13'!$B:$B,'w13'!$F:$F),1)</f>
        <v>0.54305555555555551</v>
      </c>
      <c r="CB87" s="92">
        <f>_xlfn.RANK.EQ(CA87,CA$3:CA$10000,1)</f>
        <v>74</v>
      </c>
      <c r="CC87" s="92">
        <f>IFERROR(IF(_xlfn.XLOOKUP(B87,'w13'!$B:$B,'w13'!$G:$G)="--",0,_xlfn.XLOOKUP(B87,'w13'!$B:$B,'w13'!$G:$G)),0)</f>
        <v>84</v>
      </c>
      <c r="CD87" s="92">
        <f>_xlfn.RANK.EQ(CC87,CC$3:CC$10000,0)</f>
        <v>55</v>
      </c>
      <c r="CE87" s="95">
        <f>IFERROR(_xlfn.XLOOKUP(B87,'w14'!$B:$B,'w14'!$C:$C),0)</f>
        <v>0</v>
      </c>
      <c r="CF87" s="98">
        <f>_xlfn.RANK.EQ(CE87,CE$3:CE$10000,0)</f>
        <v>69</v>
      </c>
      <c r="CG87" s="99">
        <f>IFERROR(_xlfn.XLOOKUP(B87,'w14'!$B:$B,'w14'!$F:$F),1)</f>
        <v>1</v>
      </c>
      <c r="CH87" s="98">
        <f>_xlfn.RANK.EQ(CG87,CG$3:CG$10000,1)</f>
        <v>69</v>
      </c>
      <c r="CI87" s="98">
        <f>IFERROR(IF(_xlfn.XLOOKUP(B87,'w14'!$B:$B,'w14'!$G:$G)="--",0,_xlfn.XLOOKUP(B87,'w14'!$B:$B,'w14'!$G:$G)),0)</f>
        <v>0</v>
      </c>
      <c r="CJ87" s="98">
        <f>_xlfn.RANK.EQ(CI87,CI$3:CI$10000,0)</f>
        <v>69</v>
      </c>
      <c r="CK87" s="9">
        <f>_xlfn.RANK.EQ(D87,D$3:D$10000,1)</f>
        <v>85</v>
      </c>
      <c r="CL87" s="26" t="s">
        <v>191</v>
      </c>
      <c r="CM87" s="8">
        <f>SUM(E87,K87,Q87,W87,AC87,AI87,AO87,AU87,BA87,BG87,BM87,BS87,BY87,CE87)</f>
        <v>57.400000000000006</v>
      </c>
      <c r="CN87" s="9">
        <f>_xlfn.RANK.EQ(CM87,CM$3:CM$10000)</f>
        <v>85</v>
      </c>
      <c r="CO87" s="15">
        <f>IFERROR(SUM(PRODUCT(E87,G87),PRODUCT(K87,M87),PRODUCT(Q87,S87),PRODUCT(W87,Y87),PRODUCT(AC87,AE87),PRODUCT(AI87,AK87),PRODUCT(AO87,AQ87),PRODUCT(AU87,AW87),PRODUCT(BA87,BC87),PRODUCT(BG87,BI87),PRODUCT(BM87,BO87),PRODUCT(BS87,BU87),PRODUCT(BY87,CA87),PRODUCT(CE87,CG87))/CM87,1)</f>
        <v>0.47097125435540066</v>
      </c>
      <c r="CP87" s="9">
        <f>_xlfn.RANK.EQ(CO87,CO$3:CO$10000,1)</f>
        <v>99</v>
      </c>
      <c r="CQ87" s="9">
        <f>SUM(I87,O87,U87,AA87,AG87,AM87,AS87,AY87,BE87,BK87,BQ87,BW87,CC87,CI87)</f>
        <v>306</v>
      </c>
      <c r="CR87" s="9">
        <f>_xlfn.RANK.EQ(CQ87,CQ$3:CQ$10000)</f>
        <v>92</v>
      </c>
      <c r="CS87" s="23"/>
      <c r="CT87" s="25"/>
      <c r="CU87" s="24">
        <f>_xlfn.STDEV.S(F87,L87,R87,X87,AD87,AJ87,AP87,AV87,BB87,BH87,BN87,BT87,BZ87,CF87)</f>
        <v>4.1137667560372115</v>
      </c>
      <c r="CV87" s="21">
        <f>_xlfn.RANK.EQ(CU87,CU$3:CU$10000,1)</f>
        <v>3</v>
      </c>
      <c r="CW87" s="24">
        <f>_xlfn.STDEV.S(H87,N87,T87,Z87,AF87,AL87,AR87,AX87,BD87,BJ87,BP87,BV87,CB87,CH87)</f>
        <v>10.54060698462834</v>
      </c>
      <c r="CX87" s="21">
        <f>_xlfn.RANK.EQ(CW87,CW$3:CW$10000,1)</f>
        <v>28</v>
      </c>
      <c r="CY87" s="24">
        <f>_xlfn.STDEV.S(J87,P87,V87,AB87,AH87,AN87,AT87,AZ87,BF87,BL87,BR87,BX87,CD87,CJ87)</f>
        <v>5.7032861165710891</v>
      </c>
      <c r="CZ87" s="21">
        <f>_xlfn.RANK.EQ(CY87,CY$3:CY$10000,1)</f>
        <v>7</v>
      </c>
      <c r="DA87">
        <f>SUM(COUNTIF(E87,"&gt;0"),COUNTIF(K87,"&gt;0"),COUNTIF(Q87,"&gt;0"),COUNTIF(W87,"&gt;0"),COUNTIF(AC87,"&gt;0"),COUNTIF(AI87,"&gt;0"),COUNTIF(AO87,"&gt;0"),COUNTIF(AU87,"&gt;0"),COUNTIF(BA87,"&gt;0"),COUNTIF(BG87,"&gt;0"),COUNTIF(BM87,"&gt;0"),COUNTIF(BS87,"&gt;0"),COUNTIF(BY87,"&gt;0"),COUNTIF(CE87,"&gt;0"))</f>
        <v>8</v>
      </c>
    </row>
    <row r="88" spans="2:105" x14ac:dyDescent="0.3">
      <c r="B88" t="s">
        <v>174</v>
      </c>
      <c r="C88" s="18" t="s">
        <v>184</v>
      </c>
      <c r="D88" s="4">
        <f>CN88*$CN$1+CP88*$CP$1+CR88*$CR$1</f>
        <v>86.100000000000009</v>
      </c>
      <c r="E88" s="29">
        <f>IFERROR(_xlfn.XLOOKUP(B88,'w1'!$B:$B,'w1'!$C:$C),0)</f>
        <v>0</v>
      </c>
      <c r="F88" s="30">
        <f>_xlfn.RANK.EQ(E88,E$3:E$10000,0)</f>
        <v>79</v>
      </c>
      <c r="G88" s="31">
        <f>IFERROR(_xlfn.XLOOKUP(B88,'w1'!$B:$B,'w1'!$F:$F),1)</f>
        <v>1</v>
      </c>
      <c r="H88" s="30">
        <f>_xlfn.RANK.EQ(G88,G$3:G$10000,1)</f>
        <v>79</v>
      </c>
      <c r="I88" s="30">
        <f>IFERROR(IF(_xlfn.XLOOKUP(B88,'w1'!$B:$B,'w1'!$G:$G)="--",0,_xlfn.XLOOKUP(B88,'w1'!$B:$B,'w1'!$G:$G)),0)</f>
        <v>0</v>
      </c>
      <c r="J88" s="30">
        <f>_xlfn.RANK.EQ(I88,I$3:I$10000,0)</f>
        <v>77</v>
      </c>
      <c r="K88" s="34">
        <f>IFERROR(_xlfn.XLOOKUP(B88,'w2'!$B:$B,'w2'!$C:$C),0)</f>
        <v>12.6</v>
      </c>
      <c r="L88" s="35">
        <f>_xlfn.RANK.EQ(K88,K$3:K$10000,0)</f>
        <v>52</v>
      </c>
      <c r="M88" s="36">
        <f>IFERROR(_xlfn.XLOOKUP(B88,'w2'!$B:$B,'w2'!$F:$F),1)</f>
        <v>0.80486111111111114</v>
      </c>
      <c r="N88" s="35">
        <f>_xlfn.RANK.EQ(M88,M$3:M$10000,1)</f>
        <v>70</v>
      </c>
      <c r="O88" s="35">
        <f>IFERROR(IF(_xlfn.XLOOKUP(B88,'w2'!$B:$B,'w2'!$G:$G)="--",0,_xlfn.XLOOKUP(B88,'w2'!$B:$B,'w2'!$G:$G)),0)</f>
        <v>431</v>
      </c>
      <c r="P88" s="35">
        <f>_xlfn.RANK.EQ(O88,O$3:O$10000,0)</f>
        <v>25</v>
      </c>
      <c r="Q88" s="39">
        <f>IFERROR(_xlfn.XLOOKUP(B88,'w3'!$B:$B,'w3'!$C:$C),0)</f>
        <v>20.5</v>
      </c>
      <c r="R88" s="40">
        <f>_xlfn.RANK.EQ(Q88,Q$3:Q$10000,0)</f>
        <v>44</v>
      </c>
      <c r="S88" s="41">
        <f>IFERROR(_xlfn.XLOOKUP(B88,'w3'!$B:$B,'w3'!$F:$F),1)</f>
        <v>0.53611111111111109</v>
      </c>
      <c r="T88" s="40">
        <f>_xlfn.RANK.EQ(S88,S$3:S$10000,1)</f>
        <v>81</v>
      </c>
      <c r="U88" s="40">
        <f>IFERROR(IF(_xlfn.XLOOKUP(B88,'w3'!$B:$B,'w3'!$G:$G)="--",0,_xlfn.XLOOKUP(B88,'w3'!$B:$B,'w3'!$G:$G)),0)</f>
        <v>416</v>
      </c>
      <c r="V88" s="40">
        <f>_xlfn.RANK.EQ(U88,U$3:U$10000,0)</f>
        <v>23</v>
      </c>
      <c r="W88" s="44">
        <f>IFERROR(_xlfn.XLOOKUP(B88,'w4'!$B:$B,'w4'!$C:$C),0)</f>
        <v>7.5</v>
      </c>
      <c r="X88" s="45">
        <f>_xlfn.RANK.EQ(W88,W$3:W$10000,0)</f>
        <v>69</v>
      </c>
      <c r="Y88" s="46">
        <f>IFERROR(_xlfn.XLOOKUP(B88,'w4'!$B:$B,'w4'!$F:$F),1)</f>
        <v>0.51041666666666663</v>
      </c>
      <c r="Z88" s="45">
        <f>_xlfn.RANK.EQ(Y88,Y$3:Y$10000,1)</f>
        <v>73</v>
      </c>
      <c r="AA88" s="45">
        <f>IFERROR(IF(_xlfn.XLOOKUP(B88,'w4'!$B:$B,'w4'!$G:$G)="--",0,_xlfn.XLOOKUP(B88,'w4'!$B:$B,'w4'!$G:$G)),0)</f>
        <v>98</v>
      </c>
      <c r="AB88" s="45">
        <f>_xlfn.RANK.EQ(AA88,AA$3:AA$10000,0)</f>
        <v>48</v>
      </c>
      <c r="AC88" s="13">
        <f>IFERROR(_xlfn.XLOOKUP(B88,'w5'!$B:$B,'w5'!$C:$C),0)</f>
        <v>6.3</v>
      </c>
      <c r="AD88" s="12">
        <f>_xlfn.RANK.EQ(AC88,AC$3:AC$10000,0)</f>
        <v>73</v>
      </c>
      <c r="AE88" s="14">
        <f>IFERROR(_xlfn.XLOOKUP(B88,'w5'!$B:$B,'w5'!$F:$F),1)</f>
        <v>0.5625</v>
      </c>
      <c r="AF88" s="12">
        <f>_xlfn.RANK.EQ(AE88,AE$3:AE$10000,1)</f>
        <v>73</v>
      </c>
      <c r="AG88" s="12">
        <f>IFERROR(IF(_xlfn.XLOOKUP(B88,'w5'!$B:$B,'w5'!$G:$G)="--",0,_xlfn.XLOOKUP(B88,'w5'!$B:$B,'w5'!$G:$G)),0)</f>
        <v>140</v>
      </c>
      <c r="AH88" s="12">
        <f>_xlfn.RANK.EQ(AG88,AG$3:AG$10000,0)</f>
        <v>53</v>
      </c>
      <c r="AI88" s="51">
        <f>IFERROR(_xlfn.XLOOKUP(B88,'w6'!$B:$B,'w6'!$C:$C),0)</f>
        <v>0</v>
      </c>
      <c r="AJ88" s="50">
        <f>_xlfn.RANK.EQ(AI88,AI$3:AI$10000,0)</f>
        <v>65</v>
      </c>
      <c r="AK88" s="52">
        <f>IFERROR(_xlfn.XLOOKUP(B88,'w6'!$B:$B,'w6'!$F:$F),1)</f>
        <v>1</v>
      </c>
      <c r="AL88" s="50">
        <f>_xlfn.RANK.EQ(AK88,AK$3:AK$10000,1)</f>
        <v>65</v>
      </c>
      <c r="AM88" s="50">
        <f>IFERROR(IF(_xlfn.XLOOKUP(B88,'w6'!$B:$B,'w6'!$G:$G)="--",0,_xlfn.XLOOKUP(B88,'w6'!$B:$B,'w6'!$G:$G)),0)</f>
        <v>0</v>
      </c>
      <c r="AN88" s="50">
        <f>_xlfn.RANK.EQ(AM88,AM$3:AM$10000,0)</f>
        <v>61</v>
      </c>
      <c r="AO88" s="56">
        <f>IFERROR(_xlfn.XLOOKUP(B88,'w7'!$B:$B,'w7'!$C:$C),0)</f>
        <v>0</v>
      </c>
      <c r="AP88" s="57">
        <f>_xlfn.RANK.EQ(AO88,AO$3:AO$10000,0)</f>
        <v>72</v>
      </c>
      <c r="AQ88" s="58">
        <f>IFERROR(_xlfn.XLOOKUP(B88,'w7'!$B:$B,'w7'!$F:$F),1)</f>
        <v>1</v>
      </c>
      <c r="AR88" s="57">
        <f>_xlfn.RANK.EQ(AQ88,AQ$3:AQ$10000,1)</f>
        <v>72</v>
      </c>
      <c r="AS88" s="57">
        <f>IFERROR(IF(_xlfn.XLOOKUP(B88,'w7'!$B:$B,'w7'!$G:$G)="--",0,_xlfn.XLOOKUP(B88,'w7'!$B:$B,'w7'!$G:$G)),0)</f>
        <v>0</v>
      </c>
      <c r="AT88" s="57">
        <f>_xlfn.RANK.EQ(AS88,AS$3:AS$10000,0)</f>
        <v>69</v>
      </c>
      <c r="AU88" s="62">
        <f>IFERROR(_xlfn.XLOOKUP(B88,'w8'!$B:$B,'w8'!$C:$C),0)</f>
        <v>0</v>
      </c>
      <c r="AV88" s="61">
        <f>_xlfn.RANK.EQ(AU88,AU$3:AU$10000,0)</f>
        <v>73</v>
      </c>
      <c r="AW88" s="63">
        <f>IFERROR(_xlfn.XLOOKUP(B88,'w8'!$B:$B,'w8'!$F:$F),1)</f>
        <v>1</v>
      </c>
      <c r="AX88" s="61">
        <f>_xlfn.RANK.EQ(AW88,AW$3:AW$10000,1)</f>
        <v>73</v>
      </c>
      <c r="AY88" s="61">
        <f>IFERROR(IF(_xlfn.XLOOKUP(B88,'w8'!$B:$B,'w8'!$G:$G)="--",0,_xlfn.XLOOKUP(B88,'w8'!$B:$B,'w8'!$G:$G)),0)</f>
        <v>0</v>
      </c>
      <c r="AZ88" s="61">
        <f>_xlfn.RANK.EQ(AY88,AY$3:AY$10000,0)</f>
        <v>70</v>
      </c>
      <c r="BA88" s="66">
        <f>IFERROR(_xlfn.XLOOKUP(C88,'w9'!$B:$B,'w9'!$C:$C),0)</f>
        <v>0</v>
      </c>
      <c r="BB88" s="67">
        <f>_xlfn.RANK.EQ(BA88,BA$3:BA$10000,0)</f>
        <v>75</v>
      </c>
      <c r="BC88" s="68">
        <f>IFERROR(_xlfn.XLOOKUP(C88,'w9'!$B:$B,'w9'!$F:$F),1)</f>
        <v>1</v>
      </c>
      <c r="BD88" s="67">
        <f>_xlfn.RANK.EQ(BC88,BC$3:BC$10000,1)</f>
        <v>75</v>
      </c>
      <c r="BE88" s="67">
        <f>IFERROR(IF(_xlfn.XLOOKUP(C88,'w9'!$B:$B,'w9'!$G:$G)="--",0,_xlfn.XLOOKUP(C88,'w9'!$B:$B,'w9'!$G:$G)),0)</f>
        <v>0</v>
      </c>
      <c r="BF88" s="67">
        <f>_xlfn.RANK.EQ(BE88,BE$3:BE$10000,0)</f>
        <v>74</v>
      </c>
      <c r="BG88" s="72">
        <f>IFERROR(_xlfn.XLOOKUP(B88,'w10'!$B:$B,'w10'!$C:$C),0)</f>
        <v>3.9</v>
      </c>
      <c r="BH88" s="74">
        <f>_xlfn.RANK.EQ(BG88,BG$3:BG$10000,0)</f>
        <v>75</v>
      </c>
      <c r="BI88" s="76">
        <f>IFERROR(_xlfn.XLOOKUP(B88,'w10'!$B:$B,'w10'!$F:$F),1)</f>
        <v>1.0361111111111112</v>
      </c>
      <c r="BJ88" s="74">
        <f>_xlfn.RANK.EQ(BI88,BI$3:BI$10000,1)</f>
        <v>106</v>
      </c>
      <c r="BK88" s="74">
        <f>IFERROR(IF(_xlfn.XLOOKUP(B88,'w10'!$B:$B,'w10'!$G:$G)="--",0,_xlfn.XLOOKUP(B88,'w10'!$B:$B,'w10'!$G:$G)),0)</f>
        <v>47</v>
      </c>
      <c r="BL88" s="74">
        <f>_xlfn.RANK.EQ(BK88,BK$3:BK$10000,0)</f>
        <v>66</v>
      </c>
      <c r="BM88" s="78">
        <f>IFERROR(_xlfn.XLOOKUP(B88,'w11'!$B:$B,'w11'!$C:$C),0)</f>
        <v>3.9</v>
      </c>
      <c r="BN88" s="80">
        <f>_xlfn.RANK.EQ(BM88,BM$3:BM$10000,0)</f>
        <v>75</v>
      </c>
      <c r="BO88" s="81">
        <f>IFERROR(_xlfn.XLOOKUP(B88,'w11'!$B:$B,'w11'!$F:$F),1)</f>
        <v>0.69722222222222219</v>
      </c>
      <c r="BP88" s="80">
        <f>_xlfn.RANK.EQ(BO88,BO$3:BO$10000,1)</f>
        <v>75</v>
      </c>
      <c r="BQ88" s="80">
        <f>IFERROR(IF(_xlfn.XLOOKUP(B88,'w11'!$B:$B,'w11'!$G:$G)="--",0,_xlfn.XLOOKUP(B88,'w11'!$B:$B,'w11'!$G:$G)),0)</f>
        <v>28</v>
      </c>
      <c r="BR88" s="80">
        <f>_xlfn.RANK.EQ(BQ88,BQ$3:BQ$10000,0)</f>
        <v>70</v>
      </c>
      <c r="BS88" s="83">
        <f>IFERROR(_xlfn.XLOOKUP(B88,'w12'!$B:$B,'w12'!$C:$C),0)</f>
        <v>0</v>
      </c>
      <c r="BT88" s="86">
        <f>_xlfn.RANK.EQ(BS88,BS$3:BS$10000,0)</f>
        <v>76</v>
      </c>
      <c r="BU88" s="87">
        <f>IFERROR(_xlfn.XLOOKUP(B88,'w12'!$B:$B,'w12'!$F:$F),1)</f>
        <v>1</v>
      </c>
      <c r="BV88" s="86">
        <f>_xlfn.RANK.EQ(BU88,BU$3:BU$10000,1)</f>
        <v>76</v>
      </c>
      <c r="BW88" s="86">
        <f>IFERROR(IF(_xlfn.XLOOKUP(B88,'w12'!$B:$B,'w12'!$G:$G)="--",0,_xlfn.XLOOKUP(B88,'w12'!$B:$B,'w12'!$G:$G)),0)</f>
        <v>0</v>
      </c>
      <c r="BX88" s="86">
        <f>_xlfn.RANK.EQ(BW88,BW$3:BW$10000,0)</f>
        <v>73</v>
      </c>
      <c r="BY88" s="89">
        <f>IFERROR(_xlfn.XLOOKUP(B88,'w13'!$B:$B,'w13'!$C:$C),0)</f>
        <v>0</v>
      </c>
      <c r="BZ88" s="92">
        <f>_xlfn.RANK.EQ(BY88,BY$3:BY$10000,0)</f>
        <v>76</v>
      </c>
      <c r="CA88" s="93">
        <f>IFERROR(_xlfn.XLOOKUP(B88,'w13'!$B:$B,'w13'!$F:$F),1)</f>
        <v>1</v>
      </c>
      <c r="CB88" s="92">
        <f>_xlfn.RANK.EQ(CA88,CA$3:CA$10000,1)</f>
        <v>76</v>
      </c>
      <c r="CC88" s="92">
        <f>IFERROR(IF(_xlfn.XLOOKUP(B88,'w13'!$B:$B,'w13'!$G:$G)="--",0,_xlfn.XLOOKUP(B88,'w13'!$B:$B,'w13'!$G:$G)),0)</f>
        <v>0</v>
      </c>
      <c r="CD88" s="92">
        <f>_xlfn.RANK.EQ(CC88,CC$3:CC$10000,0)</f>
        <v>76</v>
      </c>
      <c r="CE88" s="95">
        <f>IFERROR(_xlfn.XLOOKUP(B88,'w14'!$B:$B,'w14'!$C:$C),0)</f>
        <v>0</v>
      </c>
      <c r="CF88" s="98">
        <f>_xlfn.RANK.EQ(CE88,CE$3:CE$10000,0)</f>
        <v>69</v>
      </c>
      <c r="CG88" s="99">
        <f>IFERROR(_xlfn.XLOOKUP(B88,'w14'!$B:$B,'w14'!$F:$F),1)</f>
        <v>1</v>
      </c>
      <c r="CH88" s="98">
        <f>_xlfn.RANK.EQ(CG88,CG$3:CG$10000,1)</f>
        <v>69</v>
      </c>
      <c r="CI88" s="98">
        <f>IFERROR(IF(_xlfn.XLOOKUP(B88,'w14'!$B:$B,'w14'!$G:$G)="--",0,_xlfn.XLOOKUP(B88,'w14'!$B:$B,'w14'!$G:$G)),0)</f>
        <v>0</v>
      </c>
      <c r="CJ88" s="98">
        <f>_xlfn.RANK.EQ(CI88,CI$3:CI$10000,0)</f>
        <v>69</v>
      </c>
      <c r="CK88" s="9">
        <f>_xlfn.RANK.EQ(D88,D$3:D$10000,1)</f>
        <v>86</v>
      </c>
      <c r="CL88" s="26" t="s">
        <v>184</v>
      </c>
      <c r="CM88" s="8">
        <f>SUM(E88,K88,Q88,W88,AC88,AI88,AO88,AU88,BA88,BG88,BM88,BS88,BY88,CE88)</f>
        <v>54.699999999999996</v>
      </c>
      <c r="CN88" s="9">
        <f>_xlfn.RANK.EQ(CM88,CM$3:CM$10000)</f>
        <v>86</v>
      </c>
      <c r="CO88" s="15">
        <f>IFERROR(SUM(PRODUCT(E88,G88),PRODUCT(K88,M88),PRODUCT(Q88,S88),PRODUCT(W88,Y88),PRODUCT(AC88,AE88),PRODUCT(AI88,AK88),PRODUCT(AO88,AQ88),PRODUCT(AU88,AW88),PRODUCT(BA88,BC88),PRODUCT(BG88,BI88),PRODUCT(BM88,BO88),PRODUCT(BS88,BU88),PRODUCT(BY88,CA88),PRODUCT(CE88,CG88))/CM88,1)</f>
        <v>0.64466915498679667</v>
      </c>
      <c r="CP88" s="9">
        <f>_xlfn.RANK.EQ(CO88,CO$3:CO$10000,1)</f>
        <v>105</v>
      </c>
      <c r="CQ88" s="9">
        <f>SUM(I88,O88,U88,AA88,AG88,AM88,AS88,AY88,BE88,BK88,BQ88,BW88,CC88,CI88)</f>
        <v>1160</v>
      </c>
      <c r="CR88" s="9">
        <f>_xlfn.RANK.EQ(CQ88,CQ$3:CQ$10000)</f>
        <v>71</v>
      </c>
      <c r="CS88" s="23"/>
      <c r="CT88" s="25"/>
      <c r="CU88" s="24">
        <f>_xlfn.STDEV.S(F88,L88,R88,X88,AD88,AJ88,AP88,AV88,BB88,BH88,BN88,BT88,BZ88,CF88)</f>
        <v>9.8975521449264647</v>
      </c>
      <c r="CV88" s="21">
        <f>_xlfn.RANK.EQ(CU88,CU$3:CU$10000,1)</f>
        <v>30</v>
      </c>
      <c r="CW88" s="24">
        <f>_xlfn.STDEV.S(H88,N88,T88,Z88,AF88,AL88,AR88,AX88,BD88,BJ88,BP88,BV88,CB88,CH88)</f>
        <v>9.5471645868473001</v>
      </c>
      <c r="CX88" s="21">
        <f>_xlfn.RANK.EQ(CW88,CW$3:CW$10000,1)</f>
        <v>23</v>
      </c>
      <c r="CY88" s="24">
        <f>_xlfn.STDEV.S(J88,P88,V88,AB88,AH88,AN88,AT88,AZ88,BF88,BL88,BR88,BX88,CD88,CJ88)</f>
        <v>17.720045146669349</v>
      </c>
      <c r="CZ88" s="21">
        <f>_xlfn.RANK.EQ(CY88,CY$3:CY$10000,1)</f>
        <v>72</v>
      </c>
      <c r="DA88">
        <f>SUM(COUNTIF(E88,"&gt;0"),COUNTIF(K88,"&gt;0"),COUNTIF(Q88,"&gt;0"),COUNTIF(W88,"&gt;0"),COUNTIF(AC88,"&gt;0"),COUNTIF(AI88,"&gt;0"),COUNTIF(AO88,"&gt;0"),COUNTIF(AU88,"&gt;0"),COUNTIF(BA88,"&gt;0"),COUNTIF(BG88,"&gt;0"),COUNTIF(BM88,"&gt;0"),COUNTIF(BS88,"&gt;0"),COUNTIF(BY88,"&gt;0"),COUNTIF(CE88,"&gt;0"))</f>
        <v>6</v>
      </c>
    </row>
    <row r="89" spans="2:105" x14ac:dyDescent="0.3">
      <c r="B89" t="s">
        <v>75</v>
      </c>
      <c r="C89" s="18" t="s">
        <v>138</v>
      </c>
      <c r="D89" s="4">
        <f>CN89*$CN$1+CP89*$CP$1+CR89*$CR$1</f>
        <v>86.22499999999998</v>
      </c>
      <c r="E89" s="29">
        <f>IFERROR(_xlfn.XLOOKUP(B89,'w1'!$B:$B,'w1'!$C:$C),0)</f>
        <v>7</v>
      </c>
      <c r="F89" s="30">
        <f>_xlfn.RANK.EQ(E89,E$3:E$10000,0)</f>
        <v>72</v>
      </c>
      <c r="G89" s="31">
        <f>IFERROR(_xlfn.XLOOKUP(B89,'w1'!$B:$B,'w1'!$F:$F),1)</f>
        <v>0.2722222222222222</v>
      </c>
      <c r="H89" s="30">
        <f>_xlfn.RANK.EQ(G89,G$3:G$10000,1)</f>
        <v>40</v>
      </c>
      <c r="I89" s="30">
        <f>IFERROR(IF(_xlfn.XLOOKUP(B89,'w1'!$B:$B,'w1'!$G:$G)="--",0,_xlfn.XLOOKUP(B89,'w1'!$B:$B,'w1'!$G:$G)),0)</f>
        <v>40</v>
      </c>
      <c r="J89" s="30">
        <f>_xlfn.RANK.EQ(I89,I$3:I$10000,0)</f>
        <v>70</v>
      </c>
      <c r="K89" s="34">
        <f>IFERROR(_xlfn.XLOOKUP(B89,'w2'!$B:$B,'w2'!$C:$C),0)</f>
        <v>0</v>
      </c>
      <c r="L89" s="35">
        <f>_xlfn.RANK.EQ(K89,K$3:K$10000,0)</f>
        <v>73</v>
      </c>
      <c r="M89" s="36">
        <f>IFERROR(_xlfn.XLOOKUP(B89,'w2'!$B:$B,'w2'!$F:$F),1)</f>
        <v>1</v>
      </c>
      <c r="N89" s="35">
        <f>_xlfn.RANK.EQ(M89,M$3:M$10000,1)</f>
        <v>72</v>
      </c>
      <c r="O89" s="35">
        <f>IFERROR(IF(_xlfn.XLOOKUP(B89,'w2'!$B:$B,'w2'!$G:$G)="--",0,_xlfn.XLOOKUP(B89,'w2'!$B:$B,'w2'!$G:$G)),0)</f>
        <v>0</v>
      </c>
      <c r="P89" s="35">
        <f>_xlfn.RANK.EQ(O89,O$3:O$10000,0)</f>
        <v>71</v>
      </c>
      <c r="Q89" s="39">
        <f>IFERROR(_xlfn.XLOOKUP(B89,'w3'!$B:$B,'w3'!$C:$C),0)</f>
        <v>5.3</v>
      </c>
      <c r="R89" s="40">
        <f>_xlfn.RANK.EQ(Q89,Q$3:Q$10000,0)</f>
        <v>78</v>
      </c>
      <c r="S89" s="41">
        <f>IFERROR(_xlfn.XLOOKUP(B89,'w3'!$B:$B,'w3'!$F:$F),1)</f>
        <v>0.27083333333333331</v>
      </c>
      <c r="T89" s="40">
        <f>_xlfn.RANK.EQ(S89,S$3:S$10000,1)</f>
        <v>37</v>
      </c>
      <c r="U89" s="40">
        <f>IFERROR(IF(_xlfn.XLOOKUP(B89,'w3'!$B:$B,'w3'!$G:$G)="--",0,_xlfn.XLOOKUP(B89,'w3'!$B:$B,'w3'!$G:$G)),0)</f>
        <v>36</v>
      </c>
      <c r="V89" s="40">
        <f>_xlfn.RANK.EQ(U89,U$3:U$10000,0)</f>
        <v>72</v>
      </c>
      <c r="W89" s="44">
        <f>IFERROR(_xlfn.XLOOKUP(B89,'w4'!$B:$B,'w4'!$C:$C),0)</f>
        <v>0</v>
      </c>
      <c r="X89" s="45">
        <f>_xlfn.RANK.EQ(W89,W$3:W$10000,0)</f>
        <v>76</v>
      </c>
      <c r="Y89" s="46">
        <f>IFERROR(_xlfn.XLOOKUP(B89,'w4'!$B:$B,'w4'!$F:$F),1)</f>
        <v>1</v>
      </c>
      <c r="Z89" s="45">
        <f>_xlfn.RANK.EQ(Y89,Y$3:Y$10000,1)</f>
        <v>76</v>
      </c>
      <c r="AA89" s="45">
        <f>IFERROR(IF(_xlfn.XLOOKUP(B89,'w4'!$B:$B,'w4'!$G:$G)="--",0,_xlfn.XLOOKUP(B89,'w4'!$B:$B,'w4'!$G:$G)),0)</f>
        <v>0</v>
      </c>
      <c r="AB89" s="45">
        <f>_xlfn.RANK.EQ(AA89,AA$3:AA$10000,0)</f>
        <v>68</v>
      </c>
      <c r="AC89" s="13">
        <f>IFERROR(_xlfn.XLOOKUP(B89,'w5'!$B:$B,'w5'!$C:$C),0)</f>
        <v>5.6</v>
      </c>
      <c r="AD89" s="12">
        <f>_xlfn.RANK.EQ(AC89,AC$3:AC$10000,0)</f>
        <v>74</v>
      </c>
      <c r="AE89" s="14">
        <f>IFERROR(_xlfn.XLOOKUP(B89,'w5'!$B:$B,'w5'!$F:$F),1)</f>
        <v>0.26111111111111113</v>
      </c>
      <c r="AF89" s="12">
        <f>_xlfn.RANK.EQ(AE89,AE$3:AE$10000,1)</f>
        <v>26</v>
      </c>
      <c r="AG89" s="12">
        <f>IFERROR(IF(_xlfn.XLOOKUP(B89,'w5'!$B:$B,'w5'!$G:$G)="--",0,_xlfn.XLOOKUP(B89,'w5'!$B:$B,'w5'!$G:$G)),0)</f>
        <v>39</v>
      </c>
      <c r="AH89" s="12">
        <f>_xlfn.RANK.EQ(AG89,AG$3:AG$10000,0)</f>
        <v>70</v>
      </c>
      <c r="AI89" s="51">
        <f>IFERROR(_xlfn.XLOOKUP(B89,'w6'!$B:$B,'w6'!$C:$C),0)</f>
        <v>0</v>
      </c>
      <c r="AJ89" s="50">
        <f>_xlfn.RANK.EQ(AI89,AI$3:AI$10000,0)</f>
        <v>65</v>
      </c>
      <c r="AK89" s="52">
        <f>IFERROR(_xlfn.XLOOKUP(B89,'w6'!$B:$B,'w6'!$F:$F),1)</f>
        <v>1</v>
      </c>
      <c r="AL89" s="50">
        <f>_xlfn.RANK.EQ(AK89,AK$3:AK$10000,1)</f>
        <v>65</v>
      </c>
      <c r="AM89" s="50">
        <f>IFERROR(IF(_xlfn.XLOOKUP(B89,'w6'!$B:$B,'w6'!$G:$G)="--",0,_xlfn.XLOOKUP(B89,'w6'!$B:$B,'w6'!$G:$G)),0)</f>
        <v>0</v>
      </c>
      <c r="AN89" s="50">
        <f>_xlfn.RANK.EQ(AM89,AM$3:AM$10000,0)</f>
        <v>61</v>
      </c>
      <c r="AO89" s="56">
        <f>IFERROR(_xlfn.XLOOKUP(B89,'w7'!$B:$B,'w7'!$C:$C),0)</f>
        <v>0</v>
      </c>
      <c r="AP89" s="57">
        <f>_xlfn.RANK.EQ(AO89,AO$3:AO$10000,0)</f>
        <v>72</v>
      </c>
      <c r="AQ89" s="58">
        <f>IFERROR(_xlfn.XLOOKUP(B89,'w7'!$B:$B,'w7'!$F:$F),1)</f>
        <v>1</v>
      </c>
      <c r="AR89" s="57">
        <f>_xlfn.RANK.EQ(AQ89,AQ$3:AQ$10000,1)</f>
        <v>72</v>
      </c>
      <c r="AS89" s="57">
        <f>IFERROR(IF(_xlfn.XLOOKUP(B89,'w7'!$B:$B,'w7'!$G:$G)="--",0,_xlfn.XLOOKUP(B89,'w7'!$B:$B,'w7'!$G:$G)),0)</f>
        <v>0</v>
      </c>
      <c r="AT89" s="57">
        <f>_xlfn.RANK.EQ(AS89,AS$3:AS$10000,0)</f>
        <v>69</v>
      </c>
      <c r="AU89" s="62">
        <f>IFERROR(_xlfn.XLOOKUP(B89,'w8'!$B:$B,'w8'!$C:$C),0)</f>
        <v>0</v>
      </c>
      <c r="AV89" s="61">
        <f>_xlfn.RANK.EQ(AU89,AU$3:AU$10000,0)</f>
        <v>73</v>
      </c>
      <c r="AW89" s="63">
        <f>IFERROR(_xlfn.XLOOKUP(B89,'w8'!$B:$B,'w8'!$F:$F),1)</f>
        <v>1</v>
      </c>
      <c r="AX89" s="61">
        <f>_xlfn.RANK.EQ(AW89,AW$3:AW$10000,1)</f>
        <v>73</v>
      </c>
      <c r="AY89" s="61">
        <f>IFERROR(IF(_xlfn.XLOOKUP(B89,'w8'!$B:$B,'w8'!$G:$G)="--",0,_xlfn.XLOOKUP(B89,'w8'!$B:$B,'w8'!$G:$G)),0)</f>
        <v>0</v>
      </c>
      <c r="AZ89" s="61">
        <f>_xlfn.RANK.EQ(AY89,AY$3:AY$10000,0)</f>
        <v>70</v>
      </c>
      <c r="BA89" s="66">
        <f>IFERROR(_xlfn.XLOOKUP(C89,'w9'!$B:$B,'w9'!$C:$C),0)</f>
        <v>0</v>
      </c>
      <c r="BB89" s="67">
        <f>_xlfn.RANK.EQ(BA89,BA$3:BA$10000,0)</f>
        <v>75</v>
      </c>
      <c r="BC89" s="68">
        <f>IFERROR(_xlfn.XLOOKUP(C89,'w9'!$B:$B,'w9'!$F:$F),1)</f>
        <v>1</v>
      </c>
      <c r="BD89" s="67">
        <f>_xlfn.RANK.EQ(BC89,BC$3:BC$10000,1)</f>
        <v>75</v>
      </c>
      <c r="BE89" s="67">
        <f>IFERROR(IF(_xlfn.XLOOKUP(C89,'w9'!$B:$B,'w9'!$G:$G)="--",0,_xlfn.XLOOKUP(C89,'w9'!$B:$B,'w9'!$G:$G)),0)</f>
        <v>0</v>
      </c>
      <c r="BF89" s="67">
        <f>_xlfn.RANK.EQ(BE89,BE$3:BE$10000,0)</f>
        <v>74</v>
      </c>
      <c r="BG89" s="72">
        <f>IFERROR(_xlfn.XLOOKUP(B89,'w10'!$B:$B,'w10'!$C:$C),0)</f>
        <v>10.5</v>
      </c>
      <c r="BH89" s="74">
        <f>_xlfn.RANK.EQ(BG89,BG$3:BG$10000,0)</f>
        <v>63</v>
      </c>
      <c r="BI89" s="75">
        <f>IFERROR(_xlfn.XLOOKUP(B89,'w10'!$B:$B,'w10'!$F:$F),1)</f>
        <v>0.32291666666666669</v>
      </c>
      <c r="BJ89" s="74">
        <f>_xlfn.RANK.EQ(BI89,BI$3:BI$10000,1)</f>
        <v>58</v>
      </c>
      <c r="BK89" s="74">
        <f>IFERROR(IF(_xlfn.XLOOKUP(B89,'w10'!$B:$B,'w10'!$G:$G)="--",0,_xlfn.XLOOKUP(B89,'w10'!$B:$B,'w10'!$G:$G)),0)</f>
        <v>126</v>
      </c>
      <c r="BL89" s="74">
        <f>_xlfn.RANK.EQ(BK89,BK$3:BK$10000,0)</f>
        <v>51</v>
      </c>
      <c r="BM89" s="78">
        <f>IFERROR(_xlfn.XLOOKUP(B89,'w11'!$B:$B,'w11'!$C:$C),0)</f>
        <v>23.4</v>
      </c>
      <c r="BN89" s="80">
        <f>_xlfn.RANK.EQ(BM89,BM$3:BM$10000,0)</f>
        <v>37</v>
      </c>
      <c r="BO89" s="81">
        <f>IFERROR(_xlfn.XLOOKUP(B89,'w11'!$B:$B,'w11'!$F:$F),1)</f>
        <v>0.32083333333333336</v>
      </c>
      <c r="BP89" s="80">
        <f>_xlfn.RANK.EQ(BO89,BO$3:BO$10000,1)</f>
        <v>56</v>
      </c>
      <c r="BQ89" s="80">
        <f>IFERROR(IF(_xlfn.XLOOKUP(B89,'w11'!$B:$B,'w11'!$G:$G)="--",0,_xlfn.XLOOKUP(B89,'w11'!$B:$B,'w11'!$G:$G)),0)</f>
        <v>368</v>
      </c>
      <c r="BR89" s="80">
        <f>_xlfn.RANK.EQ(BQ89,BQ$3:BQ$10000,0)</f>
        <v>22</v>
      </c>
      <c r="BS89" s="83">
        <f>IFERROR(_xlfn.XLOOKUP(B89,'w12'!$B:$B,'w12'!$C:$C),0)</f>
        <v>0</v>
      </c>
      <c r="BT89" s="86">
        <f>_xlfn.RANK.EQ(BS89,BS$3:BS$10000,0)</f>
        <v>76</v>
      </c>
      <c r="BU89" s="87">
        <f>IFERROR(_xlfn.XLOOKUP(B89,'w12'!$B:$B,'w12'!$F:$F),1)</f>
        <v>1</v>
      </c>
      <c r="BV89" s="86">
        <f>_xlfn.RANK.EQ(BU89,BU$3:BU$10000,1)</f>
        <v>76</v>
      </c>
      <c r="BW89" s="86">
        <f>IFERROR(IF(_xlfn.XLOOKUP(B89,'w12'!$B:$B,'w12'!$G:$G)="--",0,_xlfn.XLOOKUP(B89,'w12'!$B:$B,'w12'!$G:$G)),0)</f>
        <v>0</v>
      </c>
      <c r="BX89" s="86">
        <f>_xlfn.RANK.EQ(BW89,BW$3:BW$10000,0)</f>
        <v>73</v>
      </c>
      <c r="BY89" s="89">
        <f>IFERROR(_xlfn.XLOOKUP(B89,'w13'!$B:$B,'w13'!$C:$C),0)</f>
        <v>0</v>
      </c>
      <c r="BZ89" s="92">
        <f>_xlfn.RANK.EQ(BY89,BY$3:BY$10000,0)</f>
        <v>76</v>
      </c>
      <c r="CA89" s="93">
        <f>IFERROR(_xlfn.XLOOKUP(B89,'w13'!$B:$B,'w13'!$F:$F),1)</f>
        <v>1</v>
      </c>
      <c r="CB89" s="92">
        <f>_xlfn.RANK.EQ(CA89,CA$3:CA$10000,1)</f>
        <v>76</v>
      </c>
      <c r="CC89" s="92">
        <f>IFERROR(IF(_xlfn.XLOOKUP(B89,'w13'!$B:$B,'w13'!$G:$G)="--",0,_xlfn.XLOOKUP(B89,'w13'!$B:$B,'w13'!$G:$G)),0)</f>
        <v>0</v>
      </c>
      <c r="CD89" s="92">
        <f>_xlfn.RANK.EQ(CC89,CC$3:CC$10000,0)</f>
        <v>76</v>
      </c>
      <c r="CE89" s="95">
        <f>IFERROR(_xlfn.XLOOKUP(B89,'w14'!$B:$B,'w14'!$C:$C),0)</f>
        <v>0</v>
      </c>
      <c r="CF89" s="98">
        <f>_xlfn.RANK.EQ(CE89,CE$3:CE$10000,0)</f>
        <v>69</v>
      </c>
      <c r="CG89" s="99">
        <f>IFERROR(_xlfn.XLOOKUP(B89,'w14'!$B:$B,'w14'!$F:$F),1)</f>
        <v>1</v>
      </c>
      <c r="CH89" s="98">
        <f>_xlfn.RANK.EQ(CG89,CG$3:CG$10000,1)</f>
        <v>69</v>
      </c>
      <c r="CI89" s="98">
        <f>IFERROR(IF(_xlfn.XLOOKUP(B89,'w14'!$B:$B,'w14'!$G:$G)="--",0,_xlfn.XLOOKUP(B89,'w14'!$B:$B,'w14'!$G:$G)),0)</f>
        <v>0</v>
      </c>
      <c r="CJ89" s="98">
        <f>_xlfn.RANK.EQ(CI89,CI$3:CI$10000,0)</f>
        <v>69</v>
      </c>
      <c r="CK89" s="9">
        <f>_xlfn.RANK.EQ(D89,D$3:D$10000,1)</f>
        <v>87</v>
      </c>
      <c r="CL89" s="26" t="s">
        <v>138</v>
      </c>
      <c r="CM89" s="8">
        <f>SUM(E89,K89,Q89,W89,AC89,AI89,AO89,AU89,BA89,BG89,BM89,BS89,BY89,CE89)</f>
        <v>51.8</v>
      </c>
      <c r="CN89" s="9">
        <f>_xlfn.RANK.EQ(CM89,CM$3:CM$10000)</f>
        <v>87</v>
      </c>
      <c r="CO89" s="15">
        <f>IFERROR(SUM(PRODUCT(E89,G89),PRODUCT(K89,M89),PRODUCT(Q89,S89),PRODUCT(W89,Y89),PRODUCT(AC89,AE89),PRODUCT(AI89,AK89),PRODUCT(AO89,AQ89),PRODUCT(AU89,AW89),PRODUCT(BA89,BC89),PRODUCT(BG89,BI89),PRODUCT(BM89,BO89),PRODUCT(BS89,BU89),PRODUCT(BY89,CA89),PRODUCT(CE89,CG89))/CM89,1)</f>
        <v>0.30311427498927501</v>
      </c>
      <c r="CP89" s="9">
        <f>_xlfn.RANK.EQ(CO89,CO$3:CO$10000,1)</f>
        <v>59</v>
      </c>
      <c r="CQ89" s="9">
        <f>SUM(I89,O89,U89,AA89,AG89,AM89,AS89,AY89,BE89,BK89,BQ89,BW89,CC89,CI89)</f>
        <v>609</v>
      </c>
      <c r="CR89" s="9">
        <f>_xlfn.RANK.EQ(CQ89,CQ$3:CQ$10000)</f>
        <v>84</v>
      </c>
      <c r="CS89" s="23"/>
      <c r="CT89" s="25"/>
      <c r="CU89" s="24">
        <f>_xlfn.STDEV.S(F89,L89,R89,X89,AD89,AJ89,AP89,AV89,BB89,BH89,BN89,BT89,BZ89,CF89)</f>
        <v>10.388338770832512</v>
      </c>
      <c r="CV89" s="21">
        <f>_xlfn.RANK.EQ(CU89,CU$3:CU$10000,1)</f>
        <v>33</v>
      </c>
      <c r="CW89" s="24">
        <f>_xlfn.STDEV.S(H89,N89,T89,Z89,AF89,AL89,AR89,AX89,BD89,BJ89,BP89,BV89,CB89,CH89)</f>
        <v>16.623331941435961</v>
      </c>
      <c r="CX89" s="21">
        <f>_xlfn.RANK.EQ(CW89,CW$3:CW$10000,1)</f>
        <v>62</v>
      </c>
      <c r="CY89" s="24">
        <f>_xlfn.STDEV.S(J89,P89,V89,AB89,AH89,AN89,AT89,AZ89,BF89,BL89,BR89,BX89,CD89,CJ89)</f>
        <v>13.937852641771485</v>
      </c>
      <c r="CZ89" s="21">
        <f>_xlfn.RANK.EQ(CY89,CY$3:CY$10000,1)</f>
        <v>49</v>
      </c>
      <c r="DA89">
        <f>SUM(COUNTIF(E89,"&gt;0"),COUNTIF(K89,"&gt;0"),COUNTIF(Q89,"&gt;0"),COUNTIF(W89,"&gt;0"),COUNTIF(AC89,"&gt;0"),COUNTIF(AI89,"&gt;0"),COUNTIF(AO89,"&gt;0"),COUNTIF(AU89,"&gt;0"),COUNTIF(BA89,"&gt;0"),COUNTIF(BG89,"&gt;0"),COUNTIF(BM89,"&gt;0"),COUNTIF(BS89,"&gt;0"),COUNTIF(BY89,"&gt;0"),COUNTIF(CE89,"&gt;0"))</f>
        <v>5</v>
      </c>
    </row>
    <row r="90" spans="2:105" x14ac:dyDescent="0.3">
      <c r="B90" t="s">
        <v>194</v>
      </c>
      <c r="C90" s="18" t="s">
        <v>201</v>
      </c>
      <c r="D90" s="4">
        <f>CN90*$CN$1+CP90*$CP$1+CR90*$CR$1</f>
        <v>88.25</v>
      </c>
      <c r="E90" s="29">
        <f>IFERROR(_xlfn.XLOOKUP(B90,'w1'!$B:$B,'w1'!$C:$C),0)</f>
        <v>0</v>
      </c>
      <c r="F90" s="30">
        <f>_xlfn.RANK.EQ(E90,E$3:E$10000,0)</f>
        <v>79</v>
      </c>
      <c r="G90" s="31">
        <f>IFERROR(_xlfn.XLOOKUP(B90,'w1'!$B:$B,'w1'!$F:$F),1)</f>
        <v>1</v>
      </c>
      <c r="H90" s="30">
        <f>_xlfn.RANK.EQ(G90,G$3:G$10000,1)</f>
        <v>79</v>
      </c>
      <c r="I90" s="30">
        <f>IFERROR(IF(_xlfn.XLOOKUP(B90,'w1'!$B:$B,'w1'!$G:$G)="--",0,_xlfn.XLOOKUP(B90,'w1'!$B:$B,'w1'!$G:$G)),0)</f>
        <v>0</v>
      </c>
      <c r="J90" s="30">
        <f>_xlfn.RANK.EQ(I90,I$3:I$10000,0)</f>
        <v>77</v>
      </c>
      <c r="K90" s="34">
        <f>IFERROR(_xlfn.XLOOKUP(B90,'w2'!$B:$B,'w2'!$C:$C),0)</f>
        <v>0</v>
      </c>
      <c r="L90" s="35">
        <f>_xlfn.RANK.EQ(K90,K$3:K$10000,0)</f>
        <v>73</v>
      </c>
      <c r="M90" s="36">
        <f>IFERROR(_xlfn.XLOOKUP(B90,'w2'!$B:$B,'w2'!$F:$F),1)</f>
        <v>1</v>
      </c>
      <c r="N90" s="35">
        <f>_xlfn.RANK.EQ(M90,M$3:M$10000,1)</f>
        <v>72</v>
      </c>
      <c r="O90" s="35">
        <f>IFERROR(IF(_xlfn.XLOOKUP(B90,'w2'!$B:$B,'w2'!$G:$G)="--",0,_xlfn.XLOOKUP(B90,'w2'!$B:$B,'w2'!$G:$G)),0)</f>
        <v>0</v>
      </c>
      <c r="P90" s="35">
        <f>_xlfn.RANK.EQ(O90,O$3:O$10000,0)</f>
        <v>71</v>
      </c>
      <c r="Q90" s="39">
        <f>IFERROR(_xlfn.XLOOKUP(B90,'w3'!$B:$B,'w3'!$C:$C),0)</f>
        <v>19.100000000000001</v>
      </c>
      <c r="R90" s="40">
        <f>_xlfn.RANK.EQ(Q90,Q$3:Q$10000,0)</f>
        <v>49</v>
      </c>
      <c r="S90" s="41">
        <f>IFERROR(_xlfn.XLOOKUP(B90,'w3'!$B:$B,'w3'!$F:$F),1)</f>
        <v>0.4909722222222222</v>
      </c>
      <c r="T90" s="40">
        <f>_xlfn.RANK.EQ(S90,S$3:S$10000,1)</f>
        <v>80</v>
      </c>
      <c r="U90" s="40">
        <f>IFERROR(IF(_xlfn.XLOOKUP(B90,'w3'!$B:$B,'w3'!$G:$G)="--",0,_xlfn.XLOOKUP(B90,'w3'!$B:$B,'w3'!$G:$G)),0)</f>
        <v>367</v>
      </c>
      <c r="V90" s="40">
        <f>_xlfn.RANK.EQ(U90,U$3:U$10000,0)</f>
        <v>26</v>
      </c>
      <c r="W90" s="44">
        <f>IFERROR(_xlfn.XLOOKUP(B90,'w4'!$B:$B,'w4'!$C:$C),0)</f>
        <v>0</v>
      </c>
      <c r="X90" s="45">
        <f>_xlfn.RANK.EQ(W90,W$3:W$10000,0)</f>
        <v>76</v>
      </c>
      <c r="Y90" s="46">
        <f>IFERROR(_xlfn.XLOOKUP(B90,'w4'!$B:$B,'w4'!$F:$F),1)</f>
        <v>1</v>
      </c>
      <c r="Z90" s="45">
        <f>_xlfn.RANK.EQ(Y90,Y$3:Y$10000,1)</f>
        <v>76</v>
      </c>
      <c r="AA90" s="45">
        <f>IFERROR(IF(_xlfn.XLOOKUP(B90,'w4'!$B:$B,'w4'!$G:$G)="--",0,_xlfn.XLOOKUP(B90,'w4'!$B:$B,'w4'!$G:$G)),0)</f>
        <v>0</v>
      </c>
      <c r="AB90" s="45">
        <f>_xlfn.RANK.EQ(AA90,AA$3:AA$10000,0)</f>
        <v>68</v>
      </c>
      <c r="AC90" s="13">
        <f>IFERROR(_xlfn.XLOOKUP(B90,'w5'!$B:$B,'w5'!$C:$C),0)</f>
        <v>0</v>
      </c>
      <c r="AD90" s="12">
        <f>_xlfn.RANK.EQ(AC90,AC$3:AC$10000,0)</f>
        <v>77</v>
      </c>
      <c r="AE90" s="14">
        <f>IFERROR(_xlfn.XLOOKUP(B90,'w5'!$B:$B,'w5'!$F:$F),1)</f>
        <v>1</v>
      </c>
      <c r="AF90" s="12">
        <f>_xlfn.RANK.EQ(AE90,AE$3:AE$10000,1)</f>
        <v>76</v>
      </c>
      <c r="AG90" s="12">
        <f>IFERROR(IF(_xlfn.XLOOKUP(B90,'w5'!$B:$B,'w5'!$G:$G)="--",0,_xlfn.XLOOKUP(B90,'w5'!$B:$B,'w5'!$G:$G)),0)</f>
        <v>0</v>
      </c>
      <c r="AH90" s="12">
        <f>_xlfn.RANK.EQ(AG90,AG$3:AG$10000,0)</f>
        <v>73</v>
      </c>
      <c r="AI90" s="51">
        <f>IFERROR(_xlfn.XLOOKUP(B90,'w6'!$B:$B,'w6'!$C:$C),0)</f>
        <v>0</v>
      </c>
      <c r="AJ90" s="50">
        <f>_xlfn.RANK.EQ(AI90,AI$3:AI$10000,0)</f>
        <v>65</v>
      </c>
      <c r="AK90" s="52">
        <f>IFERROR(_xlfn.XLOOKUP(B90,'w6'!$B:$B,'w6'!$F:$F),1)</f>
        <v>1</v>
      </c>
      <c r="AL90" s="50">
        <f>_xlfn.RANK.EQ(AK90,AK$3:AK$10000,1)</f>
        <v>65</v>
      </c>
      <c r="AM90" s="50">
        <f>IFERROR(IF(_xlfn.XLOOKUP(B90,'w6'!$B:$B,'w6'!$G:$G)="--",0,_xlfn.XLOOKUP(B90,'w6'!$B:$B,'w6'!$G:$G)),0)</f>
        <v>0</v>
      </c>
      <c r="AN90" s="50">
        <f>_xlfn.RANK.EQ(AM90,AM$3:AM$10000,0)</f>
        <v>61</v>
      </c>
      <c r="AO90" s="56">
        <f>IFERROR(_xlfn.XLOOKUP(B90,'w7'!$B:$B,'w7'!$C:$C),0)</f>
        <v>7.4</v>
      </c>
      <c r="AP90" s="57">
        <f>_xlfn.RANK.EQ(AO90,AO$3:AO$10000,0)</f>
        <v>61</v>
      </c>
      <c r="AQ90" s="58">
        <f>IFERROR(_xlfn.XLOOKUP(B90,'w7'!$B:$B,'w7'!$F:$F),1)</f>
        <v>0.32222222222222224</v>
      </c>
      <c r="AR90" s="57">
        <f>_xlfn.RANK.EQ(AQ90,AQ$3:AQ$10000,1)</f>
        <v>48</v>
      </c>
      <c r="AS90" s="57">
        <f>IFERROR(IF(_xlfn.XLOOKUP(B90,'w7'!$B:$B,'w7'!$G:$G)="--",0,_xlfn.XLOOKUP(B90,'w7'!$B:$B,'w7'!$G:$G)),0)</f>
        <v>12</v>
      </c>
      <c r="AT90" s="57">
        <f>_xlfn.RANK.EQ(AS90,AS$3:AS$10000,0)</f>
        <v>67</v>
      </c>
      <c r="AU90" s="62">
        <f>IFERROR(_xlfn.XLOOKUP(B90,'w8'!$B:$B,'w8'!$C:$C),0)</f>
        <v>5.7</v>
      </c>
      <c r="AV90" s="61">
        <f>_xlfn.RANK.EQ(AU90,AU$3:AU$10000,0)</f>
        <v>67</v>
      </c>
      <c r="AW90" s="63">
        <f>IFERROR(_xlfn.XLOOKUP(B90,'w8'!$B:$B,'w8'!$F:$F),1)</f>
        <v>0.48125000000000001</v>
      </c>
      <c r="AX90" s="61">
        <f>_xlfn.RANK.EQ(AW90,AW$3:AW$10000,1)</f>
        <v>70</v>
      </c>
      <c r="AY90" s="61">
        <f>IFERROR(IF(_xlfn.XLOOKUP(B90,'w8'!$B:$B,'w8'!$G:$G)="--",0,_xlfn.XLOOKUP(B90,'w8'!$B:$B,'w8'!$G:$G)),0)</f>
        <v>10</v>
      </c>
      <c r="AZ90" s="61">
        <f>_xlfn.RANK.EQ(AY90,AY$3:AY$10000,0)</f>
        <v>69</v>
      </c>
      <c r="BA90" s="66">
        <f>IFERROR(_xlfn.XLOOKUP(C90,'w9'!$B:$B,'w9'!$C:$C),0)</f>
        <v>0</v>
      </c>
      <c r="BB90" s="67">
        <f>_xlfn.RANK.EQ(BA90,BA$3:BA$10000,0)</f>
        <v>75</v>
      </c>
      <c r="BC90" s="68">
        <f>IFERROR(_xlfn.XLOOKUP(C90,'w9'!$B:$B,'w9'!$F:$F),1)</f>
        <v>1</v>
      </c>
      <c r="BD90" s="67">
        <f>_xlfn.RANK.EQ(BC90,BC$3:BC$10000,1)</f>
        <v>75</v>
      </c>
      <c r="BE90" s="67">
        <f>IFERROR(IF(_xlfn.XLOOKUP(C90,'w9'!$B:$B,'w9'!$G:$G)="--",0,_xlfn.XLOOKUP(C90,'w9'!$B:$B,'w9'!$G:$G)),0)</f>
        <v>0</v>
      </c>
      <c r="BF90" s="67">
        <f>_xlfn.RANK.EQ(BE90,BE$3:BE$10000,0)</f>
        <v>74</v>
      </c>
      <c r="BG90" s="72">
        <f>IFERROR(_xlfn.XLOOKUP(B90,'w10'!$B:$B,'w10'!$C:$C),0)</f>
        <v>0</v>
      </c>
      <c r="BH90" s="74">
        <f>_xlfn.RANK.EQ(BG90,BG$3:BG$10000,0)</f>
        <v>77</v>
      </c>
      <c r="BI90" s="75">
        <f>IFERROR(_xlfn.XLOOKUP(B90,'w10'!$B:$B,'w10'!$F:$F),1)</f>
        <v>1</v>
      </c>
      <c r="BJ90" s="74">
        <f>_xlfn.RANK.EQ(BI90,BI$3:BI$10000,1)</f>
        <v>76</v>
      </c>
      <c r="BK90" s="74">
        <f>IFERROR(IF(_xlfn.XLOOKUP(B90,'w10'!$B:$B,'w10'!$G:$G)="--",0,_xlfn.XLOOKUP(B90,'w10'!$B:$B,'w10'!$G:$G)),0)</f>
        <v>0</v>
      </c>
      <c r="BL90" s="74">
        <f>_xlfn.RANK.EQ(BK90,BK$3:BK$10000,0)</f>
        <v>76</v>
      </c>
      <c r="BM90" s="78">
        <f>IFERROR(_xlfn.XLOOKUP(B90,'w11'!$B:$B,'w11'!$C:$C),0)</f>
        <v>0</v>
      </c>
      <c r="BN90" s="80">
        <f>_xlfn.RANK.EQ(BM90,BM$3:BM$10000,0)</f>
        <v>76</v>
      </c>
      <c r="BO90" s="81">
        <f>IFERROR(_xlfn.XLOOKUP(B90,'w11'!$B:$B,'w11'!$F:$F),1)</f>
        <v>1</v>
      </c>
      <c r="BP90" s="80">
        <f>_xlfn.RANK.EQ(BO90,BO$3:BO$10000,1)</f>
        <v>76</v>
      </c>
      <c r="BQ90" s="80">
        <f>IFERROR(IF(_xlfn.XLOOKUP(B90,'w11'!$B:$B,'w11'!$G:$G)="--",0,_xlfn.XLOOKUP(B90,'w11'!$B:$B,'w11'!$G:$G)),0)</f>
        <v>0</v>
      </c>
      <c r="BR90" s="80">
        <f>_xlfn.RANK.EQ(BQ90,BQ$3:BQ$10000,0)</f>
        <v>75</v>
      </c>
      <c r="BS90" s="83">
        <f>IFERROR(_xlfn.XLOOKUP(B90,'w12'!$B:$B,'w12'!$C:$C),0)</f>
        <v>0</v>
      </c>
      <c r="BT90" s="86">
        <f>_xlfn.RANK.EQ(BS90,BS$3:BS$10000,0)</f>
        <v>76</v>
      </c>
      <c r="BU90" s="87">
        <f>IFERROR(_xlfn.XLOOKUP(B90,'w12'!$B:$B,'w12'!$F:$F),1)</f>
        <v>1</v>
      </c>
      <c r="BV90" s="86">
        <f>_xlfn.RANK.EQ(BU90,BU$3:BU$10000,1)</f>
        <v>76</v>
      </c>
      <c r="BW90" s="86">
        <f>IFERROR(IF(_xlfn.XLOOKUP(B90,'w12'!$B:$B,'w12'!$G:$G)="--",0,_xlfn.XLOOKUP(B90,'w12'!$B:$B,'w12'!$G:$G)),0)</f>
        <v>0</v>
      </c>
      <c r="BX90" s="86">
        <f>_xlfn.RANK.EQ(BW90,BW$3:BW$10000,0)</f>
        <v>73</v>
      </c>
      <c r="BY90" s="89">
        <f>IFERROR(_xlfn.XLOOKUP(B90,'w13'!$B:$B,'w13'!$C:$C),0)</f>
        <v>9.8000000000000007</v>
      </c>
      <c r="BZ90" s="92">
        <f>_xlfn.RANK.EQ(BY90,BY$3:BY$10000,0)</f>
        <v>65</v>
      </c>
      <c r="CA90" s="93">
        <f>IFERROR(_xlfn.XLOOKUP(B90,'w13'!$B:$B,'w13'!$F:$F),1)</f>
        <v>0.43611111111111112</v>
      </c>
      <c r="CB90" s="92">
        <f>_xlfn.RANK.EQ(CA90,CA$3:CA$10000,1)</f>
        <v>71</v>
      </c>
      <c r="CC90" s="92">
        <f>IFERROR(IF(_xlfn.XLOOKUP(B90,'w13'!$B:$B,'w13'!$G:$G)="--",0,_xlfn.XLOOKUP(B90,'w13'!$B:$B,'w13'!$G:$G)),0)</f>
        <v>43</v>
      </c>
      <c r="CD90" s="92">
        <f>_xlfn.RANK.EQ(CC90,CC$3:CC$10000,0)</f>
        <v>68</v>
      </c>
      <c r="CE90" s="95">
        <f>IFERROR(_xlfn.XLOOKUP(B90,'w14'!$B:$B,'w14'!$C:$C),0)</f>
        <v>0</v>
      </c>
      <c r="CF90" s="98">
        <f>_xlfn.RANK.EQ(CE90,CE$3:CE$10000,0)</f>
        <v>69</v>
      </c>
      <c r="CG90" s="99">
        <f>IFERROR(_xlfn.XLOOKUP(B90,'w14'!$B:$B,'w14'!$F:$F),1)</f>
        <v>1</v>
      </c>
      <c r="CH90" s="98">
        <f>_xlfn.RANK.EQ(CG90,CG$3:CG$10000,1)</f>
        <v>69</v>
      </c>
      <c r="CI90" s="98">
        <f>IFERROR(IF(_xlfn.XLOOKUP(B90,'w14'!$B:$B,'w14'!$G:$G)="--",0,_xlfn.XLOOKUP(B90,'w14'!$B:$B,'w14'!$G:$G)),0)</f>
        <v>0</v>
      </c>
      <c r="CJ90" s="98">
        <f>_xlfn.RANK.EQ(CI90,CI$3:CI$10000,0)</f>
        <v>69</v>
      </c>
      <c r="CK90" s="9">
        <f>_xlfn.RANK.EQ(D90,D$3:D$10000,1)</f>
        <v>88</v>
      </c>
      <c r="CL90" s="26" t="s">
        <v>201</v>
      </c>
      <c r="CM90" s="8">
        <f>SUM(E90,K90,Q90,W90,AC90,AI90,AO90,AU90,BA90,BG90,BM90,BS90,BY90,CE90)</f>
        <v>42</v>
      </c>
      <c r="CN90" s="9">
        <f>_xlfn.RANK.EQ(CM90,CM$3:CM$10000)</f>
        <v>88</v>
      </c>
      <c r="CO90" s="15">
        <f>IFERROR(SUM(PRODUCT(E90,G90),PRODUCT(K90,M90),PRODUCT(Q90,S90),PRODUCT(W90,Y90),PRODUCT(AC90,AE90),PRODUCT(AI90,AK90),PRODUCT(AO90,AQ90),PRODUCT(AU90,AW90),PRODUCT(BA90,BC90),PRODUCT(BG90,BI90),PRODUCT(BM90,BO90),PRODUCT(BS90,BU90),PRODUCT(BY90,CA90),PRODUCT(CE90,CG90))/CM90,1)</f>
        <v>0.44711970899470899</v>
      </c>
      <c r="CP90" s="9">
        <f>_xlfn.RANK.EQ(CO90,CO$3:CO$10000,1)</f>
        <v>98</v>
      </c>
      <c r="CQ90" s="9">
        <f>SUM(I90,O90,U90,AA90,AG90,AM90,AS90,AY90,BE90,BK90,BQ90,BW90,CC90,CI90)</f>
        <v>432</v>
      </c>
      <c r="CR90" s="9">
        <f>_xlfn.RANK.EQ(CQ90,CQ$3:CQ$10000)</f>
        <v>88</v>
      </c>
      <c r="CS90" s="23"/>
      <c r="CT90" s="25"/>
      <c r="CU90" s="24">
        <f>_xlfn.STDEV.S(F90,L90,R90,X90,AD90,AJ90,AP90,AV90,BB90,BH90,BN90,BT90,BZ90,CF90)</f>
        <v>8.3261140890679695</v>
      </c>
      <c r="CV90" s="21">
        <f>_xlfn.RANK.EQ(CU90,CU$3:CU$10000,1)</f>
        <v>27</v>
      </c>
      <c r="CW90" s="24">
        <f>_xlfn.STDEV.S(H90,N90,T90,Z90,AF90,AL90,AR90,AX90,BD90,BJ90,BP90,BV90,CB90,CH90)</f>
        <v>8.0428112738527382</v>
      </c>
      <c r="CX90" s="21">
        <f>_xlfn.RANK.EQ(CW90,CW$3:CW$10000,1)</f>
        <v>16</v>
      </c>
      <c r="CY90" s="24">
        <f>_xlfn.STDEV.S(J90,P90,V90,AB90,AH90,AN90,AT90,AZ90,BF90,BL90,BR90,BX90,CD90,CJ90)</f>
        <v>12.719501337934362</v>
      </c>
      <c r="CZ90" s="21">
        <f>_xlfn.RANK.EQ(CY90,CY$3:CY$10000,1)</f>
        <v>40</v>
      </c>
      <c r="DA90">
        <f>SUM(COUNTIF(E90,"&gt;0"),COUNTIF(K90,"&gt;0"),COUNTIF(Q90,"&gt;0"),COUNTIF(W90,"&gt;0"),COUNTIF(AC90,"&gt;0"),COUNTIF(AI90,"&gt;0"),COUNTIF(AO90,"&gt;0"),COUNTIF(AU90,"&gt;0"),COUNTIF(BA90,"&gt;0"),COUNTIF(BG90,"&gt;0"),COUNTIF(BM90,"&gt;0"),COUNTIF(BS90,"&gt;0"),COUNTIF(BY90,"&gt;0"),COUNTIF(CE90,"&gt;0"))</f>
        <v>4</v>
      </c>
    </row>
    <row r="91" spans="2:105" x14ac:dyDescent="0.3">
      <c r="B91" t="s">
        <v>196</v>
      </c>
      <c r="C91" s="18" t="s">
        <v>203</v>
      </c>
      <c r="D91" s="4">
        <f>CN91*$CN$1+CP91*$CP$1+CR91*$CR$1</f>
        <v>89.15</v>
      </c>
      <c r="E91" s="29">
        <f>IFERROR(_xlfn.XLOOKUP(B91,'w1'!$B:$B,'w1'!$C:$C),0)</f>
        <v>0</v>
      </c>
      <c r="F91" s="30">
        <f>_xlfn.RANK.EQ(E91,E$3:E$10000,0)</f>
        <v>79</v>
      </c>
      <c r="G91" s="31">
        <f>IFERROR(_xlfn.XLOOKUP(B91,'w1'!$B:$B,'w1'!$F:$F),1)</f>
        <v>1</v>
      </c>
      <c r="H91" s="30">
        <f>_xlfn.RANK.EQ(G91,G$3:G$10000,1)</f>
        <v>79</v>
      </c>
      <c r="I91" s="30">
        <f>IFERROR(IF(_xlfn.XLOOKUP(B91,'w1'!$B:$B,'w1'!$G:$G)="--",0,_xlfn.XLOOKUP(B91,'w1'!$B:$B,'w1'!$G:$G)),0)</f>
        <v>0</v>
      </c>
      <c r="J91" s="30">
        <f>_xlfn.RANK.EQ(I91,I$3:I$10000,0)</f>
        <v>77</v>
      </c>
      <c r="K91" s="34">
        <f>IFERROR(_xlfn.XLOOKUP(B91,'w2'!$B:$B,'w2'!$C:$C),0)</f>
        <v>0</v>
      </c>
      <c r="L91" s="35">
        <f>_xlfn.RANK.EQ(K91,K$3:K$10000,0)</f>
        <v>73</v>
      </c>
      <c r="M91" s="36">
        <f>IFERROR(_xlfn.XLOOKUP(B91,'w2'!$B:$B,'w2'!$F:$F),1)</f>
        <v>1</v>
      </c>
      <c r="N91" s="35">
        <f>_xlfn.RANK.EQ(M91,M$3:M$10000,1)</f>
        <v>72</v>
      </c>
      <c r="O91" s="35">
        <f>IFERROR(IF(_xlfn.XLOOKUP(B91,'w2'!$B:$B,'w2'!$G:$G)="--",0,_xlfn.XLOOKUP(B91,'w2'!$B:$B,'w2'!$G:$G)),0)</f>
        <v>0</v>
      </c>
      <c r="P91" s="35">
        <f>_xlfn.RANK.EQ(O91,O$3:O$10000,0)</f>
        <v>71</v>
      </c>
      <c r="Q91" s="39">
        <f>IFERROR(_xlfn.XLOOKUP(B91,'w3'!$B:$B,'w3'!$C:$C),0)</f>
        <v>10.1</v>
      </c>
      <c r="R91" s="40">
        <f>_xlfn.RANK.EQ(Q91,Q$3:Q$10000,0)</f>
        <v>66</v>
      </c>
      <c r="S91" s="41">
        <f>IFERROR(_xlfn.XLOOKUP(B91,'w3'!$B:$B,'w3'!$F:$F),1)</f>
        <v>0.34166666666666667</v>
      </c>
      <c r="T91" s="40">
        <f>_xlfn.RANK.EQ(S91,S$3:S$10000,1)</f>
        <v>68</v>
      </c>
      <c r="U91" s="40">
        <f>IFERROR(IF(_xlfn.XLOOKUP(B91,'w3'!$B:$B,'w3'!$G:$G)="--",0,_xlfn.XLOOKUP(B91,'w3'!$B:$B,'w3'!$G:$G)),0)</f>
        <v>119</v>
      </c>
      <c r="V91" s="40">
        <f>_xlfn.RANK.EQ(U91,U$3:U$10000,0)</f>
        <v>53</v>
      </c>
      <c r="W91" s="44">
        <f>IFERROR(_xlfn.XLOOKUP(B91,'w4'!$B:$B,'w4'!$C:$C),0)</f>
        <v>0</v>
      </c>
      <c r="X91" s="45">
        <f>_xlfn.RANK.EQ(W91,W$3:W$10000,0)</f>
        <v>76</v>
      </c>
      <c r="Y91" s="46">
        <f>IFERROR(_xlfn.XLOOKUP(B91,'w4'!$B:$B,'w4'!$F:$F),1)</f>
        <v>1</v>
      </c>
      <c r="Z91" s="45">
        <f>_xlfn.RANK.EQ(Y91,Y$3:Y$10000,1)</f>
        <v>76</v>
      </c>
      <c r="AA91" s="45">
        <f>IFERROR(IF(_xlfn.XLOOKUP(B91,'w4'!$B:$B,'w4'!$G:$G)="--",0,_xlfn.XLOOKUP(B91,'w4'!$B:$B,'w4'!$G:$G)),0)</f>
        <v>0</v>
      </c>
      <c r="AB91" s="45">
        <f>_xlfn.RANK.EQ(AA91,AA$3:AA$10000,0)</f>
        <v>68</v>
      </c>
      <c r="AC91" s="13">
        <f>IFERROR(_xlfn.XLOOKUP(B91,'w5'!$B:$B,'w5'!$C:$C),0)</f>
        <v>0</v>
      </c>
      <c r="AD91" s="12">
        <f>_xlfn.RANK.EQ(AC91,AC$3:AC$10000,0)</f>
        <v>77</v>
      </c>
      <c r="AE91" s="14">
        <f>IFERROR(_xlfn.XLOOKUP(B91,'w5'!$B:$B,'w5'!$F:$F),1)</f>
        <v>1</v>
      </c>
      <c r="AF91" s="12">
        <f>_xlfn.RANK.EQ(AE91,AE$3:AE$10000,1)</f>
        <v>76</v>
      </c>
      <c r="AG91" s="12">
        <f>IFERROR(IF(_xlfn.XLOOKUP(B91,'w5'!$B:$B,'w5'!$G:$G)="--",0,_xlfn.XLOOKUP(B91,'w5'!$B:$B,'w5'!$G:$G)),0)</f>
        <v>0</v>
      </c>
      <c r="AH91" s="12">
        <f>_xlfn.RANK.EQ(AG91,AG$3:AG$10000,0)</f>
        <v>73</v>
      </c>
      <c r="AI91" s="51">
        <f>IFERROR(_xlfn.XLOOKUP(B91,'w6'!$B:$B,'w6'!$C:$C),0)</f>
        <v>0</v>
      </c>
      <c r="AJ91" s="50">
        <f>_xlfn.RANK.EQ(AI91,AI$3:AI$10000,0)</f>
        <v>65</v>
      </c>
      <c r="AK91" s="52">
        <f>IFERROR(_xlfn.XLOOKUP(B91,'w6'!$B:$B,'w6'!$F:$F),1)</f>
        <v>1</v>
      </c>
      <c r="AL91" s="50">
        <f>_xlfn.RANK.EQ(AK91,AK$3:AK$10000,1)</f>
        <v>65</v>
      </c>
      <c r="AM91" s="50">
        <f>IFERROR(IF(_xlfn.XLOOKUP(B91,'w6'!$B:$B,'w6'!$G:$G)="--",0,_xlfn.XLOOKUP(B91,'w6'!$B:$B,'w6'!$G:$G)),0)</f>
        <v>0</v>
      </c>
      <c r="AN91" s="50">
        <f>_xlfn.RANK.EQ(AM91,AM$3:AM$10000,0)</f>
        <v>61</v>
      </c>
      <c r="AO91" s="56">
        <f>IFERROR(_xlfn.XLOOKUP(B91,'w7'!$B:$B,'w7'!$C:$C),0)</f>
        <v>0</v>
      </c>
      <c r="AP91" s="57">
        <f>_xlfn.RANK.EQ(AO91,AO$3:AO$10000,0)</f>
        <v>72</v>
      </c>
      <c r="AQ91" s="58">
        <f>IFERROR(_xlfn.XLOOKUP(B91,'w7'!$B:$B,'w7'!$F:$F),1)</f>
        <v>1</v>
      </c>
      <c r="AR91" s="57">
        <f>_xlfn.RANK.EQ(AQ91,AQ$3:AQ$10000,1)</f>
        <v>72</v>
      </c>
      <c r="AS91" s="57">
        <f>IFERROR(IF(_xlfn.XLOOKUP(B91,'w7'!$B:$B,'w7'!$G:$G)="--",0,_xlfn.XLOOKUP(B91,'w7'!$B:$B,'w7'!$G:$G)),0)</f>
        <v>0</v>
      </c>
      <c r="AT91" s="57">
        <f>_xlfn.RANK.EQ(AS91,AS$3:AS$10000,0)</f>
        <v>69</v>
      </c>
      <c r="AU91" s="62">
        <f>IFERROR(_xlfn.XLOOKUP(B91,'w8'!$B:$B,'w8'!$C:$C),0)</f>
        <v>0</v>
      </c>
      <c r="AV91" s="61">
        <f>_xlfn.RANK.EQ(AU91,AU$3:AU$10000,0)</f>
        <v>73</v>
      </c>
      <c r="AW91" s="63">
        <f>IFERROR(_xlfn.XLOOKUP(B91,'w8'!$B:$B,'w8'!$F:$F),1)</f>
        <v>1</v>
      </c>
      <c r="AX91" s="61">
        <f>_xlfn.RANK.EQ(AW91,AW$3:AW$10000,1)</f>
        <v>73</v>
      </c>
      <c r="AY91" s="61">
        <f>IFERROR(IF(_xlfn.XLOOKUP(B91,'w8'!$B:$B,'w8'!$G:$G)="--",0,_xlfn.XLOOKUP(B91,'w8'!$B:$B,'w8'!$G:$G)),0)</f>
        <v>0</v>
      </c>
      <c r="AZ91" s="61">
        <f>_xlfn.RANK.EQ(AY91,AY$3:AY$10000,0)</f>
        <v>70</v>
      </c>
      <c r="BA91" s="66">
        <f>IFERROR(_xlfn.XLOOKUP(C91,'w9'!$B:$B,'w9'!$C:$C),0)</f>
        <v>0</v>
      </c>
      <c r="BB91" s="67">
        <f>_xlfn.RANK.EQ(BA91,BA$3:BA$10000,0)</f>
        <v>75</v>
      </c>
      <c r="BC91" s="68">
        <f>IFERROR(_xlfn.XLOOKUP(C91,'w9'!$B:$B,'w9'!$F:$F),1)</f>
        <v>1</v>
      </c>
      <c r="BD91" s="67">
        <f>_xlfn.RANK.EQ(BC91,BC$3:BC$10000,1)</f>
        <v>75</v>
      </c>
      <c r="BE91" s="67">
        <f>IFERROR(IF(_xlfn.XLOOKUP(C91,'w9'!$B:$B,'w9'!$G:$G)="--",0,_xlfn.XLOOKUP(C91,'w9'!$B:$B,'w9'!$G:$G)),0)</f>
        <v>0</v>
      </c>
      <c r="BF91" s="67">
        <f>_xlfn.RANK.EQ(BE91,BE$3:BE$10000,0)</f>
        <v>74</v>
      </c>
      <c r="BG91" s="72">
        <f>IFERROR(_xlfn.XLOOKUP(B91,'w10'!$B:$B,'w10'!$C:$C),0)</f>
        <v>0</v>
      </c>
      <c r="BH91" s="74">
        <f>_xlfn.RANK.EQ(BG91,BG$3:BG$10000,0)</f>
        <v>77</v>
      </c>
      <c r="BI91" s="75">
        <f>IFERROR(_xlfn.XLOOKUP(B91,'w10'!$B:$B,'w10'!$F:$F),1)</f>
        <v>1</v>
      </c>
      <c r="BJ91" s="74">
        <f>_xlfn.RANK.EQ(BI91,BI$3:BI$10000,1)</f>
        <v>76</v>
      </c>
      <c r="BK91" s="74">
        <f>IFERROR(IF(_xlfn.XLOOKUP(B91,'w10'!$B:$B,'w10'!$G:$G)="--",0,_xlfn.XLOOKUP(B91,'w10'!$B:$B,'w10'!$G:$G)),0)</f>
        <v>0</v>
      </c>
      <c r="BL91" s="74">
        <f>_xlfn.RANK.EQ(BK91,BK$3:BK$10000,0)</f>
        <v>76</v>
      </c>
      <c r="BM91" s="78">
        <f>IFERROR(_xlfn.XLOOKUP(B91,'w11'!$B:$B,'w11'!$C:$C),0)</f>
        <v>13.3</v>
      </c>
      <c r="BN91" s="80">
        <f>_xlfn.RANK.EQ(BM91,BM$3:BM$10000,0)</f>
        <v>55</v>
      </c>
      <c r="BO91" s="81">
        <f>IFERROR(_xlfn.XLOOKUP(B91,'w11'!$B:$B,'w11'!$F:$F),1)</f>
        <v>0.34375</v>
      </c>
      <c r="BP91" s="80">
        <f>_xlfn.RANK.EQ(BO91,BO$3:BO$10000,1)</f>
        <v>63</v>
      </c>
      <c r="BQ91" s="80">
        <f>IFERROR(IF(_xlfn.XLOOKUP(B91,'w11'!$B:$B,'w11'!$G:$G)="--",0,_xlfn.XLOOKUP(B91,'w11'!$B:$B,'w11'!$G:$G)),0)</f>
        <v>528</v>
      </c>
      <c r="BR91" s="80">
        <f>_xlfn.RANK.EQ(BQ91,BQ$3:BQ$10000,0)</f>
        <v>17</v>
      </c>
      <c r="BS91" s="83">
        <f>IFERROR(_xlfn.XLOOKUP(B91,'w12'!$B:$B,'w12'!$C:$C),0)</f>
        <v>12</v>
      </c>
      <c r="BT91" s="86">
        <f>_xlfn.RANK.EQ(BS91,BS$3:BS$10000,0)</f>
        <v>53</v>
      </c>
      <c r="BU91" s="87">
        <f>IFERROR(_xlfn.XLOOKUP(B91,'w12'!$B:$B,'w12'!$F:$F),1)</f>
        <v>0.26250000000000001</v>
      </c>
      <c r="BV91" s="86">
        <f>_xlfn.RANK.EQ(BU91,BU$3:BU$10000,1)</f>
        <v>28</v>
      </c>
      <c r="BW91" s="86">
        <f>IFERROR(IF(_xlfn.XLOOKUP(B91,'w12'!$B:$B,'w12'!$G:$G)="--",0,_xlfn.XLOOKUP(B91,'w12'!$B:$B,'w12'!$G:$G)),0)</f>
        <v>137</v>
      </c>
      <c r="BX91" s="86">
        <f>_xlfn.RANK.EQ(BW91,BW$3:BW$10000,0)</f>
        <v>49</v>
      </c>
      <c r="BY91" s="89">
        <f>IFERROR(_xlfn.XLOOKUP(B91,'w13'!$B:$B,'w13'!$C:$C),0)</f>
        <v>0</v>
      </c>
      <c r="BZ91" s="92">
        <f>_xlfn.RANK.EQ(BY91,BY$3:BY$10000,0)</f>
        <v>76</v>
      </c>
      <c r="CA91" s="93">
        <f>IFERROR(_xlfn.XLOOKUP(B91,'w13'!$B:$B,'w13'!$F:$F),1)</f>
        <v>1</v>
      </c>
      <c r="CB91" s="92">
        <f>_xlfn.RANK.EQ(CA91,CA$3:CA$10000,1)</f>
        <v>76</v>
      </c>
      <c r="CC91" s="92">
        <f>IFERROR(IF(_xlfn.XLOOKUP(B91,'w13'!$B:$B,'w13'!$G:$G)="--",0,_xlfn.XLOOKUP(B91,'w13'!$B:$B,'w13'!$G:$G)),0)</f>
        <v>0</v>
      </c>
      <c r="CD91" s="92">
        <f>_xlfn.RANK.EQ(CC91,CC$3:CC$10000,0)</f>
        <v>76</v>
      </c>
      <c r="CE91" s="95">
        <f>IFERROR(_xlfn.XLOOKUP(B91,'w14'!$B:$B,'w14'!$C:$C),0)</f>
        <v>0</v>
      </c>
      <c r="CF91" s="98">
        <f>_xlfn.RANK.EQ(CE91,CE$3:CE$10000,0)</f>
        <v>69</v>
      </c>
      <c r="CG91" s="99">
        <f>IFERROR(_xlfn.XLOOKUP(B91,'w14'!$B:$B,'w14'!$F:$F),1)</f>
        <v>1</v>
      </c>
      <c r="CH91" s="98">
        <f>_xlfn.RANK.EQ(CG91,CG$3:CG$10000,1)</f>
        <v>69</v>
      </c>
      <c r="CI91" s="98">
        <f>IFERROR(IF(_xlfn.XLOOKUP(B91,'w14'!$B:$B,'w14'!$G:$G)="--",0,_xlfn.XLOOKUP(B91,'w14'!$B:$B,'w14'!$G:$G)),0)</f>
        <v>0</v>
      </c>
      <c r="CJ91" s="98">
        <f>_xlfn.RANK.EQ(CI91,CI$3:CI$10000,0)</f>
        <v>69</v>
      </c>
      <c r="CK91" s="9">
        <f>_xlfn.RANK.EQ(D91,D$3:D$10000,1)</f>
        <v>89</v>
      </c>
      <c r="CL91" s="26" t="s">
        <v>203</v>
      </c>
      <c r="CM91" s="8">
        <f>SUM(E91,K91,Q91,W91,AC91,AI91,AO91,AU91,BA91,BG91,BM91,BS91,BY91,CE91)</f>
        <v>35.4</v>
      </c>
      <c r="CN91" s="9">
        <f>_xlfn.RANK.EQ(CM91,CM$3:CM$10000)</f>
        <v>90</v>
      </c>
      <c r="CO91" s="15">
        <f>IFERROR(SUM(PRODUCT(E91,G91),PRODUCT(K91,M91),PRODUCT(Q91,S91),PRODUCT(W91,Y91),PRODUCT(AC91,AE91),PRODUCT(AI91,AK91),PRODUCT(AO91,AQ91),PRODUCT(AU91,AW91),PRODUCT(BA91,BC91),PRODUCT(BG91,BI91),PRODUCT(BM91,BO91),PRODUCT(BS91,BU91),PRODUCT(BY91,CA91),PRODUCT(CE91,CG91))/CM91,1)</f>
        <v>0.31561322975517897</v>
      </c>
      <c r="CP91" s="9">
        <f>_xlfn.RANK.EQ(CO91,CO$3:CO$10000,1)</f>
        <v>66</v>
      </c>
      <c r="CQ91" s="9">
        <f>SUM(I91,O91,U91,AA91,AG91,AM91,AS91,AY91,BE91,BK91,BQ91,BW91,CC91,CI91)</f>
        <v>784</v>
      </c>
      <c r="CR91" s="9">
        <f>_xlfn.RANK.EQ(CQ91,CQ$3:CQ$10000)</f>
        <v>80</v>
      </c>
      <c r="CS91" s="23"/>
      <c r="CT91" s="25"/>
      <c r="CU91" s="24">
        <f>_xlfn.STDEV.S(F91,L91,R91,X91,AD91,AJ91,AP91,AV91,BB91,BH91,BN91,BT91,BZ91,CF91)</f>
        <v>8.0928675693171339</v>
      </c>
      <c r="CV91" s="21">
        <f>_xlfn.RANK.EQ(CU91,CU$3:CU$10000,1)</f>
        <v>25</v>
      </c>
      <c r="CW91" s="24">
        <f>_xlfn.STDEV.S(H91,N91,T91,Z91,AF91,AL91,AR91,AX91,BD91,BJ91,BP91,BV91,CB91,CH91)</f>
        <v>12.708913545873378</v>
      </c>
      <c r="CX91" s="21">
        <f>_xlfn.RANK.EQ(CW91,CW$3:CW$10000,1)</f>
        <v>39</v>
      </c>
      <c r="CY91" s="24">
        <f>_xlfn.STDEV.S(J91,P91,V91,AB91,AH91,AN91,AT91,AZ91,BF91,BL91,BR91,BX91,CD91,CJ91)</f>
        <v>16.051599488955802</v>
      </c>
      <c r="CZ91" s="21">
        <f>_xlfn.RANK.EQ(CY91,CY$3:CY$10000,1)</f>
        <v>59</v>
      </c>
      <c r="DA91">
        <f>SUM(COUNTIF(E91,"&gt;0"),COUNTIF(K91,"&gt;0"),COUNTIF(Q91,"&gt;0"),COUNTIF(W91,"&gt;0"),COUNTIF(AC91,"&gt;0"),COUNTIF(AI91,"&gt;0"),COUNTIF(AO91,"&gt;0"),COUNTIF(AU91,"&gt;0"),COUNTIF(BA91,"&gt;0"),COUNTIF(BG91,"&gt;0"),COUNTIF(BM91,"&gt;0"),COUNTIF(BS91,"&gt;0"),COUNTIF(BY91,"&gt;0"),COUNTIF(CE91,"&gt;0"))</f>
        <v>3</v>
      </c>
    </row>
    <row r="92" spans="2:105" x14ac:dyDescent="0.3">
      <c r="B92" t="s">
        <v>81</v>
      </c>
      <c r="C92" s="18" t="s">
        <v>466</v>
      </c>
      <c r="D92" s="4">
        <f>CN92*$CN$1+CP92*$CP$1+CR92*$CR$1</f>
        <v>89.674999999999997</v>
      </c>
      <c r="E92" s="29">
        <f>IFERROR(_xlfn.XLOOKUP(B92,'w1'!$B:$B,'w1'!$C:$C),0)</f>
        <v>1.6</v>
      </c>
      <c r="F92" s="30">
        <f>_xlfn.RANK.EQ(E92,E$3:E$10000,0)</f>
        <v>78</v>
      </c>
      <c r="G92" s="31">
        <f>IFERROR(_xlfn.XLOOKUP(B92,'w1'!$B:$B,'w1'!$F:$F),1)</f>
        <v>0.31805555555555554</v>
      </c>
      <c r="H92" s="30">
        <f>_xlfn.RANK.EQ(G92,G$3:G$10000,1)</f>
        <v>61</v>
      </c>
      <c r="I92" s="30">
        <f>IFERROR(IF(_xlfn.XLOOKUP(B92,'w1'!$B:$B,'w1'!$G:$G)="--",0,_xlfn.XLOOKUP(B92,'w1'!$B:$B,'w1'!$G:$G)),0)</f>
        <v>0</v>
      </c>
      <c r="J92" s="30">
        <f>_xlfn.RANK.EQ(I92,I$3:I$10000,0)</f>
        <v>77</v>
      </c>
      <c r="K92" s="34">
        <f>IFERROR(_xlfn.XLOOKUP(B92,'w2'!$B:$B,'w2'!$C:$C),0)</f>
        <v>3.9</v>
      </c>
      <c r="L92" s="35">
        <f>_xlfn.RANK.EQ(K92,K$3:K$10000,0)</f>
        <v>72</v>
      </c>
      <c r="M92" s="36">
        <f>IFERROR(_xlfn.XLOOKUP(B92,'w2'!$B:$B,'w2'!$F:$F),1)</f>
        <v>0.7895833333333333</v>
      </c>
      <c r="N92" s="35">
        <f>_xlfn.RANK.EQ(M92,M$3:M$10000,1)</f>
        <v>69</v>
      </c>
      <c r="O92" s="35">
        <f>IFERROR(IF(_xlfn.XLOOKUP(B92,'w2'!$B:$B,'w2'!$G:$G)="--",0,_xlfn.XLOOKUP(B92,'w2'!$B:$B,'w2'!$G:$G)),0)</f>
        <v>0</v>
      </c>
      <c r="P92" s="35">
        <f>_xlfn.RANK.EQ(O92,O$3:O$10000,0)</f>
        <v>71</v>
      </c>
      <c r="Q92" s="39">
        <f>IFERROR(_xlfn.XLOOKUP(B92,'w3'!$B:$B,'w3'!$C:$C),0)</f>
        <v>5.8</v>
      </c>
      <c r="R92" s="40">
        <f>_xlfn.RANK.EQ(Q92,Q$3:Q$10000,0)</f>
        <v>77</v>
      </c>
      <c r="S92" s="41">
        <f>IFERROR(_xlfn.XLOOKUP(B92,'w3'!$B:$B,'w3'!$F:$F),1)</f>
        <v>0.44583333333333336</v>
      </c>
      <c r="T92" s="40">
        <f>_xlfn.RANK.EQ(S92,S$3:S$10000,1)</f>
        <v>76</v>
      </c>
      <c r="U92" s="40">
        <f>IFERROR(IF(_xlfn.XLOOKUP(B92,'w3'!$B:$B,'w3'!$G:$G)="--",0,_xlfn.XLOOKUP(B92,'w3'!$B:$B,'w3'!$G:$G)),0)</f>
        <v>5</v>
      </c>
      <c r="V92" s="40">
        <f>_xlfn.RANK.EQ(U92,U$3:U$10000,0)</f>
        <v>79</v>
      </c>
      <c r="W92" s="44">
        <f>IFERROR(_xlfn.XLOOKUP(B92,'w4'!$B:$B,'w4'!$C:$C),0)</f>
        <v>5</v>
      </c>
      <c r="X92" s="45">
        <f>_xlfn.RANK.EQ(W92,W$3:W$10000,0)</f>
        <v>71</v>
      </c>
      <c r="Y92" s="46">
        <f>IFERROR(_xlfn.XLOOKUP(B92,'w4'!$B:$B,'w4'!$F:$F),1)</f>
        <v>0.8520833333333333</v>
      </c>
      <c r="Z92" s="45">
        <f>_xlfn.RANK.EQ(Y92,Y$3:Y$10000,1)</f>
        <v>75</v>
      </c>
      <c r="AA92" s="45">
        <f>IFERROR(IF(_xlfn.XLOOKUP(B92,'w4'!$B:$B,'w4'!$G:$G)="--",0,_xlfn.XLOOKUP(B92,'w4'!$B:$B,'w4'!$G:$G)),0)</f>
        <v>0</v>
      </c>
      <c r="AB92" s="45">
        <f>_xlfn.RANK.EQ(AA92,AA$3:AA$10000,0)</f>
        <v>68</v>
      </c>
      <c r="AC92" s="13">
        <f>IFERROR(_xlfn.XLOOKUP(B92,'w5'!$B:$B,'w5'!$C:$C),0)</f>
        <v>3.9</v>
      </c>
      <c r="AD92" s="12">
        <f>_xlfn.RANK.EQ(AC92,AC$3:AC$10000,0)</f>
        <v>75</v>
      </c>
      <c r="AE92" s="14">
        <f>IFERROR(_xlfn.XLOOKUP(B92,'w5'!$B:$B,'w5'!$F:$F),1)</f>
        <v>0.59166666666666667</v>
      </c>
      <c r="AF92" s="12">
        <f>_xlfn.RANK.EQ(AE92,AE$3:AE$10000,1)</f>
        <v>74</v>
      </c>
      <c r="AG92" s="12">
        <f>IFERROR(IF(_xlfn.XLOOKUP(B92,'w5'!$B:$B,'w5'!$G:$G)="--",0,_xlfn.XLOOKUP(B92,'w5'!$B:$B,'w5'!$G:$G)),0)</f>
        <v>0</v>
      </c>
      <c r="AH92" s="12">
        <f>_xlfn.RANK.EQ(AG92,AG$3:AG$10000,0)</f>
        <v>73</v>
      </c>
      <c r="AI92" s="51">
        <f>IFERROR(_xlfn.XLOOKUP(B92,'w6'!$B:$B,'w6'!$C:$C),0)</f>
        <v>3</v>
      </c>
      <c r="AJ92" s="50">
        <f>_xlfn.RANK.EQ(AI92,AI$3:AI$10000,0)</f>
        <v>63</v>
      </c>
      <c r="AK92" s="52">
        <f>IFERROR(_xlfn.XLOOKUP(B92,'w6'!$B:$B,'w6'!$F:$F),1)</f>
        <v>0.48402777777777778</v>
      </c>
      <c r="AL92" s="50">
        <f>_xlfn.RANK.EQ(AK92,AK$3:AK$10000,1)</f>
        <v>63</v>
      </c>
      <c r="AM92" s="50">
        <f>IFERROR(IF(_xlfn.XLOOKUP(B92,'w6'!$B:$B,'w6'!$G:$G)="--",0,_xlfn.XLOOKUP(B92,'w6'!$B:$B,'w6'!$G:$G)),0)</f>
        <v>0</v>
      </c>
      <c r="AN92" s="50">
        <f>_xlfn.RANK.EQ(AM92,AM$3:AM$10000,0)</f>
        <v>61</v>
      </c>
      <c r="AO92" s="56">
        <f>IFERROR(_xlfn.XLOOKUP(B92,'w7'!$B:$B,'w7'!$C:$C),0)</f>
        <v>3.8</v>
      </c>
      <c r="AP92" s="57">
        <f>_xlfn.RANK.EQ(AO92,AO$3:AO$10000,0)</f>
        <v>70</v>
      </c>
      <c r="AQ92" s="58">
        <f>IFERROR(_xlfn.XLOOKUP(B92,'w7'!$B:$B,'w7'!$F:$F),1)</f>
        <v>0.40069444444444446</v>
      </c>
      <c r="AR92" s="57">
        <f>_xlfn.RANK.EQ(AQ92,AQ$3:AQ$10000,1)</f>
        <v>62</v>
      </c>
      <c r="AS92" s="57">
        <f>IFERROR(IF(_xlfn.XLOOKUP(B92,'w7'!$B:$B,'w7'!$G:$G)="--",0,_xlfn.XLOOKUP(B92,'w7'!$B:$B,'w7'!$G:$G)),0)</f>
        <v>0</v>
      </c>
      <c r="AT92" s="57">
        <f>_xlfn.RANK.EQ(AS92,AS$3:AS$10000,0)</f>
        <v>69</v>
      </c>
      <c r="AU92" s="62">
        <f>IFERROR(_xlfn.XLOOKUP(B92,'w8'!$B:$B,'w8'!$C:$C),0)</f>
        <v>0</v>
      </c>
      <c r="AV92" s="61">
        <f>_xlfn.RANK.EQ(AU92,AU$3:AU$10000,0)</f>
        <v>73</v>
      </c>
      <c r="AW92" s="63">
        <f>IFERROR(_xlfn.XLOOKUP(B92,'w8'!$B:$B,'w8'!$F:$F),1)</f>
        <v>1</v>
      </c>
      <c r="AX92" s="61">
        <f>_xlfn.RANK.EQ(AW92,AW$3:AW$10000,1)</f>
        <v>73</v>
      </c>
      <c r="AY92" s="61">
        <f>IFERROR(IF(_xlfn.XLOOKUP(B92,'w8'!$B:$B,'w8'!$G:$G)="--",0,_xlfn.XLOOKUP(B92,'w8'!$B:$B,'w8'!$G:$G)),0)</f>
        <v>0</v>
      </c>
      <c r="AZ92" s="61">
        <f>_xlfn.RANK.EQ(AY92,AY$3:AY$10000,0)</f>
        <v>70</v>
      </c>
      <c r="BA92" s="66">
        <f>IFERROR(_xlfn.XLOOKUP(C92,'w9'!$B:$B,'w9'!$C:$C),0)</f>
        <v>1.2</v>
      </c>
      <c r="BB92" s="67">
        <f>_xlfn.RANK.EQ(BA92,BA$3:BA$10000,0)</f>
        <v>74</v>
      </c>
      <c r="BC92" s="68">
        <f>IFERROR(_xlfn.XLOOKUP(C92,'w9'!$B:$B,'w9'!$F:$F),1)</f>
        <v>0.3576388888888889</v>
      </c>
      <c r="BD92" s="67">
        <f>_xlfn.RANK.EQ(BC92,BC$3:BC$10000,1)</f>
        <v>64</v>
      </c>
      <c r="BE92" s="67">
        <f>IFERROR(IF(_xlfn.XLOOKUP(C92,'w9'!$B:$B,'w9'!$G:$G)="--",0,_xlfn.XLOOKUP(C92,'w9'!$B:$B,'w9'!$G:$G)),0)</f>
        <v>0</v>
      </c>
      <c r="BF92" s="67">
        <f>_xlfn.RANK.EQ(BE92,BE$3:BE$10000,0)</f>
        <v>74</v>
      </c>
      <c r="BG92" s="72">
        <f>IFERROR(_xlfn.XLOOKUP(B92,'w10'!$B:$B,'w10'!$C:$C),0)</f>
        <v>1.5</v>
      </c>
      <c r="BH92" s="74">
        <f>_xlfn.RANK.EQ(BG92,BG$3:BG$10000,0)</f>
        <v>76</v>
      </c>
      <c r="BI92" s="75">
        <f>IFERROR(_xlfn.XLOOKUP(B92,'w10'!$B:$B,'w10'!$F:$F),1)</f>
        <v>0.99305555555555558</v>
      </c>
      <c r="BJ92" s="74">
        <f>_xlfn.RANK.EQ(BI92,BI$3:BI$10000,1)</f>
        <v>75</v>
      </c>
      <c r="BK92" s="74">
        <f>IFERROR(IF(_xlfn.XLOOKUP(B92,'w10'!$B:$B,'w10'!$G:$G)="--",0,_xlfn.XLOOKUP(B92,'w10'!$B:$B,'w10'!$G:$G)),0)</f>
        <v>0</v>
      </c>
      <c r="BL92" s="74">
        <f>_xlfn.RANK.EQ(BK92,BK$3:BK$10000,0)</f>
        <v>76</v>
      </c>
      <c r="BM92" s="78">
        <f>IFERROR(_xlfn.XLOOKUP(B92,'w11'!$B:$B,'w11'!$C:$C),0)</f>
        <v>10.199999999999999</v>
      </c>
      <c r="BN92" s="80">
        <f>_xlfn.RANK.EQ(BM92,BM$3:BM$10000,0)</f>
        <v>61</v>
      </c>
      <c r="BO92" s="81">
        <f>IFERROR(_xlfn.XLOOKUP(B92,'w11'!$B:$B,'w11'!$F:$F),1)</f>
        <v>0.26180555555555557</v>
      </c>
      <c r="BP92" s="80">
        <f>_xlfn.RANK.EQ(BO92,BO$3:BO$10000,1)</f>
        <v>27</v>
      </c>
      <c r="BQ92" s="80">
        <f>IFERROR(IF(_xlfn.XLOOKUP(B92,'w11'!$B:$B,'w11'!$G:$G)="--",0,_xlfn.XLOOKUP(B92,'w11'!$B:$B,'w11'!$G:$G)),0)</f>
        <v>14</v>
      </c>
      <c r="BR92" s="80">
        <f>_xlfn.RANK.EQ(BQ92,BQ$3:BQ$10000,0)</f>
        <v>71</v>
      </c>
      <c r="BS92" s="83">
        <f>IFERROR(_xlfn.XLOOKUP(B92,'w12'!$B:$B,'w12'!$C:$C),0)</f>
        <v>0</v>
      </c>
      <c r="BT92" s="86">
        <f>_xlfn.RANK.EQ(BS92,BS$3:BS$10000,0)</f>
        <v>76</v>
      </c>
      <c r="BU92" s="87">
        <f>IFERROR(_xlfn.XLOOKUP(B92,'w12'!$B:$B,'w12'!$F:$F),1)</f>
        <v>1</v>
      </c>
      <c r="BV92" s="86">
        <f>_xlfn.RANK.EQ(BU92,BU$3:BU$10000,1)</f>
        <v>76</v>
      </c>
      <c r="BW92" s="86">
        <f>IFERROR(IF(_xlfn.XLOOKUP(B92,'w12'!$B:$B,'w12'!$G:$G)="--",0,_xlfn.XLOOKUP(B92,'w12'!$B:$B,'w12'!$G:$G)),0)</f>
        <v>0</v>
      </c>
      <c r="BX92" s="86">
        <f>_xlfn.RANK.EQ(BW92,BW$3:BW$10000,0)</f>
        <v>73</v>
      </c>
      <c r="BY92" s="89">
        <f>IFERROR(_xlfn.XLOOKUP(B92,'w13'!$B:$B,'w13'!$C:$C),0)</f>
        <v>0</v>
      </c>
      <c r="BZ92" s="92">
        <f>_xlfn.RANK.EQ(BY92,BY$3:BY$10000,0)</f>
        <v>76</v>
      </c>
      <c r="CA92" s="93">
        <f>IFERROR(_xlfn.XLOOKUP(B92,'w13'!$B:$B,'w13'!$F:$F),1)</f>
        <v>1</v>
      </c>
      <c r="CB92" s="92">
        <f>_xlfn.RANK.EQ(CA92,CA$3:CA$10000,1)</f>
        <v>76</v>
      </c>
      <c r="CC92" s="92">
        <f>IFERROR(IF(_xlfn.XLOOKUP(B92,'w13'!$B:$B,'w13'!$G:$G)="--",0,_xlfn.XLOOKUP(B92,'w13'!$B:$B,'w13'!$G:$G)),0)</f>
        <v>0</v>
      </c>
      <c r="CD92" s="92">
        <f>_xlfn.RANK.EQ(CC92,CC$3:CC$10000,0)</f>
        <v>76</v>
      </c>
      <c r="CE92" s="95">
        <f>IFERROR(_xlfn.XLOOKUP(B92,'w14'!$B:$B,'w14'!$C:$C),0)</f>
        <v>0</v>
      </c>
      <c r="CF92" s="98">
        <f>_xlfn.RANK.EQ(CE92,CE$3:CE$10000,0)</f>
        <v>69</v>
      </c>
      <c r="CG92" s="99">
        <f>IFERROR(_xlfn.XLOOKUP(B92,'w14'!$B:$B,'w14'!$F:$F),1)</f>
        <v>1</v>
      </c>
      <c r="CH92" s="98">
        <f>_xlfn.RANK.EQ(CG92,CG$3:CG$10000,1)</f>
        <v>69</v>
      </c>
      <c r="CI92" s="98">
        <f>IFERROR(IF(_xlfn.XLOOKUP(B92,'w14'!$B:$B,'w14'!$G:$G)="--",0,_xlfn.XLOOKUP(B92,'w14'!$B:$B,'w14'!$G:$G)),0)</f>
        <v>0</v>
      </c>
      <c r="CJ92" s="98">
        <f>_xlfn.RANK.EQ(CI92,CI$3:CI$10000,0)</f>
        <v>69</v>
      </c>
      <c r="CK92" s="9">
        <f>_xlfn.RANK.EQ(D92,D$3:D$10000,1)</f>
        <v>90</v>
      </c>
      <c r="CL92" s="26" t="s">
        <v>142</v>
      </c>
      <c r="CM92" s="8">
        <f>SUM(E92,K92,Q92,W92,AC92,AI92,AO92,AU92,BA92,BG92,BM92,BS92,BY92,CE92)</f>
        <v>39.9</v>
      </c>
      <c r="CN92" s="9">
        <f>_xlfn.RANK.EQ(CM92,CM$3:CM$10000)</f>
        <v>89</v>
      </c>
      <c r="CO92" s="15">
        <f>IFERROR(SUM(PRODUCT(E92,G92),PRODUCT(K92,M92),PRODUCT(Q92,S92),PRODUCT(W92,Y92),PRODUCT(AC92,AE92),PRODUCT(AI92,AK92),PRODUCT(AO92,AQ92),PRODUCT(AU92,AW92),PRODUCT(BA92,BC92),PRODUCT(BG92,BI92),PRODUCT(BM92,BO92),PRODUCT(BS92,BU92),PRODUCT(BY92,CA92),PRODUCT(CE92,CG92))/CM92,1)</f>
        <v>0.50891986911723752</v>
      </c>
      <c r="CP92" s="9">
        <f>_xlfn.RANK.EQ(CO92,CO$3:CO$10000,1)</f>
        <v>102</v>
      </c>
      <c r="CQ92" s="9">
        <f>SUM(I92,O92,U92,AA92,AG92,AM92,AS92,AY92,BE92,BK92,BQ92,BW92,CC92,CI92)</f>
        <v>19</v>
      </c>
      <c r="CR92" s="9">
        <f>_xlfn.RANK.EQ(CQ92,CQ$3:CQ$10000)</f>
        <v>103</v>
      </c>
      <c r="CS92" s="23"/>
      <c r="CT92" s="25"/>
      <c r="CU92" s="24">
        <f>_xlfn.STDEV.S(F92,L92,R92,X92,AD92,AJ92,AP92,AV92,BB92,BH92,BN92,BT92,BZ92,CF92)</f>
        <v>5.1017127053052027</v>
      </c>
      <c r="CV92" s="21">
        <f>_xlfn.RANK.EQ(CU92,CU$3:CU$10000,1)</f>
        <v>14</v>
      </c>
      <c r="CW92" s="24">
        <f>_xlfn.STDEV.S(H92,N92,T92,Z92,AF92,AL92,AR92,AX92,BD92,BJ92,BP92,BV92,CB92,CH92)</f>
        <v>12.859340471526412</v>
      </c>
      <c r="CX92" s="21">
        <f>_xlfn.RANK.EQ(CW92,CW$3:CW$10000,1)</f>
        <v>42</v>
      </c>
      <c r="CY92" s="24">
        <f>_xlfn.STDEV.S(J92,P92,V92,AB92,AH92,AN92,AT92,AZ92,BF92,BL92,BR92,BX92,CD92,CJ92)</f>
        <v>4.5819761560385164</v>
      </c>
      <c r="CZ92" s="21">
        <f>_xlfn.RANK.EQ(CY92,CY$3:CY$10000,1)</f>
        <v>1</v>
      </c>
      <c r="DA92">
        <f>SUM(COUNTIF(E92,"&gt;0"),COUNTIF(K92,"&gt;0"),COUNTIF(Q92,"&gt;0"),COUNTIF(W92,"&gt;0"),COUNTIF(AC92,"&gt;0"),COUNTIF(AI92,"&gt;0"),COUNTIF(AO92,"&gt;0"),COUNTIF(AU92,"&gt;0"),COUNTIF(BA92,"&gt;0"),COUNTIF(BG92,"&gt;0"),COUNTIF(BM92,"&gt;0"),COUNTIF(BS92,"&gt;0"),COUNTIF(BY92,"&gt;0"),COUNTIF(CE92,"&gt;0"))</f>
        <v>10</v>
      </c>
    </row>
    <row r="93" spans="2:105" x14ac:dyDescent="0.3">
      <c r="B93" t="s">
        <v>74</v>
      </c>
      <c r="C93" s="18" t="s">
        <v>465</v>
      </c>
      <c r="D93" s="4">
        <f>CN93*$CN$1+CP93*$CP$1+CR93*$CR$1</f>
        <v>89.975000000000009</v>
      </c>
      <c r="E93" s="29">
        <f>IFERROR(_xlfn.XLOOKUP(B93,'w1'!$B:$B,'w1'!$C:$C),0)</f>
        <v>10</v>
      </c>
      <c r="F93" s="30">
        <f>_xlfn.RANK.EQ(E93,E$3:E$10000,0)</f>
        <v>69</v>
      </c>
      <c r="G93" s="31">
        <f>IFERROR(_xlfn.XLOOKUP(B93,'w1'!$B:$B,'w1'!$F:$F),1)</f>
        <v>0.27916666666666667</v>
      </c>
      <c r="H93" s="30">
        <f>_xlfn.RANK.EQ(G93,G$3:G$10000,1)</f>
        <v>45</v>
      </c>
      <c r="I93" s="30">
        <f>IFERROR(IF(_xlfn.XLOOKUP(B93,'w1'!$B:$B,'w1'!$G:$G)="--",0,_xlfn.XLOOKUP(B93,'w1'!$B:$B,'w1'!$G:$G)),0)</f>
        <v>17</v>
      </c>
      <c r="J93" s="30">
        <f>_xlfn.RANK.EQ(I93,I$3:I$10000,0)</f>
        <v>74</v>
      </c>
      <c r="K93" s="34">
        <f>IFERROR(_xlfn.XLOOKUP(B93,'w2'!$B:$B,'w2'!$C:$C),0)</f>
        <v>0</v>
      </c>
      <c r="L93" s="35">
        <f>_xlfn.RANK.EQ(K93,K$3:K$10000,0)</f>
        <v>73</v>
      </c>
      <c r="M93" s="36">
        <f>IFERROR(_xlfn.XLOOKUP(B93,'w2'!$B:$B,'w2'!$F:$F),1)</f>
        <v>1</v>
      </c>
      <c r="N93" s="35">
        <f>_xlfn.RANK.EQ(M93,M$3:M$10000,1)</f>
        <v>72</v>
      </c>
      <c r="O93" s="35">
        <f>IFERROR(IF(_xlfn.XLOOKUP(B93,'w2'!$B:$B,'w2'!$G:$G)="--",0,_xlfn.XLOOKUP(B93,'w2'!$B:$B,'w2'!$G:$G)),0)</f>
        <v>0</v>
      </c>
      <c r="P93" s="35">
        <f>_xlfn.RANK.EQ(O93,O$3:O$10000,0)</f>
        <v>71</v>
      </c>
      <c r="Q93" s="39">
        <f>IFERROR(_xlfn.XLOOKUP(B93,'w3'!$B:$B,'w3'!$C:$C),0)</f>
        <v>0</v>
      </c>
      <c r="R93" s="40">
        <f>_xlfn.RANK.EQ(Q93,Q$3:Q$10000,0)</f>
        <v>84</v>
      </c>
      <c r="S93" s="41">
        <f>IFERROR(_xlfn.XLOOKUP(B93,'w3'!$B:$B,'w3'!$F:$F),1)</f>
        <v>1</v>
      </c>
      <c r="T93" s="40">
        <f>_xlfn.RANK.EQ(S93,S$3:S$10000,1)</f>
        <v>83</v>
      </c>
      <c r="U93" s="40">
        <f>IFERROR(IF(_xlfn.XLOOKUP(B93,'w3'!$B:$B,'w3'!$G:$G)="--",0,_xlfn.XLOOKUP(B93,'w3'!$B:$B,'w3'!$G:$G)),0)</f>
        <v>0</v>
      </c>
      <c r="V93" s="40">
        <f>_xlfn.RANK.EQ(U93,U$3:U$10000,0)</f>
        <v>80</v>
      </c>
      <c r="W93" s="44">
        <f>IFERROR(_xlfn.XLOOKUP(B93,'w4'!$B:$B,'w4'!$C:$C),0)</f>
        <v>0</v>
      </c>
      <c r="X93" s="45">
        <f>_xlfn.RANK.EQ(W93,W$3:W$10000,0)</f>
        <v>76</v>
      </c>
      <c r="Y93" s="46">
        <f>IFERROR(_xlfn.XLOOKUP(B93,'w4'!$B:$B,'w4'!$F:$F),1)</f>
        <v>1</v>
      </c>
      <c r="Z93" s="45">
        <f>_xlfn.RANK.EQ(Y93,Y$3:Y$10000,1)</f>
        <v>76</v>
      </c>
      <c r="AA93" s="45">
        <f>IFERROR(IF(_xlfn.XLOOKUP(B93,'w4'!$B:$B,'w4'!$G:$G)="--",0,_xlfn.XLOOKUP(B93,'w4'!$B:$B,'w4'!$G:$G)),0)</f>
        <v>0</v>
      </c>
      <c r="AB93" s="45">
        <f>_xlfn.RANK.EQ(AA93,AA$3:AA$10000,0)</f>
        <v>68</v>
      </c>
      <c r="AC93" s="13">
        <f>IFERROR(_xlfn.XLOOKUP(B93,'w5'!$B:$B,'w5'!$C:$C),0)</f>
        <v>0</v>
      </c>
      <c r="AD93" s="12">
        <f>_xlfn.RANK.EQ(AC93,AC$3:AC$10000,0)</f>
        <v>77</v>
      </c>
      <c r="AE93" s="14">
        <f>IFERROR(_xlfn.XLOOKUP(B93,'w5'!$B:$B,'w5'!$F:$F),1)</f>
        <v>1</v>
      </c>
      <c r="AF93" s="12">
        <f>_xlfn.RANK.EQ(AE93,AE$3:AE$10000,1)</f>
        <v>76</v>
      </c>
      <c r="AG93" s="12">
        <f>IFERROR(IF(_xlfn.XLOOKUP(B93,'w5'!$B:$B,'w5'!$G:$G)="--",0,_xlfn.XLOOKUP(B93,'w5'!$B:$B,'w5'!$G:$G)),0)</f>
        <v>0</v>
      </c>
      <c r="AH93" s="12">
        <f>_xlfn.RANK.EQ(AG93,AG$3:AG$10000,0)</f>
        <v>73</v>
      </c>
      <c r="AI93" s="51">
        <f>IFERROR(_xlfn.XLOOKUP(B93,'w6'!$B:$B,'w6'!$C:$C),0)</f>
        <v>0</v>
      </c>
      <c r="AJ93" s="50">
        <f>_xlfn.RANK.EQ(AI93,AI$3:AI$10000,0)</f>
        <v>65</v>
      </c>
      <c r="AK93" s="52">
        <f>IFERROR(_xlfn.XLOOKUP(B93,'w6'!$B:$B,'w6'!$F:$F),1)</f>
        <v>1</v>
      </c>
      <c r="AL93" s="50">
        <f>_xlfn.RANK.EQ(AK93,AK$3:AK$10000,1)</f>
        <v>65</v>
      </c>
      <c r="AM93" s="50">
        <f>IFERROR(IF(_xlfn.XLOOKUP(B93,'w6'!$B:$B,'w6'!$G:$G)="--",0,_xlfn.XLOOKUP(B93,'w6'!$B:$B,'w6'!$G:$G)),0)</f>
        <v>0</v>
      </c>
      <c r="AN93" s="50">
        <f>_xlfn.RANK.EQ(AM93,AM$3:AM$10000,0)</f>
        <v>61</v>
      </c>
      <c r="AO93" s="56">
        <f>IFERROR(_xlfn.XLOOKUP(B93,'w7'!$B:$B,'w7'!$C:$C),0)</f>
        <v>0</v>
      </c>
      <c r="AP93" s="57">
        <f>_xlfn.RANK.EQ(AO93,AO$3:AO$10000,0)</f>
        <v>72</v>
      </c>
      <c r="AQ93" s="58">
        <f>IFERROR(_xlfn.XLOOKUP(B93,'w7'!$B:$B,'w7'!$F:$F),1)</f>
        <v>1</v>
      </c>
      <c r="AR93" s="57">
        <f>_xlfn.RANK.EQ(AQ93,AQ$3:AQ$10000,1)</f>
        <v>72</v>
      </c>
      <c r="AS93" s="57">
        <f>IFERROR(IF(_xlfn.XLOOKUP(B93,'w7'!$B:$B,'w7'!$G:$G)="--",0,_xlfn.XLOOKUP(B93,'w7'!$B:$B,'w7'!$G:$G)),0)</f>
        <v>0</v>
      </c>
      <c r="AT93" s="57">
        <f>_xlfn.RANK.EQ(AS93,AS$3:AS$10000,0)</f>
        <v>69</v>
      </c>
      <c r="AU93" s="62">
        <f>IFERROR(_xlfn.XLOOKUP(B93,'w8'!$B:$B,'w8'!$C:$C),0)</f>
        <v>5</v>
      </c>
      <c r="AV93" s="61">
        <f>_xlfn.RANK.EQ(AU93,AU$3:AU$10000,0)</f>
        <v>69</v>
      </c>
      <c r="AW93" s="63">
        <f>IFERROR(_xlfn.XLOOKUP(B93,'w8'!$B:$B,'w8'!$F:$F),1)</f>
        <v>0.28333333333333333</v>
      </c>
      <c r="AX93" s="61">
        <f>_xlfn.RANK.EQ(AW93,AW$3:AW$10000,1)</f>
        <v>38</v>
      </c>
      <c r="AY93" s="61">
        <f>IFERROR(IF(_xlfn.XLOOKUP(B93,'w8'!$B:$B,'w8'!$G:$G)="--",0,_xlfn.XLOOKUP(B93,'w8'!$B:$B,'w8'!$G:$G)),0)</f>
        <v>30</v>
      </c>
      <c r="AZ93" s="61">
        <f>_xlfn.RANK.EQ(AY93,AY$3:AY$10000,0)</f>
        <v>62</v>
      </c>
      <c r="BA93" s="66">
        <f>IFERROR(_xlfn.XLOOKUP(C93,'w9'!$B:$B,'w9'!$C:$C),0)</f>
        <v>11</v>
      </c>
      <c r="BB93" s="67">
        <f>_xlfn.RANK.EQ(BA93,BA$3:BA$10000,0)</f>
        <v>66</v>
      </c>
      <c r="BC93" s="68">
        <f>IFERROR(_xlfn.XLOOKUP(C93,'w9'!$B:$B,'w9'!$F:$F),1)</f>
        <v>0.28055555555555556</v>
      </c>
      <c r="BD93" s="67">
        <f>_xlfn.RANK.EQ(BC93,BC$3:BC$10000,1)</f>
        <v>31</v>
      </c>
      <c r="BE93" s="67">
        <f>IFERROR(IF(_xlfn.XLOOKUP(C93,'w9'!$B:$B,'w9'!$G:$G)="--",0,_xlfn.XLOOKUP(C93,'w9'!$B:$B,'w9'!$G:$G)),0)</f>
        <v>68</v>
      </c>
      <c r="BF93" s="67">
        <f>_xlfn.RANK.EQ(BE93,BE$3:BE$10000,0)</f>
        <v>62</v>
      </c>
      <c r="BG93" s="72">
        <f>IFERROR(_xlfn.XLOOKUP(B93,'w10'!$B:$B,'w10'!$C:$C),0)</f>
        <v>6</v>
      </c>
      <c r="BH93" s="74">
        <f>_xlfn.RANK.EQ(BG93,BG$3:BG$10000,0)</f>
        <v>73</v>
      </c>
      <c r="BI93" s="75">
        <f>IFERROR(_xlfn.XLOOKUP(B93,'w10'!$B:$B,'w10'!$F:$F),1)</f>
        <v>0.27500000000000002</v>
      </c>
      <c r="BJ93" s="74">
        <f>_xlfn.RANK.EQ(BI93,BI$3:BI$10000,1)</f>
        <v>37</v>
      </c>
      <c r="BK93" s="74">
        <f>IFERROR(IF(_xlfn.XLOOKUP(B93,'w10'!$B:$B,'w10'!$G:$G)="--",0,_xlfn.XLOOKUP(B93,'w10'!$B:$B,'w10'!$G:$G)),0)</f>
        <v>36</v>
      </c>
      <c r="BL93" s="74">
        <f>_xlfn.RANK.EQ(BK93,BK$3:BK$10000,0)</f>
        <v>69</v>
      </c>
      <c r="BM93" s="78">
        <f>IFERROR(_xlfn.XLOOKUP(B93,'w11'!$B:$B,'w11'!$C:$C),0)</f>
        <v>0</v>
      </c>
      <c r="BN93" s="80">
        <f>_xlfn.RANK.EQ(BM93,BM$3:BM$10000,0)</f>
        <v>76</v>
      </c>
      <c r="BO93" s="81">
        <f>IFERROR(_xlfn.XLOOKUP(B93,'w11'!$B:$B,'w11'!$F:$F),1)</f>
        <v>1</v>
      </c>
      <c r="BP93" s="80">
        <f>_xlfn.RANK.EQ(BO93,BO$3:BO$10000,1)</f>
        <v>76</v>
      </c>
      <c r="BQ93" s="80">
        <f>IFERROR(IF(_xlfn.XLOOKUP(B93,'w11'!$B:$B,'w11'!$G:$G)="--",0,_xlfn.XLOOKUP(B93,'w11'!$B:$B,'w11'!$G:$G)),0)</f>
        <v>0</v>
      </c>
      <c r="BR93" s="80">
        <f>_xlfn.RANK.EQ(BQ93,BQ$3:BQ$10000,0)</f>
        <v>75</v>
      </c>
      <c r="BS93" s="83">
        <f>IFERROR(_xlfn.XLOOKUP(B93,'w12'!$B:$B,'w12'!$C:$C),0)</f>
        <v>0</v>
      </c>
      <c r="BT93" s="86">
        <f>_xlfn.RANK.EQ(BS93,BS$3:BS$10000,0)</f>
        <v>76</v>
      </c>
      <c r="BU93" s="87">
        <f>IFERROR(_xlfn.XLOOKUP(B93,'w12'!$B:$B,'w12'!$F:$F),1)</f>
        <v>1</v>
      </c>
      <c r="BV93" s="86">
        <f>_xlfn.RANK.EQ(BU93,BU$3:BU$10000,1)</f>
        <v>76</v>
      </c>
      <c r="BW93" s="86">
        <f>IFERROR(IF(_xlfn.XLOOKUP(B93,'w12'!$B:$B,'w12'!$G:$G)="--",0,_xlfn.XLOOKUP(B93,'w12'!$B:$B,'w12'!$G:$G)),0)</f>
        <v>0</v>
      </c>
      <c r="BX93" s="86">
        <f>_xlfn.RANK.EQ(BW93,BW$3:BW$10000,0)</f>
        <v>73</v>
      </c>
      <c r="BY93" s="89">
        <f>IFERROR(_xlfn.XLOOKUP(B93,'w13'!$B:$B,'w13'!$C:$C),0)</f>
        <v>0</v>
      </c>
      <c r="BZ93" s="92">
        <f>_xlfn.RANK.EQ(BY93,BY$3:BY$10000,0)</f>
        <v>76</v>
      </c>
      <c r="CA93" s="93">
        <f>IFERROR(_xlfn.XLOOKUP(B93,'w13'!$B:$B,'w13'!$F:$F),1)</f>
        <v>1</v>
      </c>
      <c r="CB93" s="92">
        <f>_xlfn.RANK.EQ(CA93,CA$3:CA$10000,1)</f>
        <v>76</v>
      </c>
      <c r="CC93" s="92">
        <f>IFERROR(IF(_xlfn.XLOOKUP(B93,'w13'!$B:$B,'w13'!$G:$G)="--",0,_xlfn.XLOOKUP(B93,'w13'!$B:$B,'w13'!$G:$G)),0)</f>
        <v>0</v>
      </c>
      <c r="CD93" s="92">
        <f>_xlfn.RANK.EQ(CC93,CC$3:CC$10000,0)</f>
        <v>76</v>
      </c>
      <c r="CE93" s="95">
        <f>IFERROR(_xlfn.XLOOKUP(B93,'w14'!$B:$B,'w14'!$C:$C),0)</f>
        <v>0</v>
      </c>
      <c r="CF93" s="98">
        <f>_xlfn.RANK.EQ(CE93,CE$3:CE$10000,0)</f>
        <v>69</v>
      </c>
      <c r="CG93" s="99">
        <f>IFERROR(_xlfn.XLOOKUP(B93,'w14'!$B:$B,'w14'!$F:$F),1)</f>
        <v>1</v>
      </c>
      <c r="CH93" s="98">
        <f>_xlfn.RANK.EQ(CG93,CG$3:CG$10000,1)</f>
        <v>69</v>
      </c>
      <c r="CI93" s="98">
        <f>IFERROR(IF(_xlfn.XLOOKUP(B93,'w14'!$B:$B,'w14'!$G:$G)="--",0,_xlfn.XLOOKUP(B93,'w14'!$B:$B,'w14'!$G:$G)),0)</f>
        <v>0</v>
      </c>
      <c r="CJ93" s="98">
        <f>_xlfn.RANK.EQ(CI93,CI$3:CI$10000,0)</f>
        <v>69</v>
      </c>
      <c r="CK93" s="9">
        <f>_xlfn.RANK.EQ(D93,D$3:D$10000,1)</f>
        <v>91</v>
      </c>
      <c r="CL93" s="26" t="s">
        <v>152</v>
      </c>
      <c r="CM93" s="8">
        <f>SUM(E93,K93,Q93,W93,AC93,AI93,AO93,AU93,BA93,BG93,BM93,BS93,BY93,CE93)</f>
        <v>32</v>
      </c>
      <c r="CN93" s="9">
        <f>_xlfn.RANK.EQ(CM93,CM$3:CM$10000)</f>
        <v>91</v>
      </c>
      <c r="CO93" s="15">
        <f>IFERROR(SUM(PRODUCT(E93,G93),PRODUCT(K93,M93),PRODUCT(Q93,S93),PRODUCT(W93,Y93),PRODUCT(AC93,AE93),PRODUCT(AI93,AK93),PRODUCT(AO93,AQ93),PRODUCT(AU93,AW93),PRODUCT(BA93,BC93),PRODUCT(BG93,BI93),PRODUCT(BM93,BO93),PRODUCT(BS93,BU93),PRODUCT(BY93,CA93),PRODUCT(CE93,CG93))/CM93,1)</f>
        <v>0.2795138888888889</v>
      </c>
      <c r="CP93" s="9">
        <f>_xlfn.RANK.EQ(CO93,CO$3:CO$10000,1)</f>
        <v>43</v>
      </c>
      <c r="CQ93" s="9">
        <f>SUM(I93,O93,U93,AA93,AG93,AM93,AS93,AY93,BE93,BK93,BQ93,BW93,CC93,CI93)</f>
        <v>151</v>
      </c>
      <c r="CR93" s="9">
        <f>_xlfn.RANK.EQ(CQ93,CQ$3:CQ$10000)</f>
        <v>98</v>
      </c>
      <c r="CS93" s="23"/>
      <c r="CT93" s="25"/>
      <c r="CU93" s="24">
        <f>_xlfn.STDEV.S(F93,L93,R93,X93,AD93,AJ93,AP93,AV93,BB93,BH93,BN93,BT93,BZ93,CF93)</f>
        <v>5.0757990763756853</v>
      </c>
      <c r="CV93" s="21">
        <f>_xlfn.RANK.EQ(CU93,CU$3:CU$10000,1)</f>
        <v>13</v>
      </c>
      <c r="CW93" s="24">
        <f>_xlfn.STDEV.S(H93,N93,T93,Z93,AF93,AL93,AR93,AX93,BD93,BJ93,BP93,BV93,CB93,CH93)</f>
        <v>17.734922399815364</v>
      </c>
      <c r="CX93" s="21">
        <f>_xlfn.RANK.EQ(CW93,CW$3:CW$10000,1)</f>
        <v>70</v>
      </c>
      <c r="CY93" s="24">
        <f>_xlfn.STDEV.S(J93,P93,V93,AB93,AH93,AN93,AT93,AZ93,BF93,BL93,BR93,BX93,CD93,CJ93)</f>
        <v>5.6276397957162887</v>
      </c>
      <c r="CZ93" s="21">
        <f>_xlfn.RANK.EQ(CY93,CY$3:CY$10000,1)</f>
        <v>6</v>
      </c>
      <c r="DA93">
        <f>SUM(COUNTIF(E93,"&gt;0"),COUNTIF(K93,"&gt;0"),COUNTIF(Q93,"&gt;0"),COUNTIF(W93,"&gt;0"),COUNTIF(AC93,"&gt;0"),COUNTIF(AI93,"&gt;0"),COUNTIF(AO93,"&gt;0"),COUNTIF(AU93,"&gt;0"),COUNTIF(BA93,"&gt;0"),COUNTIF(BG93,"&gt;0"),COUNTIF(BM93,"&gt;0"),COUNTIF(BS93,"&gt;0"),COUNTIF(BY93,"&gt;0"),COUNTIF(CE93,"&gt;0"))</f>
        <v>4</v>
      </c>
    </row>
    <row r="94" spans="2:105" x14ac:dyDescent="0.3">
      <c r="B94" t="s">
        <v>77</v>
      </c>
      <c r="C94" s="18" t="s">
        <v>153</v>
      </c>
      <c r="D94" s="4">
        <f>CN94*$CN$1+CP94*$CP$1+CR94*$CR$1</f>
        <v>91.274999999999991</v>
      </c>
      <c r="E94" s="29">
        <f>IFERROR(_xlfn.XLOOKUP(B94,'w1'!$B:$B,'w1'!$C:$C),0)</f>
        <v>5.3</v>
      </c>
      <c r="F94" s="30">
        <f>_xlfn.RANK.EQ(E94,E$3:E$10000,0)</f>
        <v>74</v>
      </c>
      <c r="G94" s="31">
        <f>IFERROR(_xlfn.XLOOKUP(B94,'w1'!$B:$B,'w1'!$F:$F),1)</f>
        <v>0.26805555555555555</v>
      </c>
      <c r="H94" s="30">
        <f>_xlfn.RANK.EQ(G94,G$3:G$10000,1)</f>
        <v>34</v>
      </c>
      <c r="I94" s="30">
        <f>IFERROR(IF(_xlfn.XLOOKUP(B94,'w1'!$B:$B,'w1'!$G:$G)="--",0,_xlfn.XLOOKUP(B94,'w1'!$B:$B,'w1'!$G:$G)),0)</f>
        <v>69</v>
      </c>
      <c r="J94" s="30">
        <f>_xlfn.RANK.EQ(I94,I$3:I$10000,0)</f>
        <v>60</v>
      </c>
      <c r="K94" s="34">
        <f>IFERROR(_xlfn.XLOOKUP(B94,'w2'!$B:$B,'w2'!$C:$C),0)</f>
        <v>0</v>
      </c>
      <c r="L94" s="35">
        <f>_xlfn.RANK.EQ(K94,K$3:K$10000,0)</f>
        <v>73</v>
      </c>
      <c r="M94" s="36">
        <f>IFERROR(_xlfn.XLOOKUP(B94,'w2'!$B:$B,'w2'!$F:$F),1)</f>
        <v>1</v>
      </c>
      <c r="N94" s="35">
        <f>_xlfn.RANK.EQ(M94,M$3:M$10000,1)</f>
        <v>72</v>
      </c>
      <c r="O94" s="35">
        <f>IFERROR(IF(_xlfn.XLOOKUP(B94,'w2'!$B:$B,'w2'!$G:$G)="--",0,_xlfn.XLOOKUP(B94,'w2'!$B:$B,'w2'!$G:$G)),0)</f>
        <v>0</v>
      </c>
      <c r="P94" s="35">
        <f>_xlfn.RANK.EQ(O94,O$3:O$10000,0)</f>
        <v>71</v>
      </c>
      <c r="Q94" s="39">
        <f>IFERROR(_xlfn.XLOOKUP(B94,'w3'!$B:$B,'w3'!$C:$C),0)</f>
        <v>8</v>
      </c>
      <c r="R94" s="40">
        <f>_xlfn.RANK.EQ(Q94,Q$3:Q$10000,0)</f>
        <v>74</v>
      </c>
      <c r="S94" s="41">
        <f>IFERROR(_xlfn.XLOOKUP(B94,'w3'!$B:$B,'w3'!$F:$F),1)</f>
        <v>0.26527777777777778</v>
      </c>
      <c r="T94" s="40">
        <f>_xlfn.RANK.EQ(S94,S$3:S$10000,1)</f>
        <v>34</v>
      </c>
      <c r="U94" s="40">
        <f>IFERROR(IF(_xlfn.XLOOKUP(B94,'w3'!$B:$B,'w3'!$G:$G)="--",0,_xlfn.XLOOKUP(B94,'w3'!$B:$B,'w3'!$G:$G)),0)</f>
        <v>122</v>
      </c>
      <c r="V94" s="40">
        <f>_xlfn.RANK.EQ(U94,U$3:U$10000,0)</f>
        <v>51</v>
      </c>
      <c r="W94" s="44">
        <f>IFERROR(_xlfn.XLOOKUP(B94,'w4'!$B:$B,'w4'!$C:$C),0)</f>
        <v>0</v>
      </c>
      <c r="X94" s="45">
        <f>_xlfn.RANK.EQ(W94,W$3:W$10000,0)</f>
        <v>76</v>
      </c>
      <c r="Y94" s="46">
        <f>IFERROR(_xlfn.XLOOKUP(B94,'w4'!$B:$B,'w4'!$F:$F),1)</f>
        <v>1</v>
      </c>
      <c r="Z94" s="45">
        <f>_xlfn.RANK.EQ(Y94,Y$3:Y$10000,1)</f>
        <v>76</v>
      </c>
      <c r="AA94" s="45">
        <f>IFERROR(IF(_xlfn.XLOOKUP(B94,'w4'!$B:$B,'w4'!$G:$G)="--",0,_xlfn.XLOOKUP(B94,'w4'!$B:$B,'w4'!$G:$G)),0)</f>
        <v>0</v>
      </c>
      <c r="AB94" s="45">
        <f>_xlfn.RANK.EQ(AA94,AA$3:AA$10000,0)</f>
        <v>68</v>
      </c>
      <c r="AC94" s="13">
        <f>IFERROR(_xlfn.XLOOKUP(B94,'w5'!$B:$B,'w5'!$C:$C),0)</f>
        <v>0</v>
      </c>
      <c r="AD94" s="12">
        <f>_xlfn.RANK.EQ(AC94,AC$3:AC$10000,0)</f>
        <v>77</v>
      </c>
      <c r="AE94" s="14">
        <f>IFERROR(_xlfn.XLOOKUP(B94,'w5'!$B:$B,'w5'!$F:$F),1)</f>
        <v>1</v>
      </c>
      <c r="AF94" s="12">
        <f>_xlfn.RANK.EQ(AE94,AE$3:AE$10000,1)</f>
        <v>76</v>
      </c>
      <c r="AG94" s="12">
        <f>IFERROR(IF(_xlfn.XLOOKUP(B94,'w5'!$B:$B,'w5'!$G:$G)="--",0,_xlfn.XLOOKUP(B94,'w5'!$B:$B,'w5'!$G:$G)),0)</f>
        <v>0</v>
      </c>
      <c r="AH94" s="12">
        <f>_xlfn.RANK.EQ(AG94,AG$3:AG$10000,0)</f>
        <v>73</v>
      </c>
      <c r="AI94" s="51">
        <f>IFERROR(_xlfn.XLOOKUP(B94,'w6'!$B:$B,'w6'!$C:$C),0)</f>
        <v>6.3</v>
      </c>
      <c r="AJ94" s="50">
        <f>_xlfn.RANK.EQ(AI94,AI$3:AI$10000,0)</f>
        <v>61</v>
      </c>
      <c r="AK94" s="52">
        <f>IFERROR(_xlfn.XLOOKUP(B94,'w6'!$B:$B,'w6'!$F:$F),1)</f>
        <v>0.26111111111111113</v>
      </c>
      <c r="AL94" s="50">
        <f>_xlfn.RANK.EQ(AK94,AK$3:AK$10000,1)</f>
        <v>22</v>
      </c>
      <c r="AM94" s="50">
        <f>IFERROR(IF(_xlfn.XLOOKUP(B94,'w6'!$B:$B,'w6'!$G:$G)="--",0,_xlfn.XLOOKUP(B94,'w6'!$B:$B,'w6'!$G:$G)),0)</f>
        <v>139</v>
      </c>
      <c r="AN94" s="50">
        <f>_xlfn.RANK.EQ(AM94,AM$3:AM$10000,0)</f>
        <v>43</v>
      </c>
      <c r="AO94" s="56">
        <f>IFERROR(_xlfn.XLOOKUP(B94,'w7'!$B:$B,'w7'!$C:$C),0)</f>
        <v>7</v>
      </c>
      <c r="AP94" s="57">
        <f>_xlfn.RANK.EQ(AO94,AO$3:AO$10000,0)</f>
        <v>63</v>
      </c>
      <c r="AQ94" s="58">
        <f>IFERROR(_xlfn.XLOOKUP(B94,'w7'!$B:$B,'w7'!$F:$F),1)</f>
        <v>0.24652777777777779</v>
      </c>
      <c r="AR94" s="57">
        <f>_xlfn.RANK.EQ(AQ94,AQ$3:AQ$10000,1)</f>
        <v>18</v>
      </c>
      <c r="AS94" s="57">
        <f>IFERROR(IF(_xlfn.XLOOKUP(B94,'w7'!$B:$B,'w7'!$G:$G)="--",0,_xlfn.XLOOKUP(B94,'w7'!$B:$B,'w7'!$G:$G)),0)</f>
        <v>40</v>
      </c>
      <c r="AT94" s="57">
        <f>_xlfn.RANK.EQ(AS94,AS$3:AS$10000,0)</f>
        <v>63</v>
      </c>
      <c r="AU94" s="62">
        <f>IFERROR(_xlfn.XLOOKUP(B94,'w8'!$B:$B,'w8'!$C:$C),0)</f>
        <v>0</v>
      </c>
      <c r="AV94" s="61">
        <f>_xlfn.RANK.EQ(AU94,AU$3:AU$10000,0)</f>
        <v>73</v>
      </c>
      <c r="AW94" s="63">
        <f>IFERROR(_xlfn.XLOOKUP(B94,'w8'!$B:$B,'w8'!$F:$F),1)</f>
        <v>1</v>
      </c>
      <c r="AX94" s="61">
        <f>_xlfn.RANK.EQ(AW94,AW$3:AW$10000,1)</f>
        <v>73</v>
      </c>
      <c r="AY94" s="61">
        <f>IFERROR(IF(_xlfn.XLOOKUP(B94,'w8'!$B:$B,'w8'!$G:$G)="--",0,_xlfn.XLOOKUP(B94,'w8'!$B:$B,'w8'!$G:$G)),0)</f>
        <v>0</v>
      </c>
      <c r="AZ94" s="61">
        <f>_xlfn.RANK.EQ(AY94,AY$3:AY$10000,0)</f>
        <v>70</v>
      </c>
      <c r="BA94" s="66">
        <f>IFERROR(_xlfn.XLOOKUP(C94,'w9'!$B:$B,'w9'!$C:$C),0)</f>
        <v>0</v>
      </c>
      <c r="BB94" s="67">
        <f>_xlfn.RANK.EQ(BA94,BA$3:BA$10000,0)</f>
        <v>75</v>
      </c>
      <c r="BC94" s="68">
        <f>IFERROR(_xlfn.XLOOKUP(C94,'w9'!$B:$B,'w9'!$F:$F),1)</f>
        <v>1</v>
      </c>
      <c r="BD94" s="67">
        <f>_xlfn.RANK.EQ(BC94,BC$3:BC$10000,1)</f>
        <v>75</v>
      </c>
      <c r="BE94" s="67">
        <f>IFERROR(IF(_xlfn.XLOOKUP(C94,'w9'!$B:$B,'w9'!$G:$G)="--",0,_xlfn.XLOOKUP(C94,'w9'!$B:$B,'w9'!$G:$G)),0)</f>
        <v>0</v>
      </c>
      <c r="BF94" s="67">
        <f>_xlfn.RANK.EQ(BE94,BE$3:BE$10000,0)</f>
        <v>74</v>
      </c>
      <c r="BG94" s="72">
        <f>IFERROR(_xlfn.XLOOKUP(B94,'w10'!$B:$B,'w10'!$C:$C),0)</f>
        <v>0</v>
      </c>
      <c r="BH94" s="74">
        <f>_xlfn.RANK.EQ(BG94,BG$3:BG$10000,0)</f>
        <v>77</v>
      </c>
      <c r="BI94" s="75">
        <f>IFERROR(_xlfn.XLOOKUP(B94,'w10'!$B:$B,'w10'!$F:$F),1)</f>
        <v>1</v>
      </c>
      <c r="BJ94" s="74">
        <f>_xlfn.RANK.EQ(BI94,BI$3:BI$10000,1)</f>
        <v>76</v>
      </c>
      <c r="BK94" s="74">
        <f>IFERROR(IF(_xlfn.XLOOKUP(B94,'w10'!$B:$B,'w10'!$G:$G)="--",0,_xlfn.XLOOKUP(B94,'w10'!$B:$B,'w10'!$G:$G)),0)</f>
        <v>0</v>
      </c>
      <c r="BL94" s="74">
        <f>_xlfn.RANK.EQ(BK94,BK$3:BK$10000,0)</f>
        <v>76</v>
      </c>
      <c r="BM94" s="78">
        <f>IFERROR(_xlfn.XLOOKUP(B94,'w11'!$B:$B,'w11'!$C:$C),0)</f>
        <v>0</v>
      </c>
      <c r="BN94" s="80">
        <f>_xlfn.RANK.EQ(BM94,BM$3:BM$10000,0)</f>
        <v>76</v>
      </c>
      <c r="BO94" s="81">
        <f>IFERROR(_xlfn.XLOOKUP(B94,'w11'!$B:$B,'w11'!$F:$F),1)</f>
        <v>1</v>
      </c>
      <c r="BP94" s="80">
        <f>_xlfn.RANK.EQ(BO94,BO$3:BO$10000,1)</f>
        <v>76</v>
      </c>
      <c r="BQ94" s="80">
        <f>IFERROR(IF(_xlfn.XLOOKUP(B94,'w11'!$B:$B,'w11'!$G:$G)="--",0,_xlfn.XLOOKUP(B94,'w11'!$B:$B,'w11'!$G:$G)),0)</f>
        <v>0</v>
      </c>
      <c r="BR94" s="80">
        <f>_xlfn.RANK.EQ(BQ94,BQ$3:BQ$10000,0)</f>
        <v>75</v>
      </c>
      <c r="BS94" s="83">
        <f>IFERROR(_xlfn.XLOOKUP(B94,'w12'!$B:$B,'w12'!$C:$C),0)</f>
        <v>0</v>
      </c>
      <c r="BT94" s="86">
        <f>_xlfn.RANK.EQ(BS94,BS$3:BS$10000,0)</f>
        <v>76</v>
      </c>
      <c r="BU94" s="87">
        <f>IFERROR(_xlfn.XLOOKUP(B94,'w12'!$B:$B,'w12'!$F:$F),1)</f>
        <v>1</v>
      </c>
      <c r="BV94" s="86">
        <f>_xlfn.RANK.EQ(BU94,BU$3:BU$10000,1)</f>
        <v>76</v>
      </c>
      <c r="BW94" s="86">
        <f>IFERROR(IF(_xlfn.XLOOKUP(B94,'w12'!$B:$B,'w12'!$G:$G)="--",0,_xlfn.XLOOKUP(B94,'w12'!$B:$B,'w12'!$G:$G)),0)</f>
        <v>0</v>
      </c>
      <c r="BX94" s="86">
        <f>_xlfn.RANK.EQ(BW94,BW$3:BW$10000,0)</f>
        <v>73</v>
      </c>
      <c r="BY94" s="89">
        <f>IFERROR(_xlfn.XLOOKUP(B94,'w13'!$B:$B,'w13'!$C:$C),0)</f>
        <v>0</v>
      </c>
      <c r="BZ94" s="92">
        <f>_xlfn.RANK.EQ(BY94,BY$3:BY$10000,0)</f>
        <v>76</v>
      </c>
      <c r="CA94" s="93">
        <f>IFERROR(_xlfn.XLOOKUP(B94,'w13'!$B:$B,'w13'!$F:$F),1)</f>
        <v>1</v>
      </c>
      <c r="CB94" s="92">
        <f>_xlfn.RANK.EQ(CA94,CA$3:CA$10000,1)</f>
        <v>76</v>
      </c>
      <c r="CC94" s="92">
        <f>IFERROR(IF(_xlfn.XLOOKUP(B94,'w13'!$B:$B,'w13'!$G:$G)="--",0,_xlfn.XLOOKUP(B94,'w13'!$B:$B,'w13'!$G:$G)),0)</f>
        <v>0</v>
      </c>
      <c r="CD94" s="92">
        <f>_xlfn.RANK.EQ(CC94,CC$3:CC$10000,0)</f>
        <v>76</v>
      </c>
      <c r="CE94" s="95">
        <f>IFERROR(_xlfn.XLOOKUP(B94,'w14'!$B:$B,'w14'!$C:$C),0)</f>
        <v>0</v>
      </c>
      <c r="CF94" s="98">
        <f>_xlfn.RANK.EQ(CE94,CE$3:CE$10000,0)</f>
        <v>69</v>
      </c>
      <c r="CG94" s="99">
        <f>IFERROR(_xlfn.XLOOKUP(B94,'w14'!$B:$B,'w14'!$F:$F),1)</f>
        <v>1</v>
      </c>
      <c r="CH94" s="98">
        <f>_xlfn.RANK.EQ(CG94,CG$3:CG$10000,1)</f>
        <v>69</v>
      </c>
      <c r="CI94" s="98">
        <f>IFERROR(IF(_xlfn.XLOOKUP(B94,'w14'!$B:$B,'w14'!$G:$G)="--",0,_xlfn.XLOOKUP(B94,'w14'!$B:$B,'w14'!$G:$G)),0)</f>
        <v>0</v>
      </c>
      <c r="CJ94" s="98">
        <f>_xlfn.RANK.EQ(CI94,CI$3:CI$10000,0)</f>
        <v>69</v>
      </c>
      <c r="CK94" s="9">
        <f>_xlfn.RANK.EQ(D94,D$3:D$10000,1)</f>
        <v>92</v>
      </c>
      <c r="CL94" s="26" t="s">
        <v>153</v>
      </c>
      <c r="CM94" s="8">
        <f>SUM(E94,K94,Q94,W94,AC94,AI94,AO94,AU94,BA94,BG94,BM94,BS94,BY94,CE94)</f>
        <v>26.6</v>
      </c>
      <c r="CN94" s="9">
        <f>_xlfn.RANK.EQ(CM94,CM$3:CM$10000)</f>
        <v>93</v>
      </c>
      <c r="CO94" s="15">
        <f>IFERROR(SUM(PRODUCT(E94,G94),PRODUCT(K94,M94),PRODUCT(Q94,S94),PRODUCT(W94,Y94),PRODUCT(AC94,AE94),PRODUCT(AI94,AK94),PRODUCT(AO94,AQ94),PRODUCT(AU94,AW94),PRODUCT(BA94,BC94),PRODUCT(BG94,BI94),PRODUCT(BM94,BO94),PRODUCT(BS94,BU94),PRODUCT(BY94,CA94),PRODUCT(CE94,CG94))/CM94,1)</f>
        <v>0.25991019214703426</v>
      </c>
      <c r="CP94" s="9">
        <f>_xlfn.RANK.EQ(CO94,CO$3:CO$10000,1)</f>
        <v>28</v>
      </c>
      <c r="CQ94" s="9">
        <f>SUM(I94,O94,U94,AA94,AG94,AM94,AS94,AY94,BE94,BK94,BQ94,BW94,CC94,CI94)</f>
        <v>370</v>
      </c>
      <c r="CR94" s="9">
        <f>_xlfn.RANK.EQ(CQ94,CQ$3:CQ$10000)</f>
        <v>89</v>
      </c>
      <c r="CS94" s="23"/>
      <c r="CT94" s="25"/>
      <c r="CU94" s="24">
        <f>_xlfn.STDEV.S(F94,L94,R94,X94,AD94,AJ94,AP94,AV94,BB94,BH94,BN94,BT94,BZ94,CF94)</f>
        <v>5.066589550213207</v>
      </c>
      <c r="CV94" s="21">
        <f>_xlfn.RANK.EQ(CU94,CU$3:CU$10000,1)</f>
        <v>12</v>
      </c>
      <c r="CW94" s="24">
        <f>_xlfn.STDEV.S(H94,N94,T94,Z94,AF94,AL94,AR94,AX94,BD94,BJ94,BP94,BV94,CB94,CH94)</f>
        <v>22.707044944463608</v>
      </c>
      <c r="CX94" s="21">
        <f>_xlfn.RANK.EQ(CW94,CW$3:CW$10000,1)</f>
        <v>85</v>
      </c>
      <c r="CY94" s="24">
        <f>_xlfn.STDEV.S(J94,P94,V94,AB94,AH94,AN94,AT94,AZ94,BF94,BL94,BR94,BX94,CD94,CJ94)</f>
        <v>9.8950537094089626</v>
      </c>
      <c r="CZ94" s="21">
        <f>_xlfn.RANK.EQ(CY94,CY$3:CY$10000,1)</f>
        <v>25</v>
      </c>
      <c r="DA94">
        <f>SUM(COUNTIF(E94,"&gt;0"),COUNTIF(K94,"&gt;0"),COUNTIF(Q94,"&gt;0"),COUNTIF(W94,"&gt;0"),COUNTIF(AC94,"&gt;0"),COUNTIF(AI94,"&gt;0"),COUNTIF(AO94,"&gt;0"),COUNTIF(AU94,"&gt;0"),COUNTIF(BA94,"&gt;0"),COUNTIF(BG94,"&gt;0"),COUNTIF(BM94,"&gt;0"),COUNTIF(BS94,"&gt;0"),COUNTIF(BY94,"&gt;0"),COUNTIF(CE94,"&gt;0"))</f>
        <v>4</v>
      </c>
    </row>
    <row r="95" spans="2:105" x14ac:dyDescent="0.3">
      <c r="B95" t="s">
        <v>180</v>
      </c>
      <c r="C95" s="18" t="s">
        <v>190</v>
      </c>
      <c r="D95" s="4">
        <f>CN95*$CN$1+CP95*$CP$1+CR95*$CR$1</f>
        <v>92.075000000000003</v>
      </c>
      <c r="E95" s="29">
        <f>IFERROR(_xlfn.XLOOKUP(B95,'w1'!$B:$B,'w1'!$C:$C),0)</f>
        <v>0</v>
      </c>
      <c r="F95" s="30">
        <f>_xlfn.RANK.EQ(E95,E$3:E$10000,0)</f>
        <v>79</v>
      </c>
      <c r="G95" s="31">
        <f>IFERROR(_xlfn.XLOOKUP(B95,'w1'!$B:$B,'w1'!$F:$F),1)</f>
        <v>1</v>
      </c>
      <c r="H95" s="30">
        <f>_xlfn.RANK.EQ(G95,G$3:G$10000,1)</f>
        <v>79</v>
      </c>
      <c r="I95" s="30">
        <f>IFERROR(IF(_xlfn.XLOOKUP(B95,'w1'!$B:$B,'w1'!$G:$G)="--",0,_xlfn.XLOOKUP(B95,'w1'!$B:$B,'w1'!$G:$G)),0)</f>
        <v>0</v>
      </c>
      <c r="J95" s="30">
        <f>_xlfn.RANK.EQ(I95,I$3:I$10000,0)</f>
        <v>77</v>
      </c>
      <c r="K95" s="34">
        <f>IFERROR(_xlfn.XLOOKUP(B95,'w2'!$B:$B,'w2'!$C:$C),0)</f>
        <v>6.4</v>
      </c>
      <c r="L95" s="35">
        <f>_xlfn.RANK.EQ(K95,K$3:K$10000,0)</f>
        <v>70</v>
      </c>
      <c r="M95" s="70">
        <f>IFERROR(_xlfn.XLOOKUP(B95,'w2'!$B:$B,'w2'!$F:$F),1)</f>
        <v>1.0409722222222222</v>
      </c>
      <c r="N95" s="35">
        <f>_xlfn.RANK.EQ(M95,M$3:M$10000,1)</f>
        <v>106</v>
      </c>
      <c r="O95" s="35">
        <f>IFERROR(IF(_xlfn.XLOOKUP(B95,'w2'!$B:$B,'w2'!$G:$G)="--",0,_xlfn.XLOOKUP(B95,'w2'!$B:$B,'w2'!$G:$G)),0)</f>
        <v>263</v>
      </c>
      <c r="P95" s="35">
        <f>_xlfn.RANK.EQ(O95,O$3:O$10000,0)</f>
        <v>34</v>
      </c>
      <c r="Q95" s="39">
        <f>IFERROR(_xlfn.XLOOKUP(B95,'w3'!$B:$B,'w3'!$C:$C),0)</f>
        <v>17.899999999999999</v>
      </c>
      <c r="R95" s="40">
        <f>_xlfn.RANK.EQ(Q95,Q$3:Q$10000,0)</f>
        <v>50</v>
      </c>
      <c r="S95" s="69">
        <f>IFERROR(_xlfn.XLOOKUP(B95,'w3'!$B:$B,'w3'!$F:$F),1)</f>
        <v>1.0006944444444446</v>
      </c>
      <c r="T95" s="40">
        <f>_xlfn.RANK.EQ(S95,S$3:S$10000,1)</f>
        <v>106</v>
      </c>
      <c r="U95" s="40">
        <f>IFERROR(IF(_xlfn.XLOOKUP(B95,'w3'!$B:$B,'w3'!$G:$G)="--",0,_xlfn.XLOOKUP(B95,'w3'!$B:$B,'w3'!$G:$G)),0)</f>
        <v>466</v>
      </c>
      <c r="V95" s="40">
        <f>_xlfn.RANK.EQ(U95,U$3:U$10000,0)</f>
        <v>20</v>
      </c>
      <c r="W95" s="44">
        <f>IFERROR(_xlfn.XLOOKUP(B95,'w4'!$B:$B,'w4'!$C:$C),0)</f>
        <v>3.5</v>
      </c>
      <c r="X95" s="45">
        <f>_xlfn.RANK.EQ(W95,W$3:W$10000,0)</f>
        <v>75</v>
      </c>
      <c r="Y95" s="46">
        <f>IFERROR(_xlfn.XLOOKUP(B95,'w4'!$B:$B,'w4'!$F:$F),1)</f>
        <v>0.19930555555555557</v>
      </c>
      <c r="Z95" s="45">
        <f>_xlfn.RANK.EQ(Y95,Y$3:Y$10000,1)</f>
        <v>3</v>
      </c>
      <c r="AA95" s="45">
        <f>IFERROR(IF(_xlfn.XLOOKUP(B95,'w4'!$B:$B,'w4'!$G:$G)="--",0,_xlfn.XLOOKUP(B95,'w4'!$B:$B,'w4'!$G:$G)),0)</f>
        <v>0</v>
      </c>
      <c r="AB95" s="45">
        <f>_xlfn.RANK.EQ(AA95,AA$3:AA$10000,0)</f>
        <v>68</v>
      </c>
      <c r="AC95" s="13">
        <f>IFERROR(_xlfn.XLOOKUP(B95,'w5'!$B:$B,'w5'!$C:$C),0)</f>
        <v>0</v>
      </c>
      <c r="AD95" s="12">
        <f>_xlfn.RANK.EQ(AC95,AC$3:AC$10000,0)</f>
        <v>77</v>
      </c>
      <c r="AE95" s="14">
        <f>IFERROR(_xlfn.XLOOKUP(B95,'w5'!$B:$B,'w5'!$F:$F),1)</f>
        <v>1</v>
      </c>
      <c r="AF95" s="12">
        <f>_xlfn.RANK.EQ(AE95,AE$3:AE$10000,1)</f>
        <v>76</v>
      </c>
      <c r="AG95" s="12">
        <f>IFERROR(IF(_xlfn.XLOOKUP(B95,'w5'!$B:$B,'w5'!$G:$G)="--",0,_xlfn.XLOOKUP(B95,'w5'!$B:$B,'w5'!$G:$G)),0)</f>
        <v>0</v>
      </c>
      <c r="AH95" s="12">
        <f>_xlfn.RANK.EQ(AG95,AG$3:AG$10000,0)</f>
        <v>73</v>
      </c>
      <c r="AI95" s="51">
        <f>IFERROR(_xlfn.XLOOKUP(B95,'w6'!$B:$B,'w6'!$C:$C),0)</f>
        <v>0</v>
      </c>
      <c r="AJ95" s="50">
        <f>_xlfn.RANK.EQ(AI95,AI$3:AI$10000,0)</f>
        <v>65</v>
      </c>
      <c r="AK95" s="52">
        <f>IFERROR(_xlfn.XLOOKUP(B95,'w6'!$B:$B,'w6'!$F:$F),1)</f>
        <v>1</v>
      </c>
      <c r="AL95" s="50">
        <f>_xlfn.RANK.EQ(AK95,AK$3:AK$10000,1)</f>
        <v>65</v>
      </c>
      <c r="AM95" s="50">
        <f>IFERROR(IF(_xlfn.XLOOKUP(B95,'w6'!$B:$B,'w6'!$G:$G)="--",0,_xlfn.XLOOKUP(B95,'w6'!$B:$B,'w6'!$G:$G)),0)</f>
        <v>0</v>
      </c>
      <c r="AN95" s="50">
        <f>_xlfn.RANK.EQ(AM95,AM$3:AM$10000,0)</f>
        <v>61</v>
      </c>
      <c r="AO95" s="56">
        <f>IFERROR(_xlfn.XLOOKUP(B95,'w7'!$B:$B,'w7'!$C:$C),0)</f>
        <v>0</v>
      </c>
      <c r="AP95" s="57">
        <f>_xlfn.RANK.EQ(AO95,AO$3:AO$10000,0)</f>
        <v>72</v>
      </c>
      <c r="AQ95" s="58">
        <f>IFERROR(_xlfn.XLOOKUP(B95,'w7'!$B:$B,'w7'!$F:$F),1)</f>
        <v>1</v>
      </c>
      <c r="AR95" s="57">
        <f>_xlfn.RANK.EQ(AQ95,AQ$3:AQ$10000,1)</f>
        <v>72</v>
      </c>
      <c r="AS95" s="57">
        <f>IFERROR(IF(_xlfn.XLOOKUP(B95,'w7'!$B:$B,'w7'!$G:$G)="--",0,_xlfn.XLOOKUP(B95,'w7'!$B:$B,'w7'!$G:$G)),0)</f>
        <v>0</v>
      </c>
      <c r="AT95" s="57">
        <f>_xlfn.RANK.EQ(AS95,AS$3:AS$10000,0)</f>
        <v>69</v>
      </c>
      <c r="AU95" s="62">
        <f>IFERROR(_xlfn.XLOOKUP(B95,'w8'!$B:$B,'w8'!$C:$C),0)</f>
        <v>0</v>
      </c>
      <c r="AV95" s="61">
        <f>_xlfn.RANK.EQ(AU95,AU$3:AU$10000,0)</f>
        <v>73</v>
      </c>
      <c r="AW95" s="63">
        <f>IFERROR(_xlfn.XLOOKUP(B95,'w8'!$B:$B,'w8'!$F:$F),1)</f>
        <v>1</v>
      </c>
      <c r="AX95" s="61">
        <f>_xlfn.RANK.EQ(AW95,AW$3:AW$10000,1)</f>
        <v>73</v>
      </c>
      <c r="AY95" s="61">
        <f>IFERROR(IF(_xlfn.XLOOKUP(B95,'w8'!$B:$B,'w8'!$G:$G)="--",0,_xlfn.XLOOKUP(B95,'w8'!$B:$B,'w8'!$G:$G)),0)</f>
        <v>0</v>
      </c>
      <c r="AZ95" s="61">
        <f>_xlfn.RANK.EQ(AY95,AY$3:AY$10000,0)</f>
        <v>70</v>
      </c>
      <c r="BA95" s="66">
        <f>IFERROR(_xlfn.XLOOKUP(C95,'w9'!$B:$B,'w9'!$C:$C),0)</f>
        <v>0</v>
      </c>
      <c r="BB95" s="67">
        <f>_xlfn.RANK.EQ(BA95,BA$3:BA$10000,0)</f>
        <v>75</v>
      </c>
      <c r="BC95" s="68">
        <f>IFERROR(_xlfn.XLOOKUP(C95,'w9'!$B:$B,'w9'!$F:$F),1)</f>
        <v>1</v>
      </c>
      <c r="BD95" s="67">
        <f>_xlfn.RANK.EQ(BC95,BC$3:BC$10000,1)</f>
        <v>75</v>
      </c>
      <c r="BE95" s="67">
        <f>IFERROR(IF(_xlfn.XLOOKUP(C95,'w9'!$B:$B,'w9'!$G:$G)="--",0,_xlfn.XLOOKUP(C95,'w9'!$B:$B,'w9'!$G:$G)),0)</f>
        <v>0</v>
      </c>
      <c r="BF95" s="67">
        <f>_xlfn.RANK.EQ(BE95,BE$3:BE$10000,0)</f>
        <v>74</v>
      </c>
      <c r="BG95" s="72">
        <f>IFERROR(_xlfn.XLOOKUP(B95,'w10'!$B:$B,'w10'!$C:$C),0)</f>
        <v>0</v>
      </c>
      <c r="BH95" s="74">
        <f>_xlfn.RANK.EQ(BG95,BG$3:BG$10000,0)</f>
        <v>77</v>
      </c>
      <c r="BI95" s="75">
        <f>IFERROR(_xlfn.XLOOKUP(B95,'w10'!$B:$B,'w10'!$F:$F),1)</f>
        <v>1</v>
      </c>
      <c r="BJ95" s="74">
        <f>_xlfn.RANK.EQ(BI95,BI$3:BI$10000,1)</f>
        <v>76</v>
      </c>
      <c r="BK95" s="74">
        <f>IFERROR(IF(_xlfn.XLOOKUP(B95,'w10'!$B:$B,'w10'!$G:$G)="--",0,_xlfn.XLOOKUP(B95,'w10'!$B:$B,'w10'!$G:$G)),0)</f>
        <v>0</v>
      </c>
      <c r="BL95" s="74">
        <f>_xlfn.RANK.EQ(BK95,BK$3:BK$10000,0)</f>
        <v>76</v>
      </c>
      <c r="BM95" s="78">
        <f>IFERROR(_xlfn.XLOOKUP(B95,'w11'!$B:$B,'w11'!$C:$C),0)</f>
        <v>0</v>
      </c>
      <c r="BN95" s="80">
        <f>_xlfn.RANK.EQ(BM95,BM$3:BM$10000,0)</f>
        <v>76</v>
      </c>
      <c r="BO95" s="81">
        <f>IFERROR(_xlfn.XLOOKUP(B95,'w11'!$B:$B,'w11'!$F:$F),1)</f>
        <v>1</v>
      </c>
      <c r="BP95" s="80">
        <f>_xlfn.RANK.EQ(BO95,BO$3:BO$10000,1)</f>
        <v>76</v>
      </c>
      <c r="BQ95" s="80">
        <f>IFERROR(IF(_xlfn.XLOOKUP(B95,'w11'!$B:$B,'w11'!$G:$G)="--",0,_xlfn.XLOOKUP(B95,'w11'!$B:$B,'w11'!$G:$G)),0)</f>
        <v>0</v>
      </c>
      <c r="BR95" s="80">
        <f>_xlfn.RANK.EQ(BQ95,BQ$3:BQ$10000,0)</f>
        <v>75</v>
      </c>
      <c r="BS95" s="83">
        <f>IFERROR(_xlfn.XLOOKUP(B95,'w12'!$B:$B,'w12'!$C:$C),0)</f>
        <v>0</v>
      </c>
      <c r="BT95" s="86">
        <f>_xlfn.RANK.EQ(BS95,BS$3:BS$10000,0)</f>
        <v>76</v>
      </c>
      <c r="BU95" s="87">
        <f>IFERROR(_xlfn.XLOOKUP(B95,'w12'!$B:$B,'w12'!$F:$F),1)</f>
        <v>1</v>
      </c>
      <c r="BV95" s="86">
        <f>_xlfn.RANK.EQ(BU95,BU$3:BU$10000,1)</f>
        <v>76</v>
      </c>
      <c r="BW95" s="86">
        <f>IFERROR(IF(_xlfn.XLOOKUP(B95,'w12'!$B:$B,'w12'!$G:$G)="--",0,_xlfn.XLOOKUP(B95,'w12'!$B:$B,'w12'!$G:$G)),0)</f>
        <v>0</v>
      </c>
      <c r="BX95" s="86">
        <f>_xlfn.RANK.EQ(BW95,BW$3:BW$10000,0)</f>
        <v>73</v>
      </c>
      <c r="BY95" s="89">
        <f>IFERROR(_xlfn.XLOOKUP(B95,'w13'!$B:$B,'w13'!$C:$C),0)</f>
        <v>0</v>
      </c>
      <c r="BZ95" s="92">
        <f>_xlfn.RANK.EQ(BY95,BY$3:BY$10000,0)</f>
        <v>76</v>
      </c>
      <c r="CA95" s="93">
        <f>IFERROR(_xlfn.XLOOKUP(B95,'w13'!$B:$B,'w13'!$F:$F),1)</f>
        <v>1</v>
      </c>
      <c r="CB95" s="92">
        <f>_xlfn.RANK.EQ(CA95,CA$3:CA$10000,1)</f>
        <v>76</v>
      </c>
      <c r="CC95" s="92">
        <f>IFERROR(IF(_xlfn.XLOOKUP(B95,'w13'!$B:$B,'w13'!$G:$G)="--",0,_xlfn.XLOOKUP(B95,'w13'!$B:$B,'w13'!$G:$G)),0)</f>
        <v>0</v>
      </c>
      <c r="CD95" s="92">
        <f>_xlfn.RANK.EQ(CC95,CC$3:CC$10000,0)</f>
        <v>76</v>
      </c>
      <c r="CE95" s="95">
        <f>IFERROR(_xlfn.XLOOKUP(B95,'w14'!$B:$B,'w14'!$C:$C),0)</f>
        <v>0</v>
      </c>
      <c r="CF95" s="98">
        <f>_xlfn.RANK.EQ(CE95,CE$3:CE$10000,0)</f>
        <v>69</v>
      </c>
      <c r="CG95" s="99">
        <f>IFERROR(_xlfn.XLOOKUP(B95,'w14'!$B:$B,'w14'!$F:$F),1)</f>
        <v>1</v>
      </c>
      <c r="CH95" s="98">
        <f>_xlfn.RANK.EQ(CG95,CG$3:CG$10000,1)</f>
        <v>69</v>
      </c>
      <c r="CI95" s="98">
        <f>IFERROR(IF(_xlfn.XLOOKUP(B95,'w14'!$B:$B,'w14'!$G:$G)="--",0,_xlfn.XLOOKUP(B95,'w14'!$B:$B,'w14'!$G:$G)),0)</f>
        <v>0</v>
      </c>
      <c r="CJ95" s="98">
        <f>_xlfn.RANK.EQ(CI95,CI$3:CI$10000,0)</f>
        <v>69</v>
      </c>
      <c r="CK95" s="9">
        <f>_xlfn.RANK.EQ(D95,D$3:D$10000,1)</f>
        <v>93</v>
      </c>
      <c r="CL95" s="26" t="s">
        <v>190</v>
      </c>
      <c r="CM95" s="8">
        <f>SUM(E95,K95,Q95,W95,AC95,AI95,AO95,AU95,BA95,BG95,BM95,BS95,BY95,CE95)</f>
        <v>27.799999999999997</v>
      </c>
      <c r="CN95" s="9">
        <f>_xlfn.RANK.EQ(CM95,CM$3:CM$10000)</f>
        <v>92</v>
      </c>
      <c r="CO95" s="15">
        <f>IFERROR(SUM(PRODUCT(E95,G95),PRODUCT(K95,M95),PRODUCT(Q95,S95),PRODUCT(W95,Y95),PRODUCT(AC95,AE95),PRODUCT(AI95,AK95),PRODUCT(AO95,AQ95),PRODUCT(AU95,AW95),PRODUCT(BA95,BC95),PRODUCT(BG95,BI95),PRODUCT(BM95,BO95),PRODUCT(BS95,BU95),PRODUCT(BY95,CA95),PRODUCT(CE95,CG95))/CM95,1)</f>
        <v>0.90907274180655484</v>
      </c>
      <c r="CP95" s="9">
        <f>_xlfn.RANK.EQ(CO95,CO$3:CO$10000,1)</f>
        <v>106</v>
      </c>
      <c r="CQ95" s="9">
        <f>SUM(I95,O95,U95,AA95,AG95,AM95,AS95,AY95,BE95,BK95,BQ95,BW95,CC95,CI95)</f>
        <v>729</v>
      </c>
      <c r="CR95" s="9">
        <f>_xlfn.RANK.EQ(CQ95,CQ$3:CQ$10000)</f>
        <v>81</v>
      </c>
      <c r="CS95" s="23"/>
      <c r="CT95" s="25"/>
      <c r="CU95" s="24">
        <f>_xlfn.STDEV.S(F95,L95,R95,X95,AD95,AJ95,AP95,AV95,BB95,BH95,BN95,BT95,BZ95,CF95)</f>
        <v>7.3991386490085969</v>
      </c>
      <c r="CV95" s="21">
        <f>_xlfn.RANK.EQ(CU95,CU$3:CU$10000,1)</f>
        <v>22</v>
      </c>
      <c r="CW95" s="24">
        <f>_xlfn.STDEV.S(H95,N95,T95,Z95,AF95,AL95,AR95,AX95,BD95,BJ95,BP95,BV95,CB95,CH95)</f>
        <v>23.601545861086443</v>
      </c>
      <c r="CX95" s="21">
        <f>_xlfn.RANK.EQ(CW95,CW$3:CW$10000,1)</f>
        <v>90</v>
      </c>
      <c r="CY95" s="24">
        <f>_xlfn.STDEV.S(J95,P95,V95,AB95,AH95,AN95,AT95,AZ95,BF95,BL95,BR95,BX95,CD95,CJ95)</f>
        <v>17.009531910789772</v>
      </c>
      <c r="CZ95" s="21">
        <f>_xlfn.RANK.EQ(CY95,CY$3:CY$10000,1)</f>
        <v>68</v>
      </c>
      <c r="DA95">
        <f>SUM(COUNTIF(E95,"&gt;0"),COUNTIF(K95,"&gt;0"),COUNTIF(Q95,"&gt;0"),COUNTIF(W95,"&gt;0"),COUNTIF(AC95,"&gt;0"),COUNTIF(AI95,"&gt;0"),COUNTIF(AO95,"&gt;0"),COUNTIF(AU95,"&gt;0"),COUNTIF(BA95,"&gt;0"),COUNTIF(BG95,"&gt;0"),COUNTIF(BM95,"&gt;0"),COUNTIF(BS95,"&gt;0"),COUNTIF(BY95,"&gt;0"),COUNTIF(CE95,"&gt;0"))</f>
        <v>3</v>
      </c>
    </row>
    <row r="96" spans="2:105" x14ac:dyDescent="0.3">
      <c r="B96" t="s">
        <v>474</v>
      </c>
      <c r="C96" s="18" t="s">
        <v>475</v>
      </c>
      <c r="D96" s="4">
        <f>CN96*$CN$1+CP96*$CP$1+CR96*$CR$1</f>
        <v>92.874999999999986</v>
      </c>
      <c r="E96" s="29">
        <f>IFERROR(_xlfn.XLOOKUP(B96,'w1'!$B:$B,'w1'!$C:$C),0)</f>
        <v>0</v>
      </c>
      <c r="F96" s="30">
        <f>_xlfn.RANK.EQ(E96,E$3:E$10000,0)</f>
        <v>79</v>
      </c>
      <c r="G96" s="31">
        <f>IFERROR(_xlfn.XLOOKUP(B96,'w1'!$B:$B,'w1'!$F:$F),1)</f>
        <v>1</v>
      </c>
      <c r="H96" s="30">
        <f>_xlfn.RANK.EQ(G96,G$3:G$10000,1)</f>
        <v>79</v>
      </c>
      <c r="I96" s="30">
        <f>IFERROR(IF(_xlfn.XLOOKUP(B96,'w1'!$B:$B,'w1'!$G:$G)="--",0,_xlfn.XLOOKUP(B96,'w1'!$B:$B,'w1'!$G:$G)),0)</f>
        <v>0</v>
      </c>
      <c r="J96" s="30">
        <f>_xlfn.RANK.EQ(I96,I$3:I$10000,0)</f>
        <v>77</v>
      </c>
      <c r="K96" s="34">
        <f>IFERROR(_xlfn.XLOOKUP(B96,'w2'!$B:$B,'w2'!$C:$C),0)</f>
        <v>0</v>
      </c>
      <c r="L96" s="35">
        <f>_xlfn.RANK.EQ(K96,K$3:K$10000,0)</f>
        <v>73</v>
      </c>
      <c r="M96" s="36">
        <f>IFERROR(_xlfn.XLOOKUP(B96,'w2'!$B:$B,'w2'!$F:$F),1)</f>
        <v>1</v>
      </c>
      <c r="N96" s="35">
        <f>_xlfn.RANK.EQ(M96,M$3:M$10000,1)</f>
        <v>72</v>
      </c>
      <c r="O96" s="35">
        <f>IFERROR(IF(_xlfn.XLOOKUP(B96,'w2'!$B:$B,'w2'!$G:$G)="--",0,_xlfn.XLOOKUP(B96,'w2'!$B:$B,'w2'!$G:$G)),0)</f>
        <v>0</v>
      </c>
      <c r="P96" s="35">
        <f>_xlfn.RANK.EQ(O96,O$3:O$10000,0)</f>
        <v>71</v>
      </c>
      <c r="Q96" s="39">
        <f>IFERROR(_xlfn.XLOOKUP(B96,'w3'!$B:$B,'w3'!$C:$C),0)</f>
        <v>0</v>
      </c>
      <c r="R96" s="40">
        <f>_xlfn.RANK.EQ(Q96,Q$3:Q$10000,0)</f>
        <v>84</v>
      </c>
      <c r="S96" s="41">
        <f>IFERROR(_xlfn.XLOOKUP(B96,'w3'!$B:$B,'w3'!$F:$F),1)</f>
        <v>1</v>
      </c>
      <c r="T96" s="40">
        <f>_xlfn.RANK.EQ(S96,S$3:S$10000,1)</f>
        <v>83</v>
      </c>
      <c r="U96" s="40">
        <f>IFERROR(IF(_xlfn.XLOOKUP(B96,'w3'!$B:$B,'w3'!$G:$G)="--",0,_xlfn.XLOOKUP(B96,'w3'!$B:$B,'w3'!$G:$G)),0)</f>
        <v>0</v>
      </c>
      <c r="V96" s="40">
        <f>_xlfn.RANK.EQ(U96,U$3:U$10000,0)</f>
        <v>80</v>
      </c>
      <c r="W96" s="44">
        <f>IFERROR(_xlfn.XLOOKUP(B96,'w4'!$B:$B,'w4'!$C:$C),0)</f>
        <v>0</v>
      </c>
      <c r="X96" s="45">
        <f>_xlfn.RANK.EQ(W96,W$3:W$10000,0)</f>
        <v>76</v>
      </c>
      <c r="Y96" s="46">
        <f>IFERROR(_xlfn.XLOOKUP(B96,'w4'!$B:$B,'w4'!$F:$F),1)</f>
        <v>1</v>
      </c>
      <c r="Z96" s="45">
        <f>_xlfn.RANK.EQ(Y96,Y$3:Y$10000,1)</f>
        <v>76</v>
      </c>
      <c r="AA96" s="45">
        <f>IFERROR(IF(_xlfn.XLOOKUP(B96,'w4'!$B:$B,'w4'!$G:$G)="--",0,_xlfn.XLOOKUP(B96,'w4'!$B:$B,'w4'!$G:$G)),0)</f>
        <v>0</v>
      </c>
      <c r="AB96" s="45">
        <f>_xlfn.RANK.EQ(AA96,AA$3:AA$10000,0)</f>
        <v>68</v>
      </c>
      <c r="AC96" s="13">
        <f>IFERROR(_xlfn.XLOOKUP(B96,'w5'!$B:$B,'w5'!$C:$C),0)</f>
        <v>0</v>
      </c>
      <c r="AD96" s="12">
        <f>_xlfn.RANK.EQ(AC96,AC$3:AC$10000,0)</f>
        <v>77</v>
      </c>
      <c r="AE96" s="47">
        <f>IFERROR(_xlfn.XLOOKUP(B96,'w5'!$B:$B,'w5'!$F:$F),1)</f>
        <v>1</v>
      </c>
      <c r="AF96" s="12">
        <f>_xlfn.RANK.EQ(AE96,AE$3:AE$10000,1)</f>
        <v>76</v>
      </c>
      <c r="AG96" s="12">
        <f>IFERROR(IF(_xlfn.XLOOKUP(B96,'w5'!$B:$B,'w5'!$G:$G)="--",0,_xlfn.XLOOKUP(B96,'w5'!$B:$B,'w5'!$G:$G)),0)</f>
        <v>0</v>
      </c>
      <c r="AH96" s="12">
        <f>_xlfn.RANK.EQ(AG96,AG$3:AG$10000,0)</f>
        <v>73</v>
      </c>
      <c r="AI96" s="51">
        <f>IFERROR(_xlfn.XLOOKUP(B96,'w6'!$B:$B,'w6'!$C:$C),0)</f>
        <v>0</v>
      </c>
      <c r="AJ96" s="50">
        <f>_xlfn.RANK.EQ(AI96,AI$3:AI$10000,0)</f>
        <v>65</v>
      </c>
      <c r="AK96" s="52">
        <f>IFERROR(_xlfn.XLOOKUP(B96,'w6'!$B:$B,'w6'!$F:$F),1)</f>
        <v>1</v>
      </c>
      <c r="AL96" s="50">
        <f>_xlfn.RANK.EQ(AK96,AK$3:AK$10000,1)</f>
        <v>65</v>
      </c>
      <c r="AM96" s="50">
        <f>IFERROR(IF(_xlfn.XLOOKUP(B96,'w6'!$B:$B,'w6'!$G:$G)="--",0,_xlfn.XLOOKUP(B96,'w6'!$B:$B,'w6'!$G:$G)),0)</f>
        <v>0</v>
      </c>
      <c r="AN96" s="50">
        <f>_xlfn.RANK.EQ(AM96,AM$3:AM$10000,0)</f>
        <v>61</v>
      </c>
      <c r="AO96" s="56">
        <f>IFERROR(_xlfn.XLOOKUP(B96,'w7'!$B:$B,'w7'!$C:$C),0)</f>
        <v>0</v>
      </c>
      <c r="AP96" s="57">
        <f>_xlfn.RANK.EQ(AO96,AO$3:AO$10000,0)</f>
        <v>72</v>
      </c>
      <c r="AQ96" s="58">
        <f>IFERROR(_xlfn.XLOOKUP(B96,'w7'!$B:$B,'w7'!$F:$F),1)</f>
        <v>1</v>
      </c>
      <c r="AR96" s="57">
        <f>_xlfn.RANK.EQ(AQ96,AQ$3:AQ$10000,1)</f>
        <v>72</v>
      </c>
      <c r="AS96" s="57">
        <f>IFERROR(IF(_xlfn.XLOOKUP(B96,'w7'!$B:$B,'w7'!$G:$G)="--",0,_xlfn.XLOOKUP(B96,'w7'!$B:$B,'w7'!$G:$G)),0)</f>
        <v>0</v>
      </c>
      <c r="AT96" s="57">
        <f>_xlfn.RANK.EQ(AS96,AS$3:AS$10000,0)</f>
        <v>69</v>
      </c>
      <c r="AU96" s="62">
        <f>IFERROR(_xlfn.XLOOKUP(B96,'w8'!$B:$B,'w8'!$C:$C),0)</f>
        <v>0</v>
      </c>
      <c r="AV96" s="61">
        <f>_xlfn.RANK.EQ(AU96,AU$3:AU$10000,0)</f>
        <v>73</v>
      </c>
      <c r="AW96" s="63">
        <f>IFERROR(_xlfn.XLOOKUP(B96,'w8'!$B:$B,'w8'!$F:$F),1)</f>
        <v>1</v>
      </c>
      <c r="AX96" s="61">
        <f>_xlfn.RANK.EQ(AW96,AW$3:AW$10000,1)</f>
        <v>73</v>
      </c>
      <c r="AY96" s="61">
        <f>IFERROR(IF(_xlfn.XLOOKUP(B96,'w8'!$B:$B,'w8'!$G:$G)="--",0,_xlfn.XLOOKUP(B96,'w8'!$B:$B,'w8'!$G:$G)),0)</f>
        <v>0</v>
      </c>
      <c r="AZ96" s="61">
        <f>_xlfn.RANK.EQ(AY96,AY$3:AY$10000,0)</f>
        <v>70</v>
      </c>
      <c r="BA96" s="66">
        <f>IFERROR(_xlfn.XLOOKUP(C96,'w9'!$B:$B,'w9'!$C:$C),0)</f>
        <v>0</v>
      </c>
      <c r="BB96" s="67">
        <f>_xlfn.RANK.EQ(BA96,BA$3:BA$10000,0)</f>
        <v>75</v>
      </c>
      <c r="BC96" s="68">
        <f>IFERROR(_xlfn.XLOOKUP(C96,'w9'!$B:$B,'w9'!$F:$F),1)</f>
        <v>1</v>
      </c>
      <c r="BD96" s="67">
        <f>_xlfn.RANK.EQ(BC96,BC$3:BC$10000,1)</f>
        <v>75</v>
      </c>
      <c r="BE96" s="67">
        <f>IFERROR(IF(_xlfn.XLOOKUP(C96,'w9'!$B:$B,'w9'!$G:$G)="--",0,_xlfn.XLOOKUP(C96,'w9'!$B:$B,'w9'!$G:$G)),0)</f>
        <v>0</v>
      </c>
      <c r="BF96" s="67">
        <f>_xlfn.RANK.EQ(BE96,BE$3:BE$10000,0)</f>
        <v>74</v>
      </c>
      <c r="BG96" s="72">
        <f>IFERROR(_xlfn.XLOOKUP(B96,'w10'!$B:$B,'w10'!$C:$C),0)</f>
        <v>0</v>
      </c>
      <c r="BH96" s="74">
        <f>_xlfn.RANK.EQ(BG96,BG$3:BG$10000,0)</f>
        <v>77</v>
      </c>
      <c r="BI96" s="75">
        <f>IFERROR(_xlfn.XLOOKUP(B96,'w10'!$B:$B,'w10'!$F:$F),1)</f>
        <v>1</v>
      </c>
      <c r="BJ96" s="74">
        <f>_xlfn.RANK.EQ(BI96,BI$3:BI$10000,1)</f>
        <v>76</v>
      </c>
      <c r="BK96" s="74">
        <f>IFERROR(IF(_xlfn.XLOOKUP(B96,'w10'!$B:$B,'w10'!$G:$G)="--",0,_xlfn.XLOOKUP(B96,'w10'!$B:$B,'w10'!$G:$G)),0)</f>
        <v>0</v>
      </c>
      <c r="BL96" s="74">
        <f>_xlfn.RANK.EQ(BK96,BK$3:BK$10000,0)</f>
        <v>76</v>
      </c>
      <c r="BM96" s="78">
        <f>IFERROR(_xlfn.XLOOKUP(B96,'w11'!$B:$B,'w11'!$C:$C),0)</f>
        <v>0</v>
      </c>
      <c r="BN96" s="80">
        <f>_xlfn.RANK.EQ(BM96,BM$3:BM$10000,0)</f>
        <v>76</v>
      </c>
      <c r="BO96" s="81">
        <f>IFERROR(_xlfn.XLOOKUP(B96,'w11'!$B:$B,'w11'!$F:$F),1)</f>
        <v>1</v>
      </c>
      <c r="BP96" s="80">
        <f>_xlfn.RANK.EQ(BO96,BO$3:BO$10000,1)</f>
        <v>76</v>
      </c>
      <c r="BQ96" s="80">
        <f>IFERROR(IF(_xlfn.XLOOKUP(B96,'w11'!$B:$B,'w11'!$G:$G)="--",0,_xlfn.XLOOKUP(B96,'w11'!$B:$B,'w11'!$G:$G)),0)</f>
        <v>0</v>
      </c>
      <c r="BR96" s="80">
        <f>_xlfn.RANK.EQ(BQ96,BQ$3:BQ$10000,0)</f>
        <v>75</v>
      </c>
      <c r="BS96" s="83">
        <f>IFERROR(_xlfn.XLOOKUP(B96,'w12'!$B:$B,'w12'!$C:$C),0)</f>
        <v>0.5</v>
      </c>
      <c r="BT96" s="86">
        <f>_xlfn.RANK.EQ(BS96,BS$3:BS$10000,0)</f>
        <v>75</v>
      </c>
      <c r="BU96" s="87">
        <f>IFERROR(_xlfn.XLOOKUP(B96,'w12'!$B:$B,'w12'!$F:$F),1)</f>
        <v>0.19791666666666666</v>
      </c>
      <c r="BV96" s="86">
        <f>_xlfn.RANK.EQ(BU96,BU$3:BU$10000,1)</f>
        <v>1</v>
      </c>
      <c r="BW96" s="86">
        <f>IFERROR(IF(_xlfn.XLOOKUP(B96,'w12'!$B:$B,'w12'!$G:$G)="--",0,_xlfn.XLOOKUP(B96,'w12'!$B:$B,'w12'!$G:$G)),0)</f>
        <v>0</v>
      </c>
      <c r="BX96" s="86">
        <f>_xlfn.RANK.EQ(BW96,BW$3:BW$10000,0)</f>
        <v>73</v>
      </c>
      <c r="BY96" s="89">
        <f>IFERROR(_xlfn.XLOOKUP(B96,'w13'!$B:$B,'w13'!$C:$C),0)</f>
        <v>13.5</v>
      </c>
      <c r="BZ96" s="92">
        <f>_xlfn.RANK.EQ(BY96,BY$3:BY$10000,0)</f>
        <v>58</v>
      </c>
      <c r="CA96" s="93">
        <f>IFERROR(_xlfn.XLOOKUP(B96,'w13'!$B:$B,'w13'!$F:$F),1)</f>
        <v>0.29652777777777778</v>
      </c>
      <c r="CB96" s="92">
        <f>_xlfn.RANK.EQ(CA96,CA$3:CA$10000,1)</f>
        <v>48</v>
      </c>
      <c r="CC96" s="92">
        <f>IFERROR(IF(_xlfn.XLOOKUP(B96,'w13'!$B:$B,'w13'!$G:$G)="--",0,_xlfn.XLOOKUP(B96,'w13'!$B:$B,'w13'!$G:$G)),0)</f>
        <v>99</v>
      </c>
      <c r="CD96" s="92">
        <f>_xlfn.RANK.EQ(CC96,CC$3:CC$10000,0)</f>
        <v>52</v>
      </c>
      <c r="CE96" s="95">
        <f>IFERROR(_xlfn.XLOOKUP(B96,'w14'!$B:$B,'w14'!$C:$C),0)</f>
        <v>10.1</v>
      </c>
      <c r="CF96" s="98">
        <f>_xlfn.RANK.EQ(CE96,CE$3:CE$10000,0)</f>
        <v>57</v>
      </c>
      <c r="CG96" s="99">
        <f>IFERROR(_xlfn.XLOOKUP(B96,'w14'!$B:$B,'w14'!$F:$F),1)</f>
        <v>0.27291666666666664</v>
      </c>
      <c r="CH96" s="98">
        <f>_xlfn.RANK.EQ(CG96,CG$3:CG$10000,1)</f>
        <v>33</v>
      </c>
      <c r="CI96" s="98">
        <f>IFERROR(IF(_xlfn.XLOOKUP(B96,'w14'!$B:$B,'w14'!$G:$G)="--",0,_xlfn.XLOOKUP(B96,'w14'!$B:$B,'w14'!$G:$G)),0)</f>
        <v>118</v>
      </c>
      <c r="CJ96" s="98">
        <f>_xlfn.RANK.EQ(CI96,CI$3:CI$10000,0)</f>
        <v>46</v>
      </c>
      <c r="CK96" s="9">
        <f>_xlfn.RANK.EQ(D96,D$3:D$10000,1)</f>
        <v>94</v>
      </c>
      <c r="CL96" s="7" t="s">
        <v>475</v>
      </c>
      <c r="CM96" s="8">
        <f>SUM(E96,K96,Q96,W96,AC96,AI96,AO96,AU96,BA96,BG96,BM96,BS96,BY96,CE96)</f>
        <v>24.1</v>
      </c>
      <c r="CN96" s="9">
        <f>_xlfn.RANK.EQ(CM96,CM$3:CM$10000)</f>
        <v>94</v>
      </c>
      <c r="CO96" s="15">
        <f>IFERROR(SUM(PRODUCT(E96,G96),PRODUCT(K96,M96),PRODUCT(Q96,S96),PRODUCT(W96,Y96),PRODUCT(AC96,AE96),PRODUCT(AI96,AK96),PRODUCT(AO96,AQ96),PRODUCT(AU96,AW96),PRODUCT(BA96,BC96),PRODUCT(BG96,BI96),PRODUCT(BM96,BO96),PRODUCT(BS96,BU96),PRODUCT(BY96,CA96),PRODUCT(CE96,CG96))/CM96,1)</f>
        <v>0.2845867911479944</v>
      </c>
      <c r="CP96" s="9">
        <f>_xlfn.RANK.EQ(CO96,CO$3:CO$10000,1)</f>
        <v>49</v>
      </c>
      <c r="CQ96" s="9">
        <f>SUM(I96,O96,U96,AA96,AG96,AM96,AS96,AY96,BE96,BK96,BQ96,BW96,CC96,CI96)</f>
        <v>217</v>
      </c>
      <c r="CR96" s="9">
        <f>_xlfn.RANK.EQ(CQ96,CQ$3:CQ$10000)</f>
        <v>94</v>
      </c>
      <c r="CS96" s="23"/>
      <c r="CT96" s="25"/>
      <c r="CU96" s="24">
        <f>_xlfn.STDEV.S(F96,L96,R96,X96,AD96,AJ96,AP96,AV96,BB96,BH96,BN96,BT96,BZ96,CF96)</f>
        <v>7.6420611683693833</v>
      </c>
      <c r="CV96" s="21">
        <f>_xlfn.RANK.EQ(CU96,CU$3:CU$10000,1)</f>
        <v>23</v>
      </c>
      <c r="CW96" s="24">
        <f>_xlfn.STDEV.S(H96,N96,T96,Z96,AF96,AL96,AR96,AX96,BD96,BJ96,BP96,BV96,CB96,CH96)</f>
        <v>22.65665853174681</v>
      </c>
      <c r="CX96" s="21">
        <f>_xlfn.RANK.EQ(CW96,CW$3:CW$10000,1)</f>
        <v>84</v>
      </c>
      <c r="CY96" s="24">
        <f>_xlfn.STDEV.S(J96,P96,V96,AB96,AH96,AN96,AT96,AZ96,BF96,BL96,BR96,BX96,CD96,CJ96)</f>
        <v>9.6672666227865811</v>
      </c>
      <c r="CZ96" s="21">
        <f>_xlfn.RANK.EQ(CY96,CY$3:CY$10000,1)</f>
        <v>24</v>
      </c>
      <c r="DA96">
        <f>SUM(COUNTIF(E96,"&gt;0"),COUNTIF(K96,"&gt;0"),COUNTIF(Q96,"&gt;0"),COUNTIF(W96,"&gt;0"),COUNTIF(AC96,"&gt;0"),COUNTIF(AI96,"&gt;0"),COUNTIF(AO96,"&gt;0"),COUNTIF(AU96,"&gt;0"),COUNTIF(BA96,"&gt;0"),COUNTIF(BG96,"&gt;0"),COUNTIF(BM96,"&gt;0"),COUNTIF(BS96,"&gt;0"),COUNTIF(BY96,"&gt;0"),COUNTIF(CE96,"&gt;0"))</f>
        <v>3</v>
      </c>
    </row>
    <row r="97" spans="2:105" x14ac:dyDescent="0.3">
      <c r="B97" t="s">
        <v>220</v>
      </c>
      <c r="C97" s="18" t="s">
        <v>223</v>
      </c>
      <c r="D97" s="4">
        <f>CN97*$CN$1+CP97*$CP$1+CR97*$CR$1</f>
        <v>94.624999999999986</v>
      </c>
      <c r="E97" s="29">
        <f>IFERROR(_xlfn.XLOOKUP(B97,'w1'!$B:$B,'w1'!$C:$C),0)</f>
        <v>0</v>
      </c>
      <c r="F97" s="30">
        <f>_xlfn.RANK.EQ(E97,E$3:E$10000,0)</f>
        <v>79</v>
      </c>
      <c r="G97" s="31">
        <f>IFERROR(_xlfn.XLOOKUP(B97,'w1'!$B:$B,'w1'!$F:$F),1)</f>
        <v>1</v>
      </c>
      <c r="H97" s="30">
        <f>_xlfn.RANK.EQ(G97,G$3:G$10000,1)</f>
        <v>79</v>
      </c>
      <c r="I97" s="30">
        <f>IFERROR(IF(_xlfn.XLOOKUP(B97,'w1'!$B:$B,'w1'!$G:$G)="--",0,_xlfn.XLOOKUP(B97,'w1'!$B:$B,'w1'!$G:$G)),0)</f>
        <v>0</v>
      </c>
      <c r="J97" s="30">
        <f>_xlfn.RANK.EQ(I97,I$3:I$10000,0)</f>
        <v>77</v>
      </c>
      <c r="K97" s="34">
        <f>IFERROR(_xlfn.XLOOKUP(B97,'w2'!$B:$B,'w2'!$C:$C),0)</f>
        <v>0</v>
      </c>
      <c r="L97" s="35">
        <f>_xlfn.RANK.EQ(K97,K$3:K$10000,0)</f>
        <v>73</v>
      </c>
      <c r="M97" s="36">
        <f>IFERROR(_xlfn.XLOOKUP(B97,'w2'!$B:$B,'w2'!$F:$F),1)</f>
        <v>1</v>
      </c>
      <c r="N97" s="35">
        <f>_xlfn.RANK.EQ(M97,M$3:M$10000,1)</f>
        <v>72</v>
      </c>
      <c r="O97" s="35">
        <f>IFERROR(IF(_xlfn.XLOOKUP(B97,'w2'!$B:$B,'w2'!$G:$G)="--",0,_xlfn.XLOOKUP(B97,'w2'!$B:$B,'w2'!$G:$G)),0)</f>
        <v>0</v>
      </c>
      <c r="P97" s="35">
        <f>_xlfn.RANK.EQ(O97,O$3:O$10000,0)</f>
        <v>71</v>
      </c>
      <c r="Q97" s="39">
        <f>IFERROR(_xlfn.XLOOKUP(B97,'w3'!$B:$B,'w3'!$C:$C),0)</f>
        <v>0</v>
      </c>
      <c r="R97" s="40">
        <f>_xlfn.RANK.EQ(Q97,Q$3:Q$10000,0)</f>
        <v>84</v>
      </c>
      <c r="S97" s="41">
        <f>IFERROR(_xlfn.XLOOKUP(B97,'w3'!$B:$B,'w3'!$F:$F),1)</f>
        <v>1</v>
      </c>
      <c r="T97" s="40">
        <f>_xlfn.RANK.EQ(S97,S$3:S$10000,1)</f>
        <v>83</v>
      </c>
      <c r="U97" s="40">
        <f>IFERROR(IF(_xlfn.XLOOKUP(B97,'w3'!$B:$B,'w3'!$G:$G)="--",0,_xlfn.XLOOKUP(B97,'w3'!$B:$B,'w3'!$G:$G)),0)</f>
        <v>0</v>
      </c>
      <c r="V97" s="40">
        <f>_xlfn.RANK.EQ(U97,U$3:U$10000,0)</f>
        <v>80</v>
      </c>
      <c r="W97" s="44">
        <f>IFERROR(_xlfn.XLOOKUP(B97,'w4'!$B:$B,'w4'!$C:$C),0)</f>
        <v>0</v>
      </c>
      <c r="X97" s="45">
        <f>_xlfn.RANK.EQ(W97,W$3:W$10000,0)</f>
        <v>76</v>
      </c>
      <c r="Y97" s="46">
        <f>IFERROR(_xlfn.XLOOKUP(B97,'w4'!$B:$B,'w4'!$F:$F),1)</f>
        <v>1</v>
      </c>
      <c r="Z97" s="45">
        <f>_xlfn.RANK.EQ(Y97,Y$3:Y$10000,1)</f>
        <v>76</v>
      </c>
      <c r="AA97" s="45">
        <f>IFERROR(IF(_xlfn.XLOOKUP(B97,'w4'!$B:$B,'w4'!$G:$G)="--",0,_xlfn.XLOOKUP(B97,'w4'!$B:$B,'w4'!$G:$G)),0)</f>
        <v>0</v>
      </c>
      <c r="AB97" s="45">
        <f>_xlfn.RANK.EQ(AA97,AA$3:AA$10000,0)</f>
        <v>68</v>
      </c>
      <c r="AC97" s="13">
        <f>IFERROR(_xlfn.XLOOKUP(B97,'w5'!$B:$B,'w5'!$C:$C),0)</f>
        <v>0</v>
      </c>
      <c r="AD97" s="12">
        <f>_xlfn.RANK.EQ(AC97,AC$3:AC$10000,0)</f>
        <v>77</v>
      </c>
      <c r="AE97" s="14">
        <f>IFERROR(_xlfn.XLOOKUP(B97,'w5'!$B:$B,'w5'!$F:$F),1)</f>
        <v>1</v>
      </c>
      <c r="AF97" s="12">
        <f>_xlfn.RANK.EQ(AE97,AE$3:AE$10000,1)</f>
        <v>76</v>
      </c>
      <c r="AG97" s="12">
        <f>IFERROR(IF(_xlfn.XLOOKUP(B97,'w5'!$B:$B,'w5'!$G:$G)="--",0,_xlfn.XLOOKUP(B97,'w5'!$B:$B,'w5'!$G:$G)),0)</f>
        <v>0</v>
      </c>
      <c r="AH97" s="12">
        <f>_xlfn.RANK.EQ(AG97,AG$3:AG$10000,0)</f>
        <v>73</v>
      </c>
      <c r="AI97" s="51">
        <f>IFERROR(_xlfn.XLOOKUP(B97,'w6'!$B:$B,'w6'!$C:$C),0)</f>
        <v>4</v>
      </c>
      <c r="AJ97" s="50">
        <f>_xlfn.RANK.EQ(AI97,AI$3:AI$10000,0)</f>
        <v>62</v>
      </c>
      <c r="AK97" s="53">
        <f>IFERROR(_xlfn.XLOOKUP(B97,'w6'!$B:$B,'w6'!$F:$F),1)</f>
        <v>0.27500000000000002</v>
      </c>
      <c r="AL97" s="50">
        <f>_xlfn.RANK.EQ(AK97,AK$3:AK$10000,1)</f>
        <v>29</v>
      </c>
      <c r="AM97" s="50">
        <f>IFERROR(IF(_xlfn.XLOOKUP(B97,'w6'!$B:$B,'w6'!$G:$G)="--",0,_xlfn.XLOOKUP(B97,'w6'!$B:$B,'w6'!$G:$G)),0)</f>
        <v>69</v>
      </c>
      <c r="AN97" s="50">
        <f>_xlfn.RANK.EQ(AM97,AM$3:AM$10000,0)</f>
        <v>55</v>
      </c>
      <c r="AO97" s="56">
        <f>IFERROR(_xlfn.XLOOKUP(B97,'w7'!$B:$B,'w7'!$C:$C),0)</f>
        <v>0</v>
      </c>
      <c r="AP97" s="57">
        <f>_xlfn.RANK.EQ(AO97,AO$3:AO$10000,0)</f>
        <v>72</v>
      </c>
      <c r="AQ97" s="58">
        <f>IFERROR(_xlfn.XLOOKUP(B97,'w7'!$B:$B,'w7'!$F:$F),1)</f>
        <v>1</v>
      </c>
      <c r="AR97" s="57">
        <f>_xlfn.RANK.EQ(AQ97,AQ$3:AQ$10000,1)</f>
        <v>72</v>
      </c>
      <c r="AS97" s="57">
        <f>IFERROR(IF(_xlfn.XLOOKUP(B97,'w7'!$B:$B,'w7'!$G:$G)="--",0,_xlfn.XLOOKUP(B97,'w7'!$B:$B,'w7'!$G:$G)),0)</f>
        <v>0</v>
      </c>
      <c r="AT97" s="57">
        <f>_xlfn.RANK.EQ(AS97,AS$3:AS$10000,0)</f>
        <v>69</v>
      </c>
      <c r="AU97" s="62">
        <f>IFERROR(_xlfn.XLOOKUP(B97,'w8'!$B:$B,'w8'!$C:$C),0)</f>
        <v>10</v>
      </c>
      <c r="AV97" s="61">
        <f>_xlfn.RANK.EQ(AU97,AU$3:AU$10000,0)</f>
        <v>62</v>
      </c>
      <c r="AW97" s="63">
        <f>IFERROR(_xlfn.XLOOKUP(B97,'w8'!$B:$B,'w8'!$F:$F),1)</f>
        <v>0.26666666666666666</v>
      </c>
      <c r="AX97" s="61">
        <f>_xlfn.RANK.EQ(AW97,AW$3:AW$10000,1)</f>
        <v>29</v>
      </c>
      <c r="AY97" s="61">
        <f>IFERROR(IF(_xlfn.XLOOKUP(B97,'w8'!$B:$B,'w8'!$G:$G)="--",0,_xlfn.XLOOKUP(B97,'w8'!$B:$B,'w8'!$G:$G)),0)</f>
        <v>24</v>
      </c>
      <c r="AZ97" s="61">
        <f>_xlfn.RANK.EQ(AY97,AY$3:AY$10000,0)</f>
        <v>65</v>
      </c>
      <c r="BA97" s="66">
        <f>IFERROR(_xlfn.XLOOKUP(C97,'w9'!$B:$B,'w9'!$C:$C),0)</f>
        <v>0</v>
      </c>
      <c r="BB97" s="67">
        <f>_xlfn.RANK.EQ(BA97,BA$3:BA$10000,0)</f>
        <v>75</v>
      </c>
      <c r="BC97" s="68">
        <f>IFERROR(_xlfn.XLOOKUP(C97,'w9'!$B:$B,'w9'!$F:$F),1)</f>
        <v>1</v>
      </c>
      <c r="BD97" s="67">
        <f>_xlfn.RANK.EQ(BC97,BC$3:BC$10000,1)</f>
        <v>75</v>
      </c>
      <c r="BE97" s="67">
        <f>IFERROR(IF(_xlfn.XLOOKUP(C97,'w9'!$B:$B,'w9'!$G:$G)="--",0,_xlfn.XLOOKUP(C97,'w9'!$B:$B,'w9'!$G:$G)),0)</f>
        <v>0</v>
      </c>
      <c r="BF97" s="67">
        <f>_xlfn.RANK.EQ(BE97,BE$3:BE$10000,0)</f>
        <v>74</v>
      </c>
      <c r="BG97" s="72">
        <f>IFERROR(_xlfn.XLOOKUP(B97,'w10'!$B:$B,'w10'!$C:$C),0)</f>
        <v>0</v>
      </c>
      <c r="BH97" s="74">
        <f>_xlfn.RANK.EQ(BG97,BG$3:BG$10000,0)</f>
        <v>77</v>
      </c>
      <c r="BI97" s="75">
        <f>IFERROR(_xlfn.XLOOKUP(B97,'w10'!$B:$B,'w10'!$F:$F),1)</f>
        <v>1</v>
      </c>
      <c r="BJ97" s="74">
        <f>_xlfn.RANK.EQ(BI97,BI$3:BI$10000,1)</f>
        <v>76</v>
      </c>
      <c r="BK97" s="74">
        <f>IFERROR(IF(_xlfn.XLOOKUP(B97,'w10'!$B:$B,'w10'!$G:$G)="--",0,_xlfn.XLOOKUP(B97,'w10'!$B:$B,'w10'!$G:$G)),0)</f>
        <v>0</v>
      </c>
      <c r="BL97" s="74">
        <f>_xlfn.RANK.EQ(BK97,BK$3:BK$10000,0)</f>
        <v>76</v>
      </c>
      <c r="BM97" s="78">
        <f>IFERROR(_xlfn.XLOOKUP(B97,'w11'!$B:$B,'w11'!$C:$C),0)</f>
        <v>0</v>
      </c>
      <c r="BN97" s="80">
        <f>_xlfn.RANK.EQ(BM97,BM$3:BM$10000,0)</f>
        <v>76</v>
      </c>
      <c r="BO97" s="81">
        <f>IFERROR(_xlfn.XLOOKUP(B97,'w11'!$B:$B,'w11'!$F:$F),1)</f>
        <v>1</v>
      </c>
      <c r="BP97" s="80">
        <f>_xlfn.RANK.EQ(BO97,BO$3:BO$10000,1)</f>
        <v>76</v>
      </c>
      <c r="BQ97" s="80">
        <f>IFERROR(IF(_xlfn.XLOOKUP(B97,'w11'!$B:$B,'w11'!$G:$G)="--",0,_xlfn.XLOOKUP(B97,'w11'!$B:$B,'w11'!$G:$G)),0)</f>
        <v>0</v>
      </c>
      <c r="BR97" s="80">
        <f>_xlfn.RANK.EQ(BQ97,BQ$3:BQ$10000,0)</f>
        <v>75</v>
      </c>
      <c r="BS97" s="83">
        <f>IFERROR(_xlfn.XLOOKUP(B97,'w12'!$B:$B,'w12'!$C:$C),0)</f>
        <v>0</v>
      </c>
      <c r="BT97" s="86">
        <f>_xlfn.RANK.EQ(BS97,BS$3:BS$10000,0)</f>
        <v>76</v>
      </c>
      <c r="BU97" s="87">
        <f>IFERROR(_xlfn.XLOOKUP(B97,'w12'!$B:$B,'w12'!$F:$F),1)</f>
        <v>1</v>
      </c>
      <c r="BV97" s="86">
        <f>_xlfn.RANK.EQ(BU97,BU$3:BU$10000,1)</f>
        <v>76</v>
      </c>
      <c r="BW97" s="86">
        <f>IFERROR(IF(_xlfn.XLOOKUP(B97,'w12'!$B:$B,'w12'!$G:$G)="--",0,_xlfn.XLOOKUP(B97,'w12'!$B:$B,'w12'!$G:$G)),0)</f>
        <v>0</v>
      </c>
      <c r="BX97" s="86">
        <f>_xlfn.RANK.EQ(BW97,BW$3:BW$10000,0)</f>
        <v>73</v>
      </c>
      <c r="BY97" s="89">
        <f>IFERROR(_xlfn.XLOOKUP(B97,'w13'!$B:$B,'w13'!$C:$C),0)</f>
        <v>3.9</v>
      </c>
      <c r="BZ97" s="92">
        <f>_xlfn.RANK.EQ(BY97,BY$3:BY$10000,0)</f>
        <v>74</v>
      </c>
      <c r="CA97" s="93">
        <f>IFERROR(_xlfn.XLOOKUP(B97,'w13'!$B:$B,'w13'!$F:$F),1)</f>
        <v>0.29722222222222222</v>
      </c>
      <c r="CB97" s="92">
        <f>_xlfn.RANK.EQ(CA97,CA$3:CA$10000,1)</f>
        <v>49</v>
      </c>
      <c r="CC97" s="92">
        <f>IFERROR(IF(_xlfn.XLOOKUP(B97,'w13'!$B:$B,'w13'!$G:$G)="--",0,_xlfn.XLOOKUP(B97,'w13'!$B:$B,'w13'!$G:$G)),0)</f>
        <v>69</v>
      </c>
      <c r="CD97" s="92">
        <f>_xlfn.RANK.EQ(CC97,CC$3:CC$10000,0)</f>
        <v>61</v>
      </c>
      <c r="CE97" s="95">
        <f>IFERROR(_xlfn.XLOOKUP(B97,'w14'!$B:$B,'w14'!$C:$C),0)</f>
        <v>0</v>
      </c>
      <c r="CF97" s="98">
        <f>_xlfn.RANK.EQ(CE97,CE$3:CE$10000,0)</f>
        <v>69</v>
      </c>
      <c r="CG97" s="99">
        <f>IFERROR(_xlfn.XLOOKUP(B97,'w14'!$B:$B,'w14'!$F:$F),1)</f>
        <v>1</v>
      </c>
      <c r="CH97" s="98">
        <f>_xlfn.RANK.EQ(CG97,CG$3:CG$10000,1)</f>
        <v>69</v>
      </c>
      <c r="CI97" s="98">
        <f>IFERROR(IF(_xlfn.XLOOKUP(B97,'w14'!$B:$B,'w14'!$G:$G)="--",0,_xlfn.XLOOKUP(B97,'w14'!$B:$B,'w14'!$G:$G)),0)</f>
        <v>0</v>
      </c>
      <c r="CJ97" s="98">
        <f>_xlfn.RANK.EQ(CI97,CI$3:CI$10000,0)</f>
        <v>69</v>
      </c>
      <c r="CK97" s="9">
        <f>_xlfn.RANK.EQ(D97,D$3:D$10000,1)</f>
        <v>95</v>
      </c>
      <c r="CL97" s="7" t="s">
        <v>223</v>
      </c>
      <c r="CM97" s="8">
        <f>SUM(E97,K97,Q97,W97,AC97,AI97,AO97,AU97,BA97,BG97,BM97,BS97,BY97,CE97)</f>
        <v>17.899999999999999</v>
      </c>
      <c r="CN97" s="9">
        <f>_xlfn.RANK.EQ(CM97,CM$3:CM$10000)</f>
        <v>96</v>
      </c>
      <c r="CO97" s="15">
        <f>IFERROR(SUM(PRODUCT(E97,G97),PRODUCT(K97,M97),PRODUCT(Q97,S97),PRODUCT(W97,Y97),PRODUCT(AC97,AE97),PRODUCT(AI97,AK97),PRODUCT(AO97,AQ97),PRODUCT(AU97,AW97),PRODUCT(BA97,BC97),PRODUCT(BG97,BI97),PRODUCT(BM97,BO97),PRODUCT(BS97,BU97),PRODUCT(BY97,CA97),PRODUCT(CE97,CG97))/CM97,1)</f>
        <v>0.27518621973929236</v>
      </c>
      <c r="CP97" s="9">
        <f>_xlfn.RANK.EQ(CO97,CO$3:CO$10000,1)</f>
        <v>40</v>
      </c>
      <c r="CQ97" s="9">
        <f>SUM(I97,O97,U97,AA97,AG97,AM97,AS97,AY97,BE97,BK97,BQ97,BW97,CC97,CI97)</f>
        <v>162</v>
      </c>
      <c r="CR97" s="9">
        <f>_xlfn.RANK.EQ(CQ97,CQ$3:CQ$10000)</f>
        <v>97</v>
      </c>
      <c r="CS97" s="23"/>
      <c r="CT97" s="25"/>
      <c r="CU97" s="24">
        <f>_xlfn.STDEV.S(F97,L97,R97,X97,AD97,AJ97,AP97,AV97,BB97,BH97,BN97,BT97,BZ97,CF97)</f>
        <v>6.0310551625421542</v>
      </c>
      <c r="CV97" s="21">
        <f>_xlfn.RANK.EQ(CU97,CU$3:CU$10000,1)</f>
        <v>18</v>
      </c>
      <c r="CW97" s="24">
        <f>_xlfn.STDEV.S(H97,N97,T97,Z97,AF97,AL97,AR97,AX97,BD97,BJ97,BP97,BV97,CB97,CH97)</f>
        <v>17.834557145368894</v>
      </c>
      <c r="CX97" s="21">
        <f>_xlfn.RANK.EQ(CW97,CW$3:CW$10000,1)</f>
        <v>71</v>
      </c>
      <c r="CY97" s="24">
        <f>_xlfn.STDEV.S(J97,P97,V97,AB97,AH97,AN97,AT97,AZ97,BF97,BL97,BR97,BX97,CD97,CJ97)</f>
        <v>6.6761836831702412</v>
      </c>
      <c r="CZ97" s="21">
        <f>_xlfn.RANK.EQ(CY97,CY$3:CY$10000,1)</f>
        <v>10</v>
      </c>
      <c r="DA97">
        <f>SUM(COUNTIF(E97,"&gt;0"),COUNTIF(K97,"&gt;0"),COUNTIF(Q97,"&gt;0"),COUNTIF(W97,"&gt;0"),COUNTIF(AC97,"&gt;0"),COUNTIF(AI97,"&gt;0"),COUNTIF(AO97,"&gt;0"),COUNTIF(AU97,"&gt;0"),COUNTIF(BA97,"&gt;0"),COUNTIF(BG97,"&gt;0"),COUNTIF(BM97,"&gt;0"),COUNTIF(BS97,"&gt;0"),COUNTIF(BY97,"&gt;0"),COUNTIF(CE97,"&gt;0"))</f>
        <v>3</v>
      </c>
    </row>
    <row r="98" spans="2:105" x14ac:dyDescent="0.3">
      <c r="B98" t="s">
        <v>197</v>
      </c>
      <c r="C98" s="18" t="s">
        <v>204</v>
      </c>
      <c r="D98" s="4">
        <f>CN98*$CN$1+CP98*$CP$1+CR98*$CR$1</f>
        <v>94.625</v>
      </c>
      <c r="E98" s="29">
        <f>IFERROR(_xlfn.XLOOKUP(B98,'w1'!$B:$B,'w1'!$C:$C),0)</f>
        <v>0</v>
      </c>
      <c r="F98" s="30">
        <f>_xlfn.RANK.EQ(E98,E$3:E$10000,0)</f>
        <v>79</v>
      </c>
      <c r="G98" s="31">
        <f>IFERROR(_xlfn.XLOOKUP(B98,'w1'!$B:$B,'w1'!$F:$F),1)</f>
        <v>1</v>
      </c>
      <c r="H98" s="30">
        <f>_xlfn.RANK.EQ(G98,G$3:G$10000,1)</f>
        <v>79</v>
      </c>
      <c r="I98" s="30">
        <f>IFERROR(IF(_xlfn.XLOOKUP(B98,'w1'!$B:$B,'w1'!$G:$G)="--",0,_xlfn.XLOOKUP(B98,'w1'!$B:$B,'w1'!$G:$G)),0)</f>
        <v>0</v>
      </c>
      <c r="J98" s="30">
        <f>_xlfn.RANK.EQ(I98,I$3:I$10000,0)</f>
        <v>77</v>
      </c>
      <c r="K98" s="34">
        <f>IFERROR(_xlfn.XLOOKUP(B98,'w2'!$B:$B,'w2'!$C:$C),0)</f>
        <v>0</v>
      </c>
      <c r="L98" s="35">
        <f>_xlfn.RANK.EQ(K98,K$3:K$10000,0)</f>
        <v>73</v>
      </c>
      <c r="M98" s="36">
        <f>IFERROR(_xlfn.XLOOKUP(B98,'w2'!$B:$B,'w2'!$F:$F),1)</f>
        <v>1</v>
      </c>
      <c r="N98" s="35">
        <f>_xlfn.RANK.EQ(M98,M$3:M$10000,1)</f>
        <v>72</v>
      </c>
      <c r="O98" s="35">
        <f>IFERROR(IF(_xlfn.XLOOKUP(B98,'w2'!$B:$B,'w2'!$G:$G)="--",0,_xlfn.XLOOKUP(B98,'w2'!$B:$B,'w2'!$G:$G)),0)</f>
        <v>0</v>
      </c>
      <c r="P98" s="35">
        <f>_xlfn.RANK.EQ(O98,O$3:O$10000,0)</f>
        <v>71</v>
      </c>
      <c r="Q98" s="39">
        <f>IFERROR(_xlfn.XLOOKUP(B98,'w3'!$B:$B,'w3'!$C:$C),0)</f>
        <v>2.5</v>
      </c>
      <c r="R98" s="40">
        <f>_xlfn.RANK.EQ(Q98,Q$3:Q$10000,0)</f>
        <v>82</v>
      </c>
      <c r="S98" s="41">
        <f>IFERROR(_xlfn.XLOOKUP(B98,'w3'!$B:$B,'w3'!$F:$F),1)</f>
        <v>0.25208333333333333</v>
      </c>
      <c r="T98" s="40">
        <f>_xlfn.RANK.EQ(S98,S$3:S$10000,1)</f>
        <v>22</v>
      </c>
      <c r="U98" s="40">
        <f>IFERROR(IF(_xlfn.XLOOKUP(B98,'w3'!$B:$B,'w3'!$G:$G)="--",0,_xlfn.XLOOKUP(B98,'w3'!$B:$B,'w3'!$G:$G)),0)</f>
        <v>0</v>
      </c>
      <c r="V98" s="40">
        <f>_xlfn.RANK.EQ(U98,U$3:U$10000,0)</f>
        <v>80</v>
      </c>
      <c r="W98" s="44">
        <f>IFERROR(_xlfn.XLOOKUP(B98,'w4'!$B:$B,'w4'!$C:$C),0)</f>
        <v>0</v>
      </c>
      <c r="X98" s="45">
        <f>_xlfn.RANK.EQ(W98,W$3:W$10000,0)</f>
        <v>76</v>
      </c>
      <c r="Y98" s="46">
        <f>IFERROR(_xlfn.XLOOKUP(B98,'w4'!$B:$B,'w4'!$F:$F),1)</f>
        <v>1</v>
      </c>
      <c r="Z98" s="45">
        <f>_xlfn.RANK.EQ(Y98,Y$3:Y$10000,1)</f>
        <v>76</v>
      </c>
      <c r="AA98" s="45">
        <f>IFERROR(IF(_xlfn.XLOOKUP(B98,'w4'!$B:$B,'w4'!$G:$G)="--",0,_xlfn.XLOOKUP(B98,'w4'!$B:$B,'w4'!$G:$G)),0)</f>
        <v>0</v>
      </c>
      <c r="AB98" s="45">
        <f>_xlfn.RANK.EQ(AA98,AA$3:AA$10000,0)</f>
        <v>68</v>
      </c>
      <c r="AC98" s="13">
        <f>IFERROR(_xlfn.XLOOKUP(B98,'w5'!$B:$B,'w5'!$C:$C),0)</f>
        <v>0</v>
      </c>
      <c r="AD98" s="12">
        <f>_xlfn.RANK.EQ(AC98,AC$3:AC$10000,0)</f>
        <v>77</v>
      </c>
      <c r="AE98" s="14">
        <f>IFERROR(_xlfn.XLOOKUP(B98,'w5'!$B:$B,'w5'!$F:$F),1)</f>
        <v>1</v>
      </c>
      <c r="AF98" s="12">
        <f>_xlfn.RANK.EQ(AE98,AE$3:AE$10000,1)</f>
        <v>76</v>
      </c>
      <c r="AG98" s="12">
        <f>IFERROR(IF(_xlfn.XLOOKUP(B98,'w5'!$B:$B,'w5'!$G:$G)="--",0,_xlfn.XLOOKUP(B98,'w5'!$B:$B,'w5'!$G:$G)),0)</f>
        <v>0</v>
      </c>
      <c r="AH98" s="12">
        <f>_xlfn.RANK.EQ(AG98,AG$3:AG$10000,0)</f>
        <v>73</v>
      </c>
      <c r="AI98" s="51">
        <f>IFERROR(_xlfn.XLOOKUP(B98,'w6'!$B:$B,'w6'!$C:$C),0)</f>
        <v>0</v>
      </c>
      <c r="AJ98" s="50">
        <f>_xlfn.RANK.EQ(AI98,AI$3:AI$10000,0)</f>
        <v>65</v>
      </c>
      <c r="AK98" s="52">
        <f>IFERROR(_xlfn.XLOOKUP(B98,'w6'!$B:$B,'w6'!$F:$F),1)</f>
        <v>1</v>
      </c>
      <c r="AL98" s="50">
        <f>_xlfn.RANK.EQ(AK98,AK$3:AK$10000,1)</f>
        <v>65</v>
      </c>
      <c r="AM98" s="50">
        <f>IFERROR(IF(_xlfn.XLOOKUP(B98,'w6'!$B:$B,'w6'!$G:$G)="--",0,_xlfn.XLOOKUP(B98,'w6'!$B:$B,'w6'!$G:$G)),0)</f>
        <v>0</v>
      </c>
      <c r="AN98" s="50">
        <f>_xlfn.RANK.EQ(AM98,AM$3:AM$10000,0)</f>
        <v>61</v>
      </c>
      <c r="AO98" s="56">
        <f>IFERROR(_xlfn.XLOOKUP(B98,'w7'!$B:$B,'w7'!$C:$C),0)</f>
        <v>0</v>
      </c>
      <c r="AP98" s="57">
        <f>_xlfn.RANK.EQ(AO98,AO$3:AO$10000,0)</f>
        <v>72</v>
      </c>
      <c r="AQ98" s="58">
        <f>IFERROR(_xlfn.XLOOKUP(B98,'w7'!$B:$B,'w7'!$F:$F),1)</f>
        <v>1</v>
      </c>
      <c r="AR98" s="57">
        <f>_xlfn.RANK.EQ(AQ98,AQ$3:AQ$10000,1)</f>
        <v>72</v>
      </c>
      <c r="AS98" s="57">
        <f>IFERROR(IF(_xlfn.XLOOKUP(B98,'w7'!$B:$B,'w7'!$G:$G)="--",0,_xlfn.XLOOKUP(B98,'w7'!$B:$B,'w7'!$G:$G)),0)</f>
        <v>0</v>
      </c>
      <c r="AT98" s="57">
        <f>_xlfn.RANK.EQ(AS98,AS$3:AS$10000,0)</f>
        <v>69</v>
      </c>
      <c r="AU98" s="62">
        <f>IFERROR(_xlfn.XLOOKUP(B98,'w8'!$B:$B,'w8'!$C:$C),0)</f>
        <v>0</v>
      </c>
      <c r="AV98" s="61">
        <f>_xlfn.RANK.EQ(AU98,AU$3:AU$10000,0)</f>
        <v>73</v>
      </c>
      <c r="AW98" s="63">
        <f>IFERROR(_xlfn.XLOOKUP(B98,'w8'!$B:$B,'w8'!$F:$F),1)</f>
        <v>1</v>
      </c>
      <c r="AX98" s="61">
        <f>_xlfn.RANK.EQ(AW98,AW$3:AW$10000,1)</f>
        <v>73</v>
      </c>
      <c r="AY98" s="61">
        <f>IFERROR(IF(_xlfn.XLOOKUP(B98,'w8'!$B:$B,'w8'!$G:$G)="--",0,_xlfn.XLOOKUP(B98,'w8'!$B:$B,'w8'!$G:$G)),0)</f>
        <v>0</v>
      </c>
      <c r="AZ98" s="61">
        <f>_xlfn.RANK.EQ(AY98,AY$3:AY$10000,0)</f>
        <v>70</v>
      </c>
      <c r="BA98" s="66">
        <f>IFERROR(_xlfn.XLOOKUP(C98,'w9'!$B:$B,'w9'!$C:$C),0)</f>
        <v>0</v>
      </c>
      <c r="BB98" s="67">
        <f>_xlfn.RANK.EQ(BA98,BA$3:BA$10000,0)</f>
        <v>75</v>
      </c>
      <c r="BC98" s="68">
        <f>IFERROR(_xlfn.XLOOKUP(C98,'w9'!$B:$B,'w9'!$F:$F),1)</f>
        <v>1</v>
      </c>
      <c r="BD98" s="67">
        <f>_xlfn.RANK.EQ(BC98,BC$3:BC$10000,1)</f>
        <v>75</v>
      </c>
      <c r="BE98" s="67">
        <f>IFERROR(IF(_xlfn.XLOOKUP(C98,'w9'!$B:$B,'w9'!$G:$G)="--",0,_xlfn.XLOOKUP(C98,'w9'!$B:$B,'w9'!$G:$G)),0)</f>
        <v>0</v>
      </c>
      <c r="BF98" s="67">
        <f>_xlfn.RANK.EQ(BE98,BE$3:BE$10000,0)</f>
        <v>74</v>
      </c>
      <c r="BG98" s="72">
        <f>IFERROR(_xlfn.XLOOKUP(B98,'w10'!$B:$B,'w10'!$C:$C),0)</f>
        <v>13.4</v>
      </c>
      <c r="BH98" s="74">
        <f>_xlfn.RANK.EQ(BG98,BG$3:BG$10000,0)</f>
        <v>57</v>
      </c>
      <c r="BI98" s="75">
        <f>IFERROR(_xlfn.XLOOKUP(B98,'w10'!$B:$B,'w10'!$F:$F),1)</f>
        <v>0.34930555555555554</v>
      </c>
      <c r="BJ98" s="74">
        <f>_xlfn.RANK.EQ(BI98,BI$3:BI$10000,1)</f>
        <v>67</v>
      </c>
      <c r="BK98" s="74">
        <f>IFERROR(IF(_xlfn.XLOOKUP(B98,'w10'!$B:$B,'w10'!$G:$G)="--",0,_xlfn.XLOOKUP(B98,'w10'!$B:$B,'w10'!$G:$G)),0)</f>
        <v>160</v>
      </c>
      <c r="BL98" s="74">
        <f>_xlfn.RANK.EQ(BK98,BK$3:BK$10000,0)</f>
        <v>37</v>
      </c>
      <c r="BM98" s="78">
        <f>IFERROR(_xlfn.XLOOKUP(B98,'w11'!$B:$B,'w11'!$C:$C),0)</f>
        <v>7</v>
      </c>
      <c r="BN98" s="80">
        <f>_xlfn.RANK.EQ(BM98,BM$3:BM$10000,0)</f>
        <v>70</v>
      </c>
      <c r="BO98" s="81">
        <f>IFERROR(_xlfn.XLOOKUP(B98,'w11'!$B:$B,'w11'!$F:$F),1)</f>
        <v>0.34305555555555556</v>
      </c>
      <c r="BP98" s="80">
        <f>_xlfn.RANK.EQ(BO98,BO$3:BO$10000,1)</f>
        <v>62</v>
      </c>
      <c r="BQ98" s="80">
        <f>IFERROR(IF(_xlfn.XLOOKUP(B98,'w11'!$B:$B,'w11'!$G:$G)="--",0,_xlfn.XLOOKUP(B98,'w11'!$B:$B,'w11'!$G:$G)),0)</f>
        <v>14</v>
      </c>
      <c r="BR98" s="80">
        <f>_xlfn.RANK.EQ(BQ98,BQ$3:BQ$10000,0)</f>
        <v>71</v>
      </c>
      <c r="BS98" s="83">
        <f>IFERROR(_xlfn.XLOOKUP(B98,'w12'!$B:$B,'w12'!$C:$C),0)</f>
        <v>0</v>
      </c>
      <c r="BT98" s="86">
        <f>_xlfn.RANK.EQ(BS98,BS$3:BS$10000,0)</f>
        <v>76</v>
      </c>
      <c r="BU98" s="87">
        <f>IFERROR(_xlfn.XLOOKUP(B98,'w12'!$B:$B,'w12'!$F:$F),1)</f>
        <v>1</v>
      </c>
      <c r="BV98" s="86">
        <f>_xlfn.RANK.EQ(BU98,BU$3:BU$10000,1)</f>
        <v>76</v>
      </c>
      <c r="BW98" s="86">
        <f>IFERROR(IF(_xlfn.XLOOKUP(B98,'w12'!$B:$B,'w12'!$G:$G)="--",0,_xlfn.XLOOKUP(B98,'w12'!$B:$B,'w12'!$G:$G)),0)</f>
        <v>0</v>
      </c>
      <c r="BX98" s="86">
        <f>_xlfn.RANK.EQ(BW98,BW$3:BW$10000,0)</f>
        <v>73</v>
      </c>
      <c r="BY98" s="89">
        <f>IFERROR(_xlfn.XLOOKUP(B98,'w13'!$B:$B,'w13'!$C:$C),0)</f>
        <v>0</v>
      </c>
      <c r="BZ98" s="92">
        <f>_xlfn.RANK.EQ(BY98,BY$3:BY$10000,0)</f>
        <v>76</v>
      </c>
      <c r="CA98" s="93">
        <f>IFERROR(_xlfn.XLOOKUP(B98,'w13'!$B:$B,'w13'!$F:$F),1)</f>
        <v>1</v>
      </c>
      <c r="CB98" s="92">
        <f>_xlfn.RANK.EQ(CA98,CA$3:CA$10000,1)</f>
        <v>76</v>
      </c>
      <c r="CC98" s="92">
        <f>IFERROR(IF(_xlfn.XLOOKUP(B98,'w13'!$B:$B,'w13'!$G:$G)="--",0,_xlfn.XLOOKUP(B98,'w13'!$B:$B,'w13'!$G:$G)),0)</f>
        <v>0</v>
      </c>
      <c r="CD98" s="92">
        <f>_xlfn.RANK.EQ(CC98,CC$3:CC$10000,0)</f>
        <v>76</v>
      </c>
      <c r="CE98" s="95">
        <f>IFERROR(_xlfn.XLOOKUP(B98,'w14'!$B:$B,'w14'!$C:$C),0)</f>
        <v>0</v>
      </c>
      <c r="CF98" s="98">
        <f>_xlfn.RANK.EQ(CE98,CE$3:CE$10000,0)</f>
        <v>69</v>
      </c>
      <c r="CG98" s="99">
        <f>IFERROR(_xlfn.XLOOKUP(B98,'w14'!$B:$B,'w14'!$F:$F),1)</f>
        <v>1</v>
      </c>
      <c r="CH98" s="98">
        <f>_xlfn.RANK.EQ(CG98,CG$3:CG$10000,1)</f>
        <v>69</v>
      </c>
      <c r="CI98" s="98">
        <f>IFERROR(IF(_xlfn.XLOOKUP(B98,'w14'!$B:$B,'w14'!$G:$G)="--",0,_xlfn.XLOOKUP(B98,'w14'!$B:$B,'w14'!$G:$G)),0)</f>
        <v>0</v>
      </c>
      <c r="CJ98" s="98">
        <f>_xlfn.RANK.EQ(CI98,CI$3:CI$10000,0)</f>
        <v>69</v>
      </c>
      <c r="CK98" s="9">
        <f>_xlfn.RANK.EQ(D98,D$3:D$10000,1)</f>
        <v>96</v>
      </c>
      <c r="CL98" s="26" t="s">
        <v>204</v>
      </c>
      <c r="CM98" s="8">
        <f>SUM(E98,K98,Q98,W98,AC98,AI98,AO98,AU98,BA98,BG98,BM98,BS98,BY98,CE98)</f>
        <v>22.9</v>
      </c>
      <c r="CN98" s="9">
        <f>_xlfn.RANK.EQ(CM98,CM$3:CM$10000)</f>
        <v>95</v>
      </c>
      <c r="CO98" s="15">
        <f>IFERROR(SUM(PRODUCT(E98,G98),PRODUCT(K98,M98),PRODUCT(Q98,S98),PRODUCT(W98,Y98),PRODUCT(AC98,AE98),PRODUCT(AI98,AK98),PRODUCT(AO98,AQ98),PRODUCT(AU98,AW98),PRODUCT(BA98,BC98),PRODUCT(BG98,BI98),PRODUCT(BM98,BO98),PRODUCT(BS98,BU98),PRODUCT(BY98,CA98),PRODUCT(CE98,CG98))/CM98,1)</f>
        <v>0.33678129548762742</v>
      </c>
      <c r="CP98" s="9">
        <f>_xlfn.RANK.EQ(CO98,CO$3:CO$10000,1)</f>
        <v>79</v>
      </c>
      <c r="CQ98" s="9">
        <f>SUM(I98,O98,U98,AA98,AG98,AM98,AS98,AY98,BE98,BK98,BQ98,BW98,CC98,CI98)</f>
        <v>174</v>
      </c>
      <c r="CR98" s="9">
        <f>_xlfn.RANK.EQ(CQ98,CQ$3:CQ$10000)</f>
        <v>96</v>
      </c>
      <c r="CS98" s="23"/>
      <c r="CT98" s="25"/>
      <c r="CU98" s="24">
        <f>_xlfn.STDEV.S(F98,L98,R98,X98,AD98,AJ98,AP98,AV98,BB98,BH98,BN98,BT98,BZ98,CF98)</f>
        <v>6.2616923598010787</v>
      </c>
      <c r="CV98" s="21">
        <f>_xlfn.RANK.EQ(CU98,CU$3:CU$10000,1)</f>
        <v>19</v>
      </c>
      <c r="CW98" s="24">
        <f>_xlfn.STDEV.S(H98,N98,T98,Z98,AF98,AL98,AR98,AX98,BD98,BJ98,BP98,BV98,CB98,CH98)</f>
        <v>14.254361198833594</v>
      </c>
      <c r="CX98" s="21">
        <f>_xlfn.RANK.EQ(CW98,CW$3:CW$10000,1)</f>
        <v>51</v>
      </c>
      <c r="CY98" s="24">
        <f>_xlfn.STDEV.S(J98,P98,V98,AB98,AH98,AN98,AT98,AZ98,BF98,BL98,BR98,BX98,CD98,CJ98)</f>
        <v>10.33424904367528</v>
      </c>
      <c r="CZ98" s="21">
        <f>_xlfn.RANK.EQ(CY98,CY$3:CY$10000,1)</f>
        <v>28</v>
      </c>
      <c r="DA98">
        <f>SUM(COUNTIF(E98,"&gt;0"),COUNTIF(K98,"&gt;0"),COUNTIF(Q98,"&gt;0"),COUNTIF(W98,"&gt;0"),COUNTIF(AC98,"&gt;0"),COUNTIF(AI98,"&gt;0"),COUNTIF(AO98,"&gt;0"),COUNTIF(AU98,"&gt;0"),COUNTIF(BA98,"&gt;0"),COUNTIF(BG98,"&gt;0"),COUNTIF(BM98,"&gt;0"),COUNTIF(BS98,"&gt;0"),COUNTIF(BY98,"&gt;0"),COUNTIF(CE98,"&gt;0"))</f>
        <v>3</v>
      </c>
    </row>
    <row r="99" spans="2:105" x14ac:dyDescent="0.3">
      <c r="B99" t="s">
        <v>79</v>
      </c>
      <c r="C99" s="18" t="s">
        <v>141</v>
      </c>
      <c r="D99" s="4">
        <f>CN99*$CN$1+CP99*$CP$1+CR99*$CR$1</f>
        <v>96.474999999999994</v>
      </c>
      <c r="E99" s="29">
        <f>IFERROR(_xlfn.XLOOKUP(B99,'w1'!$B:$B,'w1'!$C:$C),0)</f>
        <v>3</v>
      </c>
      <c r="F99" s="30">
        <f>_xlfn.RANK.EQ(E99,E$3:E$10000,0)</f>
        <v>76</v>
      </c>
      <c r="G99" s="31">
        <f>IFERROR(_xlfn.XLOOKUP(B99,'w1'!$B:$B,'w1'!$F:$F),1)</f>
        <v>0.29444444444444445</v>
      </c>
      <c r="H99" s="30">
        <f>_xlfn.RANK.EQ(G99,G$3:G$10000,1)</f>
        <v>52</v>
      </c>
      <c r="I99" s="30">
        <f>IFERROR(IF(_xlfn.XLOOKUP(B99,'w1'!$B:$B,'w1'!$G:$G)="--",0,_xlfn.XLOOKUP(B99,'w1'!$B:$B,'w1'!$G:$G)),0)</f>
        <v>5</v>
      </c>
      <c r="J99" s="30">
        <f>_xlfn.RANK.EQ(I99,I$3:I$10000,0)</f>
        <v>76</v>
      </c>
      <c r="K99" s="34">
        <f>IFERROR(_xlfn.XLOOKUP(B99,'w2'!$B:$B,'w2'!$C:$C),0)</f>
        <v>0</v>
      </c>
      <c r="L99" s="35">
        <f>_xlfn.RANK.EQ(K99,K$3:K$10000,0)</f>
        <v>73</v>
      </c>
      <c r="M99" s="36">
        <f>IFERROR(_xlfn.XLOOKUP(B99,'w2'!$B:$B,'w2'!$F:$F),1)</f>
        <v>1</v>
      </c>
      <c r="N99" s="35">
        <f>_xlfn.RANK.EQ(M99,M$3:M$10000,1)</f>
        <v>72</v>
      </c>
      <c r="O99" s="35">
        <f>IFERROR(IF(_xlfn.XLOOKUP(B99,'w2'!$B:$B,'w2'!$G:$G)="--",0,_xlfn.XLOOKUP(B99,'w2'!$B:$B,'w2'!$G:$G)),0)</f>
        <v>0</v>
      </c>
      <c r="P99" s="35">
        <f>_xlfn.RANK.EQ(O99,O$3:O$10000,0)</f>
        <v>71</v>
      </c>
      <c r="Q99" s="39">
        <f>IFERROR(_xlfn.XLOOKUP(B99,'w3'!$B:$B,'w3'!$C:$C),0)</f>
        <v>5.3</v>
      </c>
      <c r="R99" s="40">
        <f>_xlfn.RANK.EQ(Q99,Q$3:Q$10000,0)</f>
        <v>78</v>
      </c>
      <c r="S99" s="41">
        <f>IFERROR(_xlfn.XLOOKUP(B99,'w3'!$B:$B,'w3'!$F:$F),1)</f>
        <v>0.34305555555555556</v>
      </c>
      <c r="T99" s="40">
        <f>_xlfn.RANK.EQ(S99,S$3:S$10000,1)</f>
        <v>71</v>
      </c>
      <c r="U99" s="40">
        <f>IFERROR(IF(_xlfn.XLOOKUP(B99,'w3'!$B:$B,'w3'!$G:$G)="--",0,_xlfn.XLOOKUP(B99,'w3'!$B:$B,'w3'!$G:$G)),0)</f>
        <v>75</v>
      </c>
      <c r="V99" s="40">
        <f>_xlfn.RANK.EQ(U99,U$3:U$10000,0)</f>
        <v>65</v>
      </c>
      <c r="W99" s="44">
        <f>IFERROR(_xlfn.XLOOKUP(B99,'w4'!$B:$B,'w4'!$C:$C),0)</f>
        <v>0</v>
      </c>
      <c r="X99" s="45">
        <f>_xlfn.RANK.EQ(W99,W$3:W$10000,0)</f>
        <v>76</v>
      </c>
      <c r="Y99" s="46">
        <f>IFERROR(_xlfn.XLOOKUP(B99,'w4'!$B:$B,'w4'!$F:$F),1)</f>
        <v>1</v>
      </c>
      <c r="Z99" s="45">
        <f>_xlfn.RANK.EQ(Y99,Y$3:Y$10000,1)</f>
        <v>76</v>
      </c>
      <c r="AA99" s="45">
        <f>IFERROR(IF(_xlfn.XLOOKUP(B99,'w4'!$B:$B,'w4'!$G:$G)="--",0,_xlfn.XLOOKUP(B99,'w4'!$B:$B,'w4'!$G:$G)),0)</f>
        <v>0</v>
      </c>
      <c r="AB99" s="45">
        <f>_xlfn.RANK.EQ(AA99,AA$3:AA$10000,0)</f>
        <v>68</v>
      </c>
      <c r="AC99" s="13">
        <f>IFERROR(_xlfn.XLOOKUP(B99,'w5'!$B:$B,'w5'!$C:$C),0)</f>
        <v>0</v>
      </c>
      <c r="AD99" s="12">
        <f>_xlfn.RANK.EQ(AC99,AC$3:AC$10000,0)</f>
        <v>77</v>
      </c>
      <c r="AE99" s="14">
        <f>IFERROR(_xlfn.XLOOKUP(B99,'w5'!$B:$B,'w5'!$F:$F),1)</f>
        <v>1</v>
      </c>
      <c r="AF99" s="12">
        <f>_xlfn.RANK.EQ(AE99,AE$3:AE$10000,1)</f>
        <v>76</v>
      </c>
      <c r="AG99" s="12">
        <f>IFERROR(IF(_xlfn.XLOOKUP(B99,'w5'!$B:$B,'w5'!$G:$G)="--",0,_xlfn.XLOOKUP(B99,'w5'!$B:$B,'w5'!$G:$G)),0)</f>
        <v>0</v>
      </c>
      <c r="AH99" s="12">
        <f>_xlfn.RANK.EQ(AG99,AG$3:AG$10000,0)</f>
        <v>73</v>
      </c>
      <c r="AI99" s="51">
        <f>IFERROR(_xlfn.XLOOKUP(B99,'w6'!$B:$B,'w6'!$C:$C),0)</f>
        <v>0</v>
      </c>
      <c r="AJ99" s="50">
        <f>_xlfn.RANK.EQ(AI99,AI$3:AI$10000,0)</f>
        <v>65</v>
      </c>
      <c r="AK99" s="52">
        <f>IFERROR(_xlfn.XLOOKUP(B99,'w6'!$B:$B,'w6'!$F:$F),1)</f>
        <v>1</v>
      </c>
      <c r="AL99" s="50">
        <f>_xlfn.RANK.EQ(AK99,AK$3:AK$10000,1)</f>
        <v>65</v>
      </c>
      <c r="AM99" s="50">
        <f>IFERROR(IF(_xlfn.XLOOKUP(B99,'w6'!$B:$B,'w6'!$G:$G)="--",0,_xlfn.XLOOKUP(B99,'w6'!$B:$B,'w6'!$G:$G)),0)</f>
        <v>0</v>
      </c>
      <c r="AN99" s="50">
        <f>_xlfn.RANK.EQ(AM99,AM$3:AM$10000,0)</f>
        <v>61</v>
      </c>
      <c r="AO99" s="56">
        <f>IFERROR(_xlfn.XLOOKUP(B99,'w7'!$B:$B,'w7'!$C:$C),0)</f>
        <v>5.0999999999999996</v>
      </c>
      <c r="AP99" s="57">
        <f>_xlfn.RANK.EQ(AO99,AO$3:AO$10000,0)</f>
        <v>67</v>
      </c>
      <c r="AQ99" s="58">
        <f>IFERROR(_xlfn.XLOOKUP(B99,'w7'!$B:$B,'w7'!$F:$F),1)</f>
        <v>0.3527777777777778</v>
      </c>
      <c r="AR99" s="57">
        <f>_xlfn.RANK.EQ(AQ99,AQ$3:AQ$10000,1)</f>
        <v>54</v>
      </c>
      <c r="AS99" s="57">
        <f>IFERROR(IF(_xlfn.XLOOKUP(B99,'w7'!$B:$B,'w7'!$G:$G)="--",0,_xlfn.XLOOKUP(B99,'w7'!$B:$B,'w7'!$G:$G)),0)</f>
        <v>65</v>
      </c>
      <c r="AT99" s="57">
        <f>_xlfn.RANK.EQ(AS99,AS$3:AS$10000,0)</f>
        <v>58</v>
      </c>
      <c r="AU99" s="62">
        <f>IFERROR(_xlfn.XLOOKUP(B99,'w8'!$B:$B,'w8'!$C:$C),0)</f>
        <v>0</v>
      </c>
      <c r="AV99" s="61">
        <f>_xlfn.RANK.EQ(AU99,AU$3:AU$10000,0)</f>
        <v>73</v>
      </c>
      <c r="AW99" s="63">
        <f>IFERROR(_xlfn.XLOOKUP(B99,'w8'!$B:$B,'w8'!$F:$F),1)</f>
        <v>1</v>
      </c>
      <c r="AX99" s="61">
        <f>_xlfn.RANK.EQ(AW99,AW$3:AW$10000,1)</f>
        <v>73</v>
      </c>
      <c r="AY99" s="61">
        <f>IFERROR(IF(_xlfn.XLOOKUP(B99,'w8'!$B:$B,'w8'!$G:$G)="--",0,_xlfn.XLOOKUP(B99,'w8'!$B:$B,'w8'!$G:$G)),0)</f>
        <v>0</v>
      </c>
      <c r="AZ99" s="61">
        <f>_xlfn.RANK.EQ(AY99,AY$3:AY$10000,0)</f>
        <v>70</v>
      </c>
      <c r="BA99" s="66">
        <f>IFERROR(_xlfn.XLOOKUP(C99,'w9'!$B:$B,'w9'!$C:$C),0)</f>
        <v>0</v>
      </c>
      <c r="BB99" s="67">
        <f>_xlfn.RANK.EQ(BA99,BA$3:BA$10000,0)</f>
        <v>75</v>
      </c>
      <c r="BC99" s="68">
        <f>IFERROR(_xlfn.XLOOKUP(C99,'w9'!$B:$B,'w9'!$F:$F),1)</f>
        <v>1</v>
      </c>
      <c r="BD99" s="67">
        <f>_xlfn.RANK.EQ(BC99,BC$3:BC$10000,1)</f>
        <v>75</v>
      </c>
      <c r="BE99" s="67">
        <f>IFERROR(IF(_xlfn.XLOOKUP(C99,'w9'!$B:$B,'w9'!$G:$G)="--",0,_xlfn.XLOOKUP(C99,'w9'!$B:$B,'w9'!$G:$G)),0)</f>
        <v>0</v>
      </c>
      <c r="BF99" s="67">
        <f>_xlfn.RANK.EQ(BE99,BE$3:BE$10000,0)</f>
        <v>74</v>
      </c>
      <c r="BG99" s="72">
        <f>IFERROR(_xlfn.XLOOKUP(B99,'w10'!$B:$B,'w10'!$C:$C),0)</f>
        <v>0</v>
      </c>
      <c r="BH99" s="74">
        <f>_xlfn.RANK.EQ(BG99,BG$3:BG$10000,0)</f>
        <v>77</v>
      </c>
      <c r="BI99" s="75">
        <f>IFERROR(_xlfn.XLOOKUP(B99,'w10'!$B:$B,'w10'!$F:$F),1)</f>
        <v>1</v>
      </c>
      <c r="BJ99" s="74">
        <f>_xlfn.RANK.EQ(BI99,BI$3:BI$10000,1)</f>
        <v>76</v>
      </c>
      <c r="BK99" s="74">
        <f>IFERROR(IF(_xlfn.XLOOKUP(B99,'w10'!$B:$B,'w10'!$G:$G)="--",0,_xlfn.XLOOKUP(B99,'w10'!$B:$B,'w10'!$G:$G)),0)</f>
        <v>0</v>
      </c>
      <c r="BL99" s="74">
        <f>_xlfn.RANK.EQ(BK99,BK$3:BK$10000,0)</f>
        <v>76</v>
      </c>
      <c r="BM99" s="78">
        <f>IFERROR(_xlfn.XLOOKUP(B99,'w11'!$B:$B,'w11'!$C:$C),0)</f>
        <v>0</v>
      </c>
      <c r="BN99" s="80">
        <f>_xlfn.RANK.EQ(BM99,BM$3:BM$10000,0)</f>
        <v>76</v>
      </c>
      <c r="BO99" s="81">
        <f>IFERROR(_xlfn.XLOOKUP(B99,'w11'!$B:$B,'w11'!$F:$F),1)</f>
        <v>1</v>
      </c>
      <c r="BP99" s="80">
        <f>_xlfn.RANK.EQ(BO99,BO$3:BO$10000,1)</f>
        <v>76</v>
      </c>
      <c r="BQ99" s="80">
        <f>IFERROR(IF(_xlfn.XLOOKUP(B99,'w11'!$B:$B,'w11'!$G:$G)="--",0,_xlfn.XLOOKUP(B99,'w11'!$B:$B,'w11'!$G:$G)),0)</f>
        <v>0</v>
      </c>
      <c r="BR99" s="80">
        <f>_xlfn.RANK.EQ(BQ99,BQ$3:BQ$10000,0)</f>
        <v>75</v>
      </c>
      <c r="BS99" s="83">
        <f>IFERROR(_xlfn.XLOOKUP(B99,'w12'!$B:$B,'w12'!$C:$C),0)</f>
        <v>3.9</v>
      </c>
      <c r="BT99" s="86">
        <f>_xlfn.RANK.EQ(BS99,BS$3:BS$10000,0)</f>
        <v>71</v>
      </c>
      <c r="BU99" s="87">
        <f>IFERROR(_xlfn.XLOOKUP(B99,'w12'!$B:$B,'w12'!$F:$F),1)</f>
        <v>0.3347222222222222</v>
      </c>
      <c r="BV99" s="86">
        <f>_xlfn.RANK.EQ(BU99,BU$3:BU$10000,1)</f>
        <v>65</v>
      </c>
      <c r="BW99" s="86">
        <f>IFERROR(IF(_xlfn.XLOOKUP(B99,'w12'!$B:$B,'w12'!$G:$G)="--",0,_xlfn.XLOOKUP(B99,'w12'!$B:$B,'w12'!$G:$G)),0)</f>
        <v>59</v>
      </c>
      <c r="BX99" s="86">
        <f>_xlfn.RANK.EQ(BW99,BW$3:BW$10000,0)</f>
        <v>65</v>
      </c>
      <c r="BY99" s="89">
        <f>IFERROR(_xlfn.XLOOKUP(B99,'w13'!$B:$B,'w13'!$C:$C),0)</f>
        <v>0</v>
      </c>
      <c r="BZ99" s="92">
        <f>_xlfn.RANK.EQ(BY99,BY$3:BY$10000,0)</f>
        <v>76</v>
      </c>
      <c r="CA99" s="93">
        <f>IFERROR(_xlfn.XLOOKUP(B99,'w13'!$B:$B,'w13'!$F:$F),1)</f>
        <v>1</v>
      </c>
      <c r="CB99" s="92">
        <f>_xlfn.RANK.EQ(CA99,CA$3:CA$10000,1)</f>
        <v>76</v>
      </c>
      <c r="CC99" s="92">
        <f>IFERROR(IF(_xlfn.XLOOKUP(B99,'w13'!$B:$B,'w13'!$G:$G)="--",0,_xlfn.XLOOKUP(B99,'w13'!$B:$B,'w13'!$G:$G)),0)</f>
        <v>0</v>
      </c>
      <c r="CD99" s="92">
        <f>_xlfn.RANK.EQ(CC99,CC$3:CC$10000,0)</f>
        <v>76</v>
      </c>
      <c r="CE99" s="95">
        <f>IFERROR(_xlfn.XLOOKUP(B99,'w14'!$B:$B,'w14'!$C:$C),0)</f>
        <v>0</v>
      </c>
      <c r="CF99" s="98">
        <f>_xlfn.RANK.EQ(CE99,CE$3:CE$10000,0)</f>
        <v>69</v>
      </c>
      <c r="CG99" s="99">
        <f>IFERROR(_xlfn.XLOOKUP(B99,'w14'!$B:$B,'w14'!$F:$F),1)</f>
        <v>1</v>
      </c>
      <c r="CH99" s="98">
        <f>_xlfn.RANK.EQ(CG99,CG$3:CG$10000,1)</f>
        <v>69</v>
      </c>
      <c r="CI99" s="98">
        <f>IFERROR(IF(_xlfn.XLOOKUP(B99,'w14'!$B:$B,'w14'!$G:$G)="--",0,_xlfn.XLOOKUP(B99,'w14'!$B:$B,'w14'!$G:$G)),0)</f>
        <v>0</v>
      </c>
      <c r="CJ99" s="98">
        <f>_xlfn.RANK.EQ(CI99,CI$3:CI$10000,0)</f>
        <v>69</v>
      </c>
      <c r="CK99" s="9">
        <f>_xlfn.RANK.EQ(D99,D$3:D$10000,1)</f>
        <v>97</v>
      </c>
      <c r="CL99" s="26" t="s">
        <v>141</v>
      </c>
      <c r="CM99" s="8">
        <f>SUM(E99,K99,Q99,W99,AC99,AI99,AO99,AU99,BA99,BG99,BM99,BS99,BY99,CE99)</f>
        <v>17.3</v>
      </c>
      <c r="CN99" s="9">
        <f>_xlfn.RANK.EQ(CM99,CM$3:CM$10000)</f>
        <v>97</v>
      </c>
      <c r="CO99" s="15">
        <f>IFERROR(SUM(PRODUCT(E99,G99),PRODUCT(K99,M99),PRODUCT(Q99,S99),PRODUCT(W99,Y99),PRODUCT(AC99,AE99),PRODUCT(AI99,AK99),PRODUCT(AO99,AQ99),PRODUCT(AU99,AW99),PRODUCT(BA99,BC99),PRODUCT(BG99,BI99),PRODUCT(BM99,BO99),PRODUCT(BS99,BU99),PRODUCT(BY99,CA99),PRODUCT(CE99,CG99))/CM99,1)</f>
        <v>0.3356133590237636</v>
      </c>
      <c r="CP99" s="9">
        <f>_xlfn.RANK.EQ(CO99,CO$3:CO$10000,1)</f>
        <v>78</v>
      </c>
      <c r="CQ99" s="9">
        <f>SUM(I99,O99,U99,AA99,AG99,AM99,AS99,AY99,BE99,BK99,BQ99,BW99,CC99,CI99)</f>
        <v>204</v>
      </c>
      <c r="CR99" s="9">
        <f>_xlfn.RANK.EQ(CQ99,CQ$3:CQ$10000)</f>
        <v>95</v>
      </c>
      <c r="CS99" s="23"/>
      <c r="CT99" s="25"/>
      <c r="CU99" s="24">
        <f>_xlfn.STDEV.S(F99,L99,R99,X99,AD99,AJ99,AP99,AV99,BB99,BH99,BN99,BT99,BZ99,CF99)</f>
        <v>4.0525395646528759</v>
      </c>
      <c r="CV99" s="21">
        <f>_xlfn.RANK.EQ(CU99,CU$3:CU$10000,1)</f>
        <v>2</v>
      </c>
      <c r="CW99" s="24">
        <f>_xlfn.STDEV.S(H99,N99,T99,Z99,AF99,AL99,AR99,AX99,BD99,BJ99,BP99,BV99,CB99,CH99)</f>
        <v>8.0806375550883018</v>
      </c>
      <c r="CX99" s="21">
        <f>_xlfn.RANK.EQ(CW99,CW$3:CW$10000,1)</f>
        <v>17</v>
      </c>
      <c r="CY99" s="24">
        <f>_xlfn.STDEV.S(J99,P99,V99,AB99,AH99,AN99,AT99,AZ99,BF99,BL99,BR99,BX99,CD99,CJ99)</f>
        <v>5.8068735322702025</v>
      </c>
      <c r="CZ99" s="21">
        <f>_xlfn.RANK.EQ(CY99,CY$3:CY$10000,1)</f>
        <v>8</v>
      </c>
      <c r="DA99">
        <f>SUM(COUNTIF(E99,"&gt;0"),COUNTIF(K99,"&gt;0"),COUNTIF(Q99,"&gt;0"),COUNTIF(W99,"&gt;0"),COUNTIF(AC99,"&gt;0"),COUNTIF(AI99,"&gt;0"),COUNTIF(AO99,"&gt;0"),COUNTIF(AU99,"&gt;0"),COUNTIF(BA99,"&gt;0"),COUNTIF(BG99,"&gt;0"),COUNTIF(BM99,"&gt;0"),COUNTIF(BS99,"&gt;0"),COUNTIF(BY99,"&gt;0"),COUNTIF(CE99,"&gt;0"))</f>
        <v>4</v>
      </c>
    </row>
    <row r="100" spans="2:105" x14ac:dyDescent="0.3">
      <c r="B100" t="s">
        <v>210</v>
      </c>
      <c r="C100" s="18" t="s">
        <v>212</v>
      </c>
      <c r="D100" s="4">
        <f>CN100*$CN$1+CP100*$CP$1+CR100*$CR$1</f>
        <v>96.5</v>
      </c>
      <c r="E100" s="29">
        <f>IFERROR(_xlfn.XLOOKUP(B100,'w1'!$B:$B,'w1'!$C:$C),0)</f>
        <v>0</v>
      </c>
      <c r="F100" s="30">
        <f>_xlfn.RANK.EQ(E100,E$3:E$10000,0)</f>
        <v>79</v>
      </c>
      <c r="G100" s="31">
        <f>IFERROR(_xlfn.XLOOKUP(B100,'w1'!$B:$B,'w1'!$F:$F),1)</f>
        <v>1</v>
      </c>
      <c r="H100" s="30">
        <f>_xlfn.RANK.EQ(G100,G$3:G$10000,1)</f>
        <v>79</v>
      </c>
      <c r="I100" s="30">
        <f>IFERROR(IF(_xlfn.XLOOKUP(B100,'w1'!$B:$B,'w1'!$G:$G)="--",0,_xlfn.XLOOKUP(B100,'w1'!$B:$B,'w1'!$G:$G)),0)</f>
        <v>0</v>
      </c>
      <c r="J100" s="30">
        <f>_xlfn.RANK.EQ(I100,I$3:I$10000,0)</f>
        <v>77</v>
      </c>
      <c r="K100" s="34">
        <f>IFERROR(_xlfn.XLOOKUP(B100,'w2'!$B:$B,'w2'!$C:$C),0)</f>
        <v>0</v>
      </c>
      <c r="L100" s="35">
        <f>_xlfn.RANK.EQ(K100,K$3:K$10000,0)</f>
        <v>73</v>
      </c>
      <c r="M100" s="36">
        <f>IFERROR(_xlfn.XLOOKUP(B100,'w2'!$B:$B,'w2'!$F:$F),1)</f>
        <v>1</v>
      </c>
      <c r="N100" s="35">
        <f>_xlfn.RANK.EQ(M100,M$3:M$10000,1)</f>
        <v>72</v>
      </c>
      <c r="O100" s="35">
        <f>IFERROR(IF(_xlfn.XLOOKUP(B100,'w2'!$B:$B,'w2'!$G:$G)="--",0,_xlfn.XLOOKUP(B100,'w2'!$B:$B,'w2'!$G:$G)),0)</f>
        <v>0</v>
      </c>
      <c r="P100" s="35">
        <f>_xlfn.RANK.EQ(O100,O$3:O$10000,0)</f>
        <v>71</v>
      </c>
      <c r="Q100" s="39">
        <f>IFERROR(_xlfn.XLOOKUP(B100,'w3'!$B:$B,'w3'!$C:$C),0)</f>
        <v>0</v>
      </c>
      <c r="R100" s="40">
        <f>_xlfn.RANK.EQ(Q100,Q$3:Q$10000,0)</f>
        <v>84</v>
      </c>
      <c r="S100" s="41">
        <f>IFERROR(_xlfn.XLOOKUP(B100,'w3'!$B:$B,'w3'!$F:$F),1)</f>
        <v>1</v>
      </c>
      <c r="T100" s="40">
        <f>_xlfn.RANK.EQ(S100,S$3:S$10000,1)</f>
        <v>83</v>
      </c>
      <c r="U100" s="40">
        <f>IFERROR(IF(_xlfn.XLOOKUP(B100,'w3'!$B:$B,'w3'!$G:$G)="--",0,_xlfn.XLOOKUP(B100,'w3'!$B:$B,'w3'!$G:$G)),0)</f>
        <v>0</v>
      </c>
      <c r="V100" s="40">
        <f>_xlfn.RANK.EQ(U100,U$3:U$10000,0)</f>
        <v>80</v>
      </c>
      <c r="W100" s="44">
        <f>IFERROR(_xlfn.XLOOKUP(B100,'w4'!$B:$B,'w4'!$C:$C),0)</f>
        <v>8</v>
      </c>
      <c r="X100" s="45">
        <f>_xlfn.RANK.EQ(W100,W$3:W$10000,0)</f>
        <v>68</v>
      </c>
      <c r="Y100" s="46">
        <f>IFERROR(_xlfn.XLOOKUP(B100,'w4'!$B:$B,'w4'!$F:$F),1)</f>
        <v>0.23125000000000001</v>
      </c>
      <c r="Z100" s="45">
        <f>_xlfn.RANK.EQ(Y100,Y$3:Y$10000,1)</f>
        <v>8</v>
      </c>
      <c r="AA100" s="45">
        <f>IFERROR(IF(_xlfn.XLOOKUP(B100,'w4'!$B:$B,'w4'!$G:$G)="--",0,_xlfn.XLOOKUP(B100,'w4'!$B:$B,'w4'!$G:$G)),0)</f>
        <v>0</v>
      </c>
      <c r="AB100" s="45">
        <f>_xlfn.RANK.EQ(AA100,AA$3:AA$10000,0)</f>
        <v>68</v>
      </c>
      <c r="AC100" s="13">
        <f>IFERROR(_xlfn.XLOOKUP(B100,'w5'!$B:$B,'w5'!$C:$C),0)</f>
        <v>8.1</v>
      </c>
      <c r="AD100" s="12">
        <f>_xlfn.RANK.EQ(AC100,AC$3:AC$10000,0)</f>
        <v>71</v>
      </c>
      <c r="AE100" s="14">
        <f>IFERROR(_xlfn.XLOOKUP(B100,'w5'!$B:$B,'w5'!$F:$F),1)</f>
        <v>0.23333333333333334</v>
      </c>
      <c r="AF100" s="12">
        <f>_xlfn.RANK.EQ(AE100,AE$3:AE$10000,1)</f>
        <v>11</v>
      </c>
      <c r="AG100" s="12">
        <f>IFERROR(IF(_xlfn.XLOOKUP(B100,'w5'!$B:$B,'w5'!$G:$G)="--",0,_xlfn.XLOOKUP(B100,'w5'!$B:$B,'w5'!$G:$G)),0)</f>
        <v>307</v>
      </c>
      <c r="AH100" s="12">
        <f>_xlfn.RANK.EQ(AG100,AG$3:AG$10000,0)</f>
        <v>31</v>
      </c>
      <c r="AI100" s="51">
        <f>IFERROR(_xlfn.XLOOKUP(B100,'w6'!$B:$B,'w6'!$C:$C),0)</f>
        <v>0</v>
      </c>
      <c r="AJ100" s="50">
        <f>_xlfn.RANK.EQ(AI100,AI$3:AI$10000,0)</f>
        <v>65</v>
      </c>
      <c r="AK100" s="52">
        <f>IFERROR(_xlfn.XLOOKUP(B100,'w6'!$B:$B,'w6'!$F:$F),1)</f>
        <v>1</v>
      </c>
      <c r="AL100" s="50">
        <f>_xlfn.RANK.EQ(AK100,AK$3:AK$10000,1)</f>
        <v>65</v>
      </c>
      <c r="AM100" s="50">
        <f>IFERROR(IF(_xlfn.XLOOKUP(B100,'w6'!$B:$B,'w6'!$G:$G)="--",0,_xlfn.XLOOKUP(B100,'w6'!$B:$B,'w6'!$G:$G)),0)</f>
        <v>0</v>
      </c>
      <c r="AN100" s="50">
        <f>_xlfn.RANK.EQ(AM100,AM$3:AM$10000,0)</f>
        <v>61</v>
      </c>
      <c r="AO100" s="56">
        <f>IFERROR(_xlfn.XLOOKUP(B100,'w7'!$B:$B,'w7'!$C:$C),0)</f>
        <v>0</v>
      </c>
      <c r="AP100" s="57">
        <f>_xlfn.RANK.EQ(AO100,AO$3:AO$10000,0)</f>
        <v>72</v>
      </c>
      <c r="AQ100" s="58">
        <f>IFERROR(_xlfn.XLOOKUP(B100,'w7'!$B:$B,'w7'!$F:$F),1)</f>
        <v>1</v>
      </c>
      <c r="AR100" s="57">
        <f>_xlfn.RANK.EQ(AQ100,AQ$3:AQ$10000,1)</f>
        <v>72</v>
      </c>
      <c r="AS100" s="57">
        <f>IFERROR(IF(_xlfn.XLOOKUP(B100,'w7'!$B:$B,'w7'!$G:$G)="--",0,_xlfn.XLOOKUP(B100,'w7'!$B:$B,'w7'!$G:$G)),0)</f>
        <v>0</v>
      </c>
      <c r="AT100" s="57">
        <f>_xlfn.RANK.EQ(AS100,AS$3:AS$10000,0)</f>
        <v>69</v>
      </c>
      <c r="AU100" s="62">
        <f>IFERROR(_xlfn.XLOOKUP(B100,'w8'!$B:$B,'w8'!$C:$C),0)</f>
        <v>0</v>
      </c>
      <c r="AV100" s="61">
        <f>_xlfn.RANK.EQ(AU100,AU$3:AU$10000,0)</f>
        <v>73</v>
      </c>
      <c r="AW100" s="63">
        <f>IFERROR(_xlfn.XLOOKUP(B100,'w8'!$B:$B,'w8'!$F:$F),1)</f>
        <v>1</v>
      </c>
      <c r="AX100" s="61">
        <f>_xlfn.RANK.EQ(AW100,AW$3:AW$10000,1)</f>
        <v>73</v>
      </c>
      <c r="AY100" s="61">
        <f>IFERROR(IF(_xlfn.XLOOKUP(B100,'w8'!$B:$B,'w8'!$G:$G)="--",0,_xlfn.XLOOKUP(B100,'w8'!$B:$B,'w8'!$G:$G)),0)</f>
        <v>0</v>
      </c>
      <c r="AZ100" s="61">
        <f>_xlfn.RANK.EQ(AY100,AY$3:AY$10000,0)</f>
        <v>70</v>
      </c>
      <c r="BA100" s="66">
        <f>IFERROR(_xlfn.XLOOKUP(C100,'w9'!$B:$B,'w9'!$C:$C),0)</f>
        <v>0</v>
      </c>
      <c r="BB100" s="67">
        <f>_xlfn.RANK.EQ(BA100,BA$3:BA$10000,0)</f>
        <v>75</v>
      </c>
      <c r="BC100" s="68">
        <f>IFERROR(_xlfn.XLOOKUP(C100,'w9'!$B:$B,'w9'!$F:$F),1)</f>
        <v>1</v>
      </c>
      <c r="BD100" s="67">
        <f>_xlfn.RANK.EQ(BC100,BC$3:BC$10000,1)</f>
        <v>75</v>
      </c>
      <c r="BE100" s="67">
        <f>IFERROR(IF(_xlfn.XLOOKUP(C100,'w9'!$B:$B,'w9'!$G:$G)="--",0,_xlfn.XLOOKUP(C100,'w9'!$B:$B,'w9'!$G:$G)),0)</f>
        <v>0</v>
      </c>
      <c r="BF100" s="67">
        <f>_xlfn.RANK.EQ(BE100,BE$3:BE$10000,0)</f>
        <v>74</v>
      </c>
      <c r="BG100" s="72">
        <f>IFERROR(_xlfn.XLOOKUP(B100,'w10'!$B:$B,'w10'!$C:$C),0)</f>
        <v>0</v>
      </c>
      <c r="BH100" s="74">
        <f>_xlfn.RANK.EQ(BG100,BG$3:BG$10000,0)</f>
        <v>77</v>
      </c>
      <c r="BI100" s="75">
        <f>IFERROR(_xlfn.XLOOKUP(B100,'w10'!$B:$B,'w10'!$F:$F),1)</f>
        <v>1</v>
      </c>
      <c r="BJ100" s="74">
        <f>_xlfn.RANK.EQ(BI100,BI$3:BI$10000,1)</f>
        <v>76</v>
      </c>
      <c r="BK100" s="74">
        <f>IFERROR(IF(_xlfn.XLOOKUP(B100,'w10'!$B:$B,'w10'!$G:$G)="--",0,_xlfn.XLOOKUP(B100,'w10'!$B:$B,'w10'!$G:$G)),0)</f>
        <v>0</v>
      </c>
      <c r="BL100" s="74">
        <f>_xlfn.RANK.EQ(BK100,BK$3:BK$10000,0)</f>
        <v>76</v>
      </c>
      <c r="BM100" s="78">
        <f>IFERROR(_xlfn.XLOOKUP(B100,'w11'!$B:$B,'w11'!$C:$C),0)</f>
        <v>0</v>
      </c>
      <c r="BN100" s="80">
        <f>_xlfn.RANK.EQ(BM100,BM$3:BM$10000,0)</f>
        <v>76</v>
      </c>
      <c r="BO100" s="81">
        <f>IFERROR(_xlfn.XLOOKUP(B100,'w11'!$B:$B,'w11'!$F:$F),1)</f>
        <v>1</v>
      </c>
      <c r="BP100" s="80">
        <f>_xlfn.RANK.EQ(BO100,BO$3:BO$10000,1)</f>
        <v>76</v>
      </c>
      <c r="BQ100" s="80">
        <f>IFERROR(IF(_xlfn.XLOOKUP(B100,'w11'!$B:$B,'w11'!$G:$G)="--",0,_xlfn.XLOOKUP(B100,'w11'!$B:$B,'w11'!$G:$G)),0)</f>
        <v>0</v>
      </c>
      <c r="BR100" s="80">
        <f>_xlfn.RANK.EQ(BQ100,BQ$3:BQ$10000,0)</f>
        <v>75</v>
      </c>
      <c r="BS100" s="83">
        <f>IFERROR(_xlfn.XLOOKUP(B100,'w12'!$B:$B,'w12'!$C:$C),0)</f>
        <v>0</v>
      </c>
      <c r="BT100" s="86">
        <f>_xlfn.RANK.EQ(BS100,BS$3:BS$10000,0)</f>
        <v>76</v>
      </c>
      <c r="BU100" s="87">
        <f>IFERROR(_xlfn.XLOOKUP(B100,'w12'!$B:$B,'w12'!$F:$F),1)</f>
        <v>1</v>
      </c>
      <c r="BV100" s="86">
        <f>_xlfn.RANK.EQ(BU100,BU$3:BU$10000,1)</f>
        <v>76</v>
      </c>
      <c r="BW100" s="86">
        <f>IFERROR(IF(_xlfn.XLOOKUP(B100,'w12'!$B:$B,'w12'!$G:$G)="--",0,_xlfn.XLOOKUP(B100,'w12'!$B:$B,'w12'!$G:$G)),0)</f>
        <v>0</v>
      </c>
      <c r="BX100" s="86">
        <f>_xlfn.RANK.EQ(BW100,BW$3:BW$10000,0)</f>
        <v>73</v>
      </c>
      <c r="BY100" s="89">
        <f>IFERROR(_xlfn.XLOOKUP(B100,'w13'!$B:$B,'w13'!$C:$C),0)</f>
        <v>0</v>
      </c>
      <c r="BZ100" s="92">
        <f>_xlfn.RANK.EQ(BY100,BY$3:BY$10000,0)</f>
        <v>76</v>
      </c>
      <c r="CA100" s="93">
        <f>IFERROR(_xlfn.XLOOKUP(B100,'w13'!$B:$B,'w13'!$F:$F),1)</f>
        <v>1</v>
      </c>
      <c r="CB100" s="92">
        <f>_xlfn.RANK.EQ(CA100,CA$3:CA$10000,1)</f>
        <v>76</v>
      </c>
      <c r="CC100" s="92">
        <f>IFERROR(IF(_xlfn.XLOOKUP(B100,'w13'!$B:$B,'w13'!$G:$G)="--",0,_xlfn.XLOOKUP(B100,'w13'!$B:$B,'w13'!$G:$G)),0)</f>
        <v>0</v>
      </c>
      <c r="CD100" s="92">
        <f>_xlfn.RANK.EQ(CC100,CC$3:CC$10000,0)</f>
        <v>76</v>
      </c>
      <c r="CE100" s="95">
        <f>IFERROR(_xlfn.XLOOKUP(B100,'w14'!$B:$B,'w14'!$C:$C),0)</f>
        <v>0</v>
      </c>
      <c r="CF100" s="98">
        <f>_xlfn.RANK.EQ(CE100,CE$3:CE$10000,0)</f>
        <v>69</v>
      </c>
      <c r="CG100" s="99">
        <f>IFERROR(_xlfn.XLOOKUP(B100,'w14'!$B:$B,'w14'!$F:$F),1)</f>
        <v>1</v>
      </c>
      <c r="CH100" s="98">
        <f>_xlfn.RANK.EQ(CG100,CG$3:CG$10000,1)</f>
        <v>69</v>
      </c>
      <c r="CI100" s="98">
        <f>IFERROR(IF(_xlfn.XLOOKUP(B100,'w14'!$B:$B,'w14'!$G:$G)="--",0,_xlfn.XLOOKUP(B100,'w14'!$B:$B,'w14'!$G:$G)),0)</f>
        <v>0</v>
      </c>
      <c r="CJ100" s="98">
        <f>_xlfn.RANK.EQ(CI100,CI$3:CI$10000,0)</f>
        <v>69</v>
      </c>
      <c r="CK100" s="9">
        <f>_xlfn.RANK.EQ(D100,D$3:D$10000,1)</f>
        <v>98</v>
      </c>
      <c r="CL100" s="7" t="s">
        <v>212</v>
      </c>
      <c r="CM100" s="8">
        <f>SUM(E100,K100,Q100,W100,AC100,AI100,AO100,AU100,BA100,BG100,BM100,BS100,BY100,CE100)</f>
        <v>16.100000000000001</v>
      </c>
      <c r="CN100" s="9">
        <f>_xlfn.RANK.EQ(CM100,CM$3:CM$10000)</f>
        <v>99</v>
      </c>
      <c r="CO100" s="15">
        <f>IFERROR(SUM(PRODUCT(E100,G100),PRODUCT(K100,M100),PRODUCT(Q100,S100),PRODUCT(W100,Y100),PRODUCT(AC100,AE100),PRODUCT(AI100,AK100),PRODUCT(AO100,AQ100),PRODUCT(AU100,AW100),PRODUCT(BA100,BC100),PRODUCT(BG100,BI100),PRODUCT(BM100,BO100),PRODUCT(BS100,BU100),PRODUCT(BY100,CA100),PRODUCT(CE100,CG100))/CM100,1)</f>
        <v>0.23229813664596272</v>
      </c>
      <c r="CP100" s="9">
        <f>_xlfn.RANK.EQ(CO100,CO$3:CO$10000,1)</f>
        <v>7</v>
      </c>
      <c r="CQ100" s="9">
        <f>SUM(I100,O100,U100,AA100,AG100,AM100,AS100,AY100,BE100,BK100,BQ100,BW100,CC100,CI100)</f>
        <v>307</v>
      </c>
      <c r="CR100" s="9">
        <f>_xlfn.RANK.EQ(CQ100,CQ$3:CQ$10000)</f>
        <v>91</v>
      </c>
      <c r="CS100" s="23"/>
      <c r="CT100" s="25"/>
      <c r="CU100" s="24">
        <f>_xlfn.STDEV.S(F100,L100,R100,X100,AD100,AJ100,AP100,AV100,BB100,BH100,BN100,BT100,BZ100,CF100)</f>
        <v>4.8334912188435135</v>
      </c>
      <c r="CV100" s="21">
        <f>_xlfn.RANK.EQ(CU100,CU$3:CU$10000,1)</f>
        <v>6</v>
      </c>
      <c r="CW100" s="24">
        <f>_xlfn.STDEV.S(H100,N100,T100,Z100,AF100,AL100,AR100,AX100,BD100,BJ100,BP100,BV100,CB100,CH100)</f>
        <v>23.934089899986994</v>
      </c>
      <c r="CX100" s="21">
        <f>_xlfn.RANK.EQ(CW100,CW$3:CW$10000,1)</f>
        <v>93</v>
      </c>
      <c r="CY100" s="24">
        <f>_xlfn.STDEV.S(J100,P100,V100,AB100,AH100,AN100,AT100,AZ100,BF100,BL100,BR100,BX100,CD100,CJ100)</f>
        <v>12.00274693834433</v>
      </c>
      <c r="CZ100" s="21">
        <f>_xlfn.RANK.EQ(CY100,CY$3:CY$10000,1)</f>
        <v>34</v>
      </c>
      <c r="DA100">
        <f>SUM(COUNTIF(E100,"&gt;0"),COUNTIF(K100,"&gt;0"),COUNTIF(Q100,"&gt;0"),COUNTIF(W100,"&gt;0"),COUNTIF(AC100,"&gt;0"),COUNTIF(AI100,"&gt;0"),COUNTIF(AO100,"&gt;0"),COUNTIF(AU100,"&gt;0"),COUNTIF(BA100,"&gt;0"),COUNTIF(BG100,"&gt;0"),COUNTIF(BM100,"&gt;0"),COUNTIF(BS100,"&gt;0"),COUNTIF(BY100,"&gt;0"),COUNTIF(CE100,"&gt;0"))</f>
        <v>2</v>
      </c>
    </row>
    <row r="101" spans="2:105" x14ac:dyDescent="0.3">
      <c r="B101" t="s">
        <v>214</v>
      </c>
      <c r="C101" s="18" t="s">
        <v>216</v>
      </c>
      <c r="D101" s="4">
        <f>CN101*$CN$1+CP101*$CP$1+CR101*$CR$1</f>
        <v>97.174999999999997</v>
      </c>
      <c r="E101" s="29">
        <f>IFERROR(_xlfn.XLOOKUP(B101,'w1'!$B:$B,'w1'!$C:$C),0)</f>
        <v>0</v>
      </c>
      <c r="F101" s="30">
        <f>_xlfn.RANK.EQ(E101,E$3:E$10000,0)</f>
        <v>79</v>
      </c>
      <c r="G101" s="31">
        <f>IFERROR(_xlfn.XLOOKUP(B101,'w1'!$B:$B,'w1'!$F:$F),1)</f>
        <v>1</v>
      </c>
      <c r="H101" s="30">
        <f>_xlfn.RANK.EQ(G101,G$3:G$10000,1)</f>
        <v>79</v>
      </c>
      <c r="I101" s="30">
        <f>IFERROR(IF(_xlfn.XLOOKUP(B101,'w1'!$B:$B,'w1'!$G:$G)="--",0,_xlfn.XLOOKUP(B101,'w1'!$B:$B,'w1'!$G:$G)),0)</f>
        <v>0</v>
      </c>
      <c r="J101" s="30">
        <f>_xlfn.RANK.EQ(I101,I$3:I$10000,0)</f>
        <v>77</v>
      </c>
      <c r="K101" s="34">
        <f>IFERROR(_xlfn.XLOOKUP(B101,'w2'!$B:$B,'w2'!$C:$C),0)</f>
        <v>0</v>
      </c>
      <c r="L101" s="35">
        <f>_xlfn.RANK.EQ(K101,K$3:K$10000,0)</f>
        <v>73</v>
      </c>
      <c r="M101" s="36">
        <f>IFERROR(_xlfn.XLOOKUP(B101,'w2'!$B:$B,'w2'!$F:$F),1)</f>
        <v>1</v>
      </c>
      <c r="N101" s="35">
        <f>_xlfn.RANK.EQ(M101,M$3:M$10000,1)</f>
        <v>72</v>
      </c>
      <c r="O101" s="35">
        <f>IFERROR(IF(_xlfn.XLOOKUP(B101,'w2'!$B:$B,'w2'!$G:$G)="--",0,_xlfn.XLOOKUP(B101,'w2'!$B:$B,'w2'!$G:$G)),0)</f>
        <v>0</v>
      </c>
      <c r="P101" s="35">
        <f>_xlfn.RANK.EQ(O101,O$3:O$10000,0)</f>
        <v>71</v>
      </c>
      <c r="Q101" s="39">
        <f>IFERROR(_xlfn.XLOOKUP(B101,'w3'!$B:$B,'w3'!$C:$C),0)</f>
        <v>0</v>
      </c>
      <c r="R101" s="40">
        <f>_xlfn.RANK.EQ(Q101,Q$3:Q$10000,0)</f>
        <v>84</v>
      </c>
      <c r="S101" s="41">
        <f>IFERROR(_xlfn.XLOOKUP(B101,'w3'!$B:$B,'w3'!$F:$F),1)</f>
        <v>1</v>
      </c>
      <c r="T101" s="40">
        <f>_xlfn.RANK.EQ(S101,S$3:S$10000,1)</f>
        <v>83</v>
      </c>
      <c r="U101" s="40">
        <f>IFERROR(IF(_xlfn.XLOOKUP(B101,'w3'!$B:$B,'w3'!$G:$G)="--",0,_xlfn.XLOOKUP(B101,'w3'!$B:$B,'w3'!$G:$G)),0)</f>
        <v>0</v>
      </c>
      <c r="V101" s="40">
        <f>_xlfn.RANK.EQ(U101,U$3:U$10000,0)</f>
        <v>80</v>
      </c>
      <c r="W101" s="44">
        <f>IFERROR(_xlfn.XLOOKUP(B101,'w4'!$B:$B,'w4'!$C:$C),0)</f>
        <v>0</v>
      </c>
      <c r="X101" s="45">
        <f>_xlfn.RANK.EQ(W101,W$3:W$10000,0)</f>
        <v>76</v>
      </c>
      <c r="Y101" s="46">
        <f>IFERROR(_xlfn.XLOOKUP(B101,'w4'!$B:$B,'w4'!$F:$F),1)</f>
        <v>1</v>
      </c>
      <c r="Z101" s="45">
        <f>_xlfn.RANK.EQ(Y101,Y$3:Y$10000,1)</f>
        <v>76</v>
      </c>
      <c r="AA101" s="45">
        <f>IFERROR(IF(_xlfn.XLOOKUP(B101,'w4'!$B:$B,'w4'!$G:$G)="--",0,_xlfn.XLOOKUP(B101,'w4'!$B:$B,'w4'!$G:$G)),0)</f>
        <v>0</v>
      </c>
      <c r="AB101" s="45">
        <f>_xlfn.RANK.EQ(AA101,AA$3:AA$10000,0)</f>
        <v>68</v>
      </c>
      <c r="AC101" s="13">
        <f>IFERROR(_xlfn.XLOOKUP(B101,'w5'!$B:$B,'w5'!$C:$C),0)</f>
        <v>0.4</v>
      </c>
      <c r="AD101" s="12">
        <f>_xlfn.RANK.EQ(AC101,AC$3:AC$10000,0)</f>
        <v>76</v>
      </c>
      <c r="AE101" s="47">
        <f>IFERROR(_xlfn.XLOOKUP(B101,'w5'!$B:$B,'w5'!$F:$F),1)</f>
        <v>2.7708333333333335</v>
      </c>
      <c r="AF101" s="12">
        <f>_xlfn.RANK.EQ(AE101,AE$3:AE$10000,1)</f>
        <v>106</v>
      </c>
      <c r="AG101" s="12">
        <f>IFERROR(IF(_xlfn.XLOOKUP(B101,'w5'!$B:$B,'w5'!$G:$G)="--",0,_xlfn.XLOOKUP(B101,'w5'!$B:$B,'w5'!$G:$G)),0)</f>
        <v>0</v>
      </c>
      <c r="AH101" s="12">
        <f>_xlfn.RANK.EQ(AG101,AG$3:AG$10000,0)</f>
        <v>73</v>
      </c>
      <c r="AI101" s="51">
        <f>IFERROR(_xlfn.XLOOKUP(B101,'w6'!$B:$B,'w6'!$C:$C),0)</f>
        <v>0</v>
      </c>
      <c r="AJ101" s="50">
        <f>_xlfn.RANK.EQ(AI101,AI$3:AI$10000,0)</f>
        <v>65</v>
      </c>
      <c r="AK101" s="52">
        <f>IFERROR(_xlfn.XLOOKUP(B101,'w6'!$B:$B,'w6'!$F:$F),1)</f>
        <v>1</v>
      </c>
      <c r="AL101" s="50">
        <f>_xlfn.RANK.EQ(AK101,AK$3:AK$10000,1)</f>
        <v>65</v>
      </c>
      <c r="AM101" s="50">
        <f>IFERROR(IF(_xlfn.XLOOKUP(B101,'w6'!$B:$B,'w6'!$G:$G)="--",0,_xlfn.XLOOKUP(B101,'w6'!$B:$B,'w6'!$G:$G)),0)</f>
        <v>0</v>
      </c>
      <c r="AN101" s="50">
        <f>_xlfn.RANK.EQ(AM101,AM$3:AM$10000,0)</f>
        <v>61</v>
      </c>
      <c r="AO101" s="56">
        <f>IFERROR(_xlfn.XLOOKUP(B101,'w7'!$B:$B,'w7'!$C:$C),0)</f>
        <v>0</v>
      </c>
      <c r="AP101" s="57">
        <f>_xlfn.RANK.EQ(AO101,AO$3:AO$10000,0)</f>
        <v>72</v>
      </c>
      <c r="AQ101" s="58">
        <f>IFERROR(_xlfn.XLOOKUP(B101,'w7'!$B:$B,'w7'!$F:$F),1)</f>
        <v>1</v>
      </c>
      <c r="AR101" s="57">
        <f>_xlfn.RANK.EQ(AQ101,AQ$3:AQ$10000,1)</f>
        <v>72</v>
      </c>
      <c r="AS101" s="57">
        <f>IFERROR(IF(_xlfn.XLOOKUP(B101,'w7'!$B:$B,'w7'!$G:$G)="--",0,_xlfn.XLOOKUP(B101,'w7'!$B:$B,'w7'!$G:$G)),0)</f>
        <v>0</v>
      </c>
      <c r="AT101" s="57">
        <f>_xlfn.RANK.EQ(AS101,AS$3:AS$10000,0)</f>
        <v>69</v>
      </c>
      <c r="AU101" s="62">
        <f>IFERROR(_xlfn.XLOOKUP(B101,'w8'!$B:$B,'w8'!$C:$C),0)</f>
        <v>2</v>
      </c>
      <c r="AV101" s="61">
        <f>_xlfn.RANK.EQ(AU101,AU$3:AU$10000,0)</f>
        <v>70</v>
      </c>
      <c r="AW101" s="63">
        <f>IFERROR(_xlfn.XLOOKUP(B101,'w8'!$B:$B,'w8'!$F:$F),1)</f>
        <v>0.29305555555555557</v>
      </c>
      <c r="AX101" s="61">
        <f>_xlfn.RANK.EQ(AW101,AW$3:AW$10000,1)</f>
        <v>44</v>
      </c>
      <c r="AY101" s="61">
        <f>IFERROR(IF(_xlfn.XLOOKUP(B101,'w8'!$B:$B,'w8'!$G:$G)="--",0,_xlfn.XLOOKUP(B101,'w8'!$B:$B,'w8'!$G:$G)),0)</f>
        <v>0</v>
      </c>
      <c r="AZ101" s="61">
        <f>_xlfn.RANK.EQ(AY101,AY$3:AY$10000,0)</f>
        <v>70</v>
      </c>
      <c r="BA101" s="66">
        <f>IFERROR(_xlfn.XLOOKUP(C101,'w9'!$B:$B,'w9'!$C:$C),0)</f>
        <v>0</v>
      </c>
      <c r="BB101" s="67">
        <f>_xlfn.RANK.EQ(BA101,BA$3:BA$10000,0)</f>
        <v>75</v>
      </c>
      <c r="BC101" s="68">
        <f>IFERROR(_xlfn.XLOOKUP(C101,'w9'!$B:$B,'w9'!$F:$F),1)</f>
        <v>1</v>
      </c>
      <c r="BD101" s="67">
        <f>_xlfn.RANK.EQ(BC101,BC$3:BC$10000,1)</f>
        <v>75</v>
      </c>
      <c r="BE101" s="67">
        <f>IFERROR(IF(_xlfn.XLOOKUP(C101,'w9'!$B:$B,'w9'!$G:$G)="--",0,_xlfn.XLOOKUP(C101,'w9'!$B:$B,'w9'!$G:$G)),0)</f>
        <v>0</v>
      </c>
      <c r="BF101" s="67">
        <f>_xlfn.RANK.EQ(BE101,BE$3:BE$10000,0)</f>
        <v>74</v>
      </c>
      <c r="BG101" s="72">
        <f>IFERROR(_xlfn.XLOOKUP(B101,'w10'!$B:$B,'w10'!$C:$C),0)</f>
        <v>0</v>
      </c>
      <c r="BH101" s="74">
        <f>_xlfn.RANK.EQ(BG101,BG$3:BG$10000,0)</f>
        <v>77</v>
      </c>
      <c r="BI101" s="75">
        <f>IFERROR(_xlfn.XLOOKUP(B101,'w10'!$B:$B,'w10'!$F:$F),1)</f>
        <v>1</v>
      </c>
      <c r="BJ101" s="74">
        <f>_xlfn.RANK.EQ(BI101,BI$3:BI$10000,1)</f>
        <v>76</v>
      </c>
      <c r="BK101" s="74">
        <f>IFERROR(IF(_xlfn.XLOOKUP(B101,'w10'!$B:$B,'w10'!$G:$G)="--",0,_xlfn.XLOOKUP(B101,'w10'!$B:$B,'w10'!$G:$G)),0)</f>
        <v>0</v>
      </c>
      <c r="BL101" s="74">
        <f>_xlfn.RANK.EQ(BK101,BK$3:BK$10000,0)</f>
        <v>76</v>
      </c>
      <c r="BM101" s="78">
        <f>IFERROR(_xlfn.XLOOKUP(B101,'w11'!$B:$B,'w11'!$C:$C),0)</f>
        <v>4</v>
      </c>
      <c r="BN101" s="80">
        <f>_xlfn.RANK.EQ(BM101,BM$3:BM$10000,0)</f>
        <v>74</v>
      </c>
      <c r="BO101" s="81">
        <f>IFERROR(_xlfn.XLOOKUP(B101,'w11'!$B:$B,'w11'!$F:$F),1)</f>
        <v>0.24236111111111111</v>
      </c>
      <c r="BP101" s="80">
        <f>_xlfn.RANK.EQ(BO101,BO$3:BO$10000,1)</f>
        <v>16</v>
      </c>
      <c r="BQ101" s="80">
        <f>IFERROR(IF(_xlfn.XLOOKUP(B101,'w11'!$B:$B,'w11'!$G:$G)="--",0,_xlfn.XLOOKUP(B101,'w11'!$B:$B,'w11'!$G:$G)),0)</f>
        <v>32</v>
      </c>
      <c r="BR101" s="80">
        <f>_xlfn.RANK.EQ(BQ101,BQ$3:BQ$10000,0)</f>
        <v>69</v>
      </c>
      <c r="BS101" s="83">
        <f>IFERROR(_xlfn.XLOOKUP(B101,'w12'!$B:$B,'w12'!$C:$C),0)</f>
        <v>0</v>
      </c>
      <c r="BT101" s="86">
        <f>_xlfn.RANK.EQ(BS101,BS$3:BS$10000,0)</f>
        <v>76</v>
      </c>
      <c r="BU101" s="87">
        <f>IFERROR(_xlfn.XLOOKUP(B101,'w12'!$B:$B,'w12'!$F:$F),1)</f>
        <v>1</v>
      </c>
      <c r="BV101" s="86">
        <f>_xlfn.RANK.EQ(BU101,BU$3:BU$10000,1)</f>
        <v>76</v>
      </c>
      <c r="BW101" s="86">
        <f>IFERROR(IF(_xlfn.XLOOKUP(B101,'w12'!$B:$B,'w12'!$G:$G)="--",0,_xlfn.XLOOKUP(B101,'w12'!$B:$B,'w12'!$G:$G)),0)</f>
        <v>0</v>
      </c>
      <c r="BX101" s="86">
        <f>_xlfn.RANK.EQ(BW101,BW$3:BW$10000,0)</f>
        <v>73</v>
      </c>
      <c r="BY101" s="89">
        <f>IFERROR(_xlfn.XLOOKUP(B101,'w13'!$B:$B,'w13'!$C:$C),0)</f>
        <v>10.1</v>
      </c>
      <c r="BZ101" s="92">
        <f>_xlfn.RANK.EQ(BY101,BY$3:BY$10000,0)</f>
        <v>61</v>
      </c>
      <c r="CA101" s="93">
        <f>IFERROR(_xlfn.XLOOKUP(B101,'w13'!$B:$B,'w13'!$F:$F),1)</f>
        <v>0.24930555555555556</v>
      </c>
      <c r="CB101" s="92">
        <f>_xlfn.RANK.EQ(CA101,CA$3:CA$10000,1)</f>
        <v>22</v>
      </c>
      <c r="CC101" s="92">
        <f>IFERROR(IF(_xlfn.XLOOKUP(B101,'w13'!$B:$B,'w13'!$G:$G)="--",0,_xlfn.XLOOKUP(B101,'w13'!$B:$B,'w13'!$G:$G)),0)</f>
        <v>101</v>
      </c>
      <c r="CD101" s="92">
        <f>_xlfn.RANK.EQ(CC101,CC$3:CC$10000,0)</f>
        <v>51</v>
      </c>
      <c r="CE101" s="95">
        <f>IFERROR(_xlfn.XLOOKUP(B101,'w14'!$B:$B,'w14'!$C:$C),0)</f>
        <v>0</v>
      </c>
      <c r="CF101" s="98">
        <f>_xlfn.RANK.EQ(CE101,CE$3:CE$10000,0)</f>
        <v>69</v>
      </c>
      <c r="CG101" s="99">
        <f>IFERROR(_xlfn.XLOOKUP(B101,'w14'!$B:$B,'w14'!$F:$F),1)</f>
        <v>1</v>
      </c>
      <c r="CH101" s="98">
        <f>_xlfn.RANK.EQ(CG101,CG$3:CG$10000,1)</f>
        <v>69</v>
      </c>
      <c r="CI101" s="98">
        <f>IFERROR(IF(_xlfn.XLOOKUP(B101,'w14'!$B:$B,'w14'!$G:$G)="--",0,_xlfn.XLOOKUP(B101,'w14'!$B:$B,'w14'!$G:$G)),0)</f>
        <v>0</v>
      </c>
      <c r="CJ101" s="98">
        <f>_xlfn.RANK.EQ(CI101,CI$3:CI$10000,0)</f>
        <v>69</v>
      </c>
      <c r="CK101" s="9">
        <f>_xlfn.RANK.EQ(D101,D$3:D$10000,1)</f>
        <v>99</v>
      </c>
      <c r="CL101" s="7" t="s">
        <v>216</v>
      </c>
      <c r="CM101" s="8">
        <f>SUM(E101,K101,Q101,W101,AC101,AI101,AO101,AU101,BA101,BG101,BM101,BS101,BY101,CE101)</f>
        <v>16.5</v>
      </c>
      <c r="CN101" s="9">
        <f>_xlfn.RANK.EQ(CM101,CM$3:CM$10000)</f>
        <v>98</v>
      </c>
      <c r="CO101" s="15">
        <f>IFERROR(SUM(PRODUCT(E101,G101),PRODUCT(K101,M101),PRODUCT(Q101,S101),PRODUCT(W101,Y101),PRODUCT(AC101,AE101),PRODUCT(AI101,AK101),PRODUCT(AO101,AQ101),PRODUCT(AU101,AW101),PRODUCT(BA101,BC101),PRODUCT(BG101,BI101),PRODUCT(BM101,BO101),PRODUCT(BS101,BU101),PRODUCT(BY101,CA101),PRODUCT(CE101,CG101))/CM101,1)</f>
        <v>0.31405303030303028</v>
      </c>
      <c r="CP101" s="9">
        <f>_xlfn.RANK.EQ(CO101,CO$3:CO$10000,1)</f>
        <v>63</v>
      </c>
      <c r="CQ101" s="9">
        <f>SUM(I101,O101,U101,AA101,AG101,AM101,AS101,AY101,BE101,BK101,BQ101,BW101,CC101,CI101)</f>
        <v>133</v>
      </c>
      <c r="CR101" s="9">
        <f>_xlfn.RANK.EQ(CQ101,CQ$3:CQ$10000)</f>
        <v>100</v>
      </c>
      <c r="CS101" s="23"/>
      <c r="CT101" s="25"/>
      <c r="CU101" s="24">
        <f>_xlfn.STDEV.S(F101,L101,R101,X101,AD101,AJ101,AP101,AV101,BB101,BH101,BN101,BT101,BZ101,CF101)</f>
        <v>5.7992989345151145</v>
      </c>
      <c r="CV101" s="21">
        <f>_xlfn.RANK.EQ(CU101,CU$3:CU$10000,1)</f>
        <v>16</v>
      </c>
      <c r="CW101" s="24">
        <f>_xlfn.STDEV.S(H101,N101,T101,Z101,AF101,AL101,AR101,AX101,BD101,BJ101,BP101,BV101,CB101,CH101)</f>
        <v>23.918933601132487</v>
      </c>
      <c r="CX101" s="21">
        <f>_xlfn.RANK.EQ(CW101,CW$3:CW$10000,1)</f>
        <v>92</v>
      </c>
      <c r="CY101" s="24">
        <f>_xlfn.STDEV.S(J101,P101,V101,AB101,AH101,AN101,AT101,AZ101,BF101,BL101,BR101,BX101,CD101,CJ101)</f>
        <v>7.1732868307383306</v>
      </c>
      <c r="CZ101" s="21">
        <f>_xlfn.RANK.EQ(CY101,CY$3:CY$10000,1)</f>
        <v>14</v>
      </c>
      <c r="DA101">
        <f>SUM(COUNTIF(E101,"&gt;0"),COUNTIF(K101,"&gt;0"),COUNTIF(Q101,"&gt;0"),COUNTIF(W101,"&gt;0"),COUNTIF(AC101,"&gt;0"),COUNTIF(AI101,"&gt;0"),COUNTIF(AO101,"&gt;0"),COUNTIF(AU101,"&gt;0"),COUNTIF(BA101,"&gt;0"),COUNTIF(BG101,"&gt;0"),COUNTIF(BM101,"&gt;0"),COUNTIF(BS101,"&gt;0"),COUNTIF(BY101,"&gt;0"),COUNTIF(CE101,"&gt;0"))</f>
        <v>4</v>
      </c>
    </row>
    <row r="102" spans="2:105" x14ac:dyDescent="0.3">
      <c r="B102" t="s">
        <v>71</v>
      </c>
      <c r="C102" s="18" t="s">
        <v>148</v>
      </c>
      <c r="D102" s="4">
        <f>CN102*$CN$1+CP102*$CP$1+CR102*$CR$1</f>
        <v>97.55</v>
      </c>
      <c r="E102" s="29">
        <f>IFERROR(_xlfn.XLOOKUP(B102,'w1'!$B:$B,'w1'!$C:$C),0)</f>
        <v>10.1</v>
      </c>
      <c r="F102" s="30">
        <f>_xlfn.RANK.EQ(E102,E$3:E$10000,0)</f>
        <v>66</v>
      </c>
      <c r="G102" s="31">
        <f>IFERROR(_xlfn.XLOOKUP(B102,'w1'!$B:$B,'w1'!$F:$F),1)</f>
        <v>0.22083333333333333</v>
      </c>
      <c r="H102" s="30">
        <f>_xlfn.RANK.EQ(G102,G$3:G$10000,1)</f>
        <v>6</v>
      </c>
      <c r="I102" s="30">
        <f>IFERROR(IF(_xlfn.XLOOKUP(B102,'w1'!$B:$B,'w1'!$G:$G)="--",0,_xlfn.XLOOKUP(B102,'w1'!$B:$B,'w1'!$G:$G)),0)</f>
        <v>145</v>
      </c>
      <c r="J102" s="30">
        <f>_xlfn.RANK.EQ(I102,I$3:I$10000,0)</f>
        <v>49</v>
      </c>
      <c r="K102" s="34">
        <f>IFERROR(_xlfn.XLOOKUP(B102,'w2'!$B:$B,'w2'!$C:$C),0)</f>
        <v>0</v>
      </c>
      <c r="L102" s="35">
        <f>_xlfn.RANK.EQ(K102,K$3:K$10000,0)</f>
        <v>73</v>
      </c>
      <c r="M102" s="36">
        <f>IFERROR(_xlfn.XLOOKUP(B102,'w2'!$B:$B,'w2'!$F:$F),1)</f>
        <v>1</v>
      </c>
      <c r="N102" s="35">
        <f>_xlfn.RANK.EQ(M102,M$3:M$10000,1)</f>
        <v>72</v>
      </c>
      <c r="O102" s="35">
        <f>IFERROR(IF(_xlfn.XLOOKUP(B102,'w2'!$B:$B,'w2'!$G:$G)="--",0,_xlfn.XLOOKUP(B102,'w2'!$B:$B,'w2'!$G:$G)),0)</f>
        <v>0</v>
      </c>
      <c r="P102" s="35">
        <f>_xlfn.RANK.EQ(O102,O$3:O$10000,0)</f>
        <v>71</v>
      </c>
      <c r="Q102" s="39">
        <f>IFERROR(_xlfn.XLOOKUP(B102,'w3'!$B:$B,'w3'!$C:$C),0)</f>
        <v>0</v>
      </c>
      <c r="R102" s="40">
        <f>_xlfn.RANK.EQ(Q102,Q$3:Q$10000,0)</f>
        <v>84</v>
      </c>
      <c r="S102" s="41">
        <f>IFERROR(_xlfn.XLOOKUP(B102,'w3'!$B:$B,'w3'!$F:$F),1)</f>
        <v>1</v>
      </c>
      <c r="T102" s="40">
        <f>_xlfn.RANK.EQ(S102,S$3:S$10000,1)</f>
        <v>83</v>
      </c>
      <c r="U102" s="40">
        <f>IFERROR(IF(_xlfn.XLOOKUP(B102,'w3'!$B:$B,'w3'!$G:$G)="--",0,_xlfn.XLOOKUP(B102,'w3'!$B:$B,'w3'!$G:$G)),0)</f>
        <v>0</v>
      </c>
      <c r="V102" s="40">
        <f>_xlfn.RANK.EQ(U102,U$3:U$10000,0)</f>
        <v>80</v>
      </c>
      <c r="W102" s="44">
        <f>IFERROR(_xlfn.XLOOKUP(B102,'w4'!$B:$B,'w4'!$C:$C),0)</f>
        <v>0</v>
      </c>
      <c r="X102" s="45">
        <f>_xlfn.RANK.EQ(W102,W$3:W$10000,0)</f>
        <v>76</v>
      </c>
      <c r="Y102" s="46">
        <f>IFERROR(_xlfn.XLOOKUP(B102,'w4'!$B:$B,'w4'!$F:$F),1)</f>
        <v>1</v>
      </c>
      <c r="Z102" s="45">
        <f>_xlfn.RANK.EQ(Y102,Y$3:Y$10000,1)</f>
        <v>76</v>
      </c>
      <c r="AA102" s="45">
        <f>IFERROR(IF(_xlfn.XLOOKUP(B102,'w4'!$B:$B,'w4'!$G:$G)="--",0,_xlfn.XLOOKUP(B102,'w4'!$B:$B,'w4'!$G:$G)),0)</f>
        <v>0</v>
      </c>
      <c r="AB102" s="45">
        <f>_xlfn.RANK.EQ(AA102,AA$3:AA$10000,0)</f>
        <v>68</v>
      </c>
      <c r="AC102" s="13">
        <f>IFERROR(_xlfn.XLOOKUP(B102,'w5'!$B:$B,'w5'!$C:$C),0)</f>
        <v>0</v>
      </c>
      <c r="AD102" s="12">
        <f>_xlfn.RANK.EQ(AC102,AC$3:AC$10000,0)</f>
        <v>77</v>
      </c>
      <c r="AE102" s="14">
        <f>IFERROR(_xlfn.XLOOKUP(B102,'w5'!$B:$B,'w5'!$F:$F),1)</f>
        <v>1</v>
      </c>
      <c r="AF102" s="12">
        <f>_xlfn.RANK.EQ(AE102,AE$3:AE$10000,1)</f>
        <v>76</v>
      </c>
      <c r="AG102" s="12">
        <f>IFERROR(IF(_xlfn.XLOOKUP(B102,'w5'!$B:$B,'w5'!$G:$G)="--",0,_xlfn.XLOOKUP(B102,'w5'!$B:$B,'w5'!$G:$G)),0)</f>
        <v>0</v>
      </c>
      <c r="AH102" s="12">
        <f>_xlfn.RANK.EQ(AG102,AG$3:AG$10000,0)</f>
        <v>73</v>
      </c>
      <c r="AI102" s="51">
        <f>IFERROR(_xlfn.XLOOKUP(B102,'w6'!$B:$B,'w6'!$C:$C),0)</f>
        <v>0</v>
      </c>
      <c r="AJ102" s="50">
        <f>_xlfn.RANK.EQ(AI102,AI$3:AI$10000,0)</f>
        <v>65</v>
      </c>
      <c r="AK102" s="52">
        <f>IFERROR(_xlfn.XLOOKUP(B102,'w6'!$B:$B,'w6'!$F:$F),1)</f>
        <v>1</v>
      </c>
      <c r="AL102" s="50">
        <f>_xlfn.RANK.EQ(AK102,AK$3:AK$10000,1)</f>
        <v>65</v>
      </c>
      <c r="AM102" s="50">
        <f>IFERROR(IF(_xlfn.XLOOKUP(B102,'w6'!$B:$B,'w6'!$G:$G)="--",0,_xlfn.XLOOKUP(B102,'w6'!$B:$B,'w6'!$G:$G)),0)</f>
        <v>0</v>
      </c>
      <c r="AN102" s="50">
        <f>_xlfn.RANK.EQ(AM102,AM$3:AM$10000,0)</f>
        <v>61</v>
      </c>
      <c r="AO102" s="56">
        <f>IFERROR(_xlfn.XLOOKUP(B102,'w7'!$B:$B,'w7'!$C:$C),0)</f>
        <v>0</v>
      </c>
      <c r="AP102" s="57">
        <f>_xlfn.RANK.EQ(AO102,AO$3:AO$10000,0)</f>
        <v>72</v>
      </c>
      <c r="AQ102" s="58">
        <f>IFERROR(_xlfn.XLOOKUP(B102,'w7'!$B:$B,'w7'!$F:$F),1)</f>
        <v>1</v>
      </c>
      <c r="AR102" s="57">
        <f>_xlfn.RANK.EQ(AQ102,AQ$3:AQ$10000,1)</f>
        <v>72</v>
      </c>
      <c r="AS102" s="57">
        <f>IFERROR(IF(_xlfn.XLOOKUP(B102,'w7'!$B:$B,'w7'!$G:$G)="--",0,_xlfn.XLOOKUP(B102,'w7'!$B:$B,'w7'!$G:$G)),0)</f>
        <v>0</v>
      </c>
      <c r="AT102" s="57">
        <f>_xlfn.RANK.EQ(AS102,AS$3:AS$10000,0)</f>
        <v>69</v>
      </c>
      <c r="AU102" s="62">
        <f>IFERROR(_xlfn.XLOOKUP(B102,'w8'!$B:$B,'w8'!$C:$C),0)</f>
        <v>0</v>
      </c>
      <c r="AV102" s="61">
        <f>_xlfn.RANK.EQ(AU102,AU$3:AU$10000,0)</f>
        <v>73</v>
      </c>
      <c r="AW102" s="63">
        <f>IFERROR(_xlfn.XLOOKUP(B102,'w8'!$B:$B,'w8'!$F:$F),1)</f>
        <v>1</v>
      </c>
      <c r="AX102" s="61">
        <f>_xlfn.RANK.EQ(AW102,AW$3:AW$10000,1)</f>
        <v>73</v>
      </c>
      <c r="AY102" s="61">
        <f>IFERROR(IF(_xlfn.XLOOKUP(B102,'w8'!$B:$B,'w8'!$G:$G)="--",0,_xlfn.XLOOKUP(B102,'w8'!$B:$B,'w8'!$G:$G)),0)</f>
        <v>0</v>
      </c>
      <c r="AZ102" s="61">
        <f>_xlfn.RANK.EQ(AY102,AY$3:AY$10000,0)</f>
        <v>70</v>
      </c>
      <c r="BA102" s="66">
        <f>IFERROR(_xlfn.XLOOKUP(C102,'w9'!$B:$B,'w9'!$C:$C),0)</f>
        <v>0</v>
      </c>
      <c r="BB102" s="67">
        <f>_xlfn.RANK.EQ(BA102,BA$3:BA$10000,0)</f>
        <v>75</v>
      </c>
      <c r="BC102" s="68">
        <f>IFERROR(_xlfn.XLOOKUP(C102,'w9'!$B:$B,'w9'!$F:$F),1)</f>
        <v>1</v>
      </c>
      <c r="BD102" s="67">
        <f>_xlfn.RANK.EQ(BC102,BC$3:BC$10000,1)</f>
        <v>75</v>
      </c>
      <c r="BE102" s="67">
        <f>IFERROR(IF(_xlfn.XLOOKUP(C102,'w9'!$B:$B,'w9'!$G:$G)="--",0,_xlfn.XLOOKUP(C102,'w9'!$B:$B,'w9'!$G:$G)),0)</f>
        <v>0</v>
      </c>
      <c r="BF102" s="67">
        <f>_xlfn.RANK.EQ(BE102,BE$3:BE$10000,0)</f>
        <v>74</v>
      </c>
      <c r="BG102" s="72">
        <f>IFERROR(_xlfn.XLOOKUP(B102,'w10'!$B:$B,'w10'!$C:$C),0)</f>
        <v>0</v>
      </c>
      <c r="BH102" s="74">
        <f>_xlfn.RANK.EQ(BG102,BG$3:BG$10000,0)</f>
        <v>77</v>
      </c>
      <c r="BI102" s="75">
        <f>IFERROR(_xlfn.XLOOKUP(B102,'w10'!$B:$B,'w10'!$F:$F),1)</f>
        <v>1</v>
      </c>
      <c r="BJ102" s="74">
        <f>_xlfn.RANK.EQ(BI102,BI$3:BI$10000,1)</f>
        <v>76</v>
      </c>
      <c r="BK102" s="74">
        <f>IFERROR(IF(_xlfn.XLOOKUP(B102,'w10'!$B:$B,'w10'!$G:$G)="--",0,_xlfn.XLOOKUP(B102,'w10'!$B:$B,'w10'!$G:$G)),0)</f>
        <v>0</v>
      </c>
      <c r="BL102" s="74">
        <f>_xlfn.RANK.EQ(BK102,BK$3:BK$10000,0)</f>
        <v>76</v>
      </c>
      <c r="BM102" s="78">
        <f>IFERROR(_xlfn.XLOOKUP(B102,'w11'!$B:$B,'w11'!$C:$C),0)</f>
        <v>0</v>
      </c>
      <c r="BN102" s="80">
        <f>_xlfn.RANK.EQ(BM102,BM$3:BM$10000,0)</f>
        <v>76</v>
      </c>
      <c r="BO102" s="81">
        <f>IFERROR(_xlfn.XLOOKUP(B102,'w11'!$B:$B,'w11'!$F:$F),1)</f>
        <v>1</v>
      </c>
      <c r="BP102" s="80">
        <f>_xlfn.RANK.EQ(BO102,BO$3:BO$10000,1)</f>
        <v>76</v>
      </c>
      <c r="BQ102" s="80">
        <f>IFERROR(IF(_xlfn.XLOOKUP(B102,'w11'!$B:$B,'w11'!$G:$G)="--",0,_xlfn.XLOOKUP(B102,'w11'!$B:$B,'w11'!$G:$G)),0)</f>
        <v>0</v>
      </c>
      <c r="BR102" s="80">
        <f>_xlfn.RANK.EQ(BQ102,BQ$3:BQ$10000,0)</f>
        <v>75</v>
      </c>
      <c r="BS102" s="83">
        <f>IFERROR(_xlfn.XLOOKUP(B102,'w12'!$B:$B,'w12'!$C:$C),0)</f>
        <v>0</v>
      </c>
      <c r="BT102" s="86">
        <f>_xlfn.RANK.EQ(BS102,BS$3:BS$10000,0)</f>
        <v>76</v>
      </c>
      <c r="BU102" s="87">
        <f>IFERROR(_xlfn.XLOOKUP(B102,'w12'!$B:$B,'w12'!$F:$F),1)</f>
        <v>1</v>
      </c>
      <c r="BV102" s="86">
        <f>_xlfn.RANK.EQ(BU102,BU$3:BU$10000,1)</f>
        <v>76</v>
      </c>
      <c r="BW102" s="86">
        <f>IFERROR(IF(_xlfn.XLOOKUP(B102,'w12'!$B:$B,'w12'!$G:$G)="--",0,_xlfn.XLOOKUP(B102,'w12'!$B:$B,'w12'!$G:$G)),0)</f>
        <v>0</v>
      </c>
      <c r="BX102" s="86">
        <f>_xlfn.RANK.EQ(BW102,BW$3:BW$10000,0)</f>
        <v>73</v>
      </c>
      <c r="BY102" s="89">
        <f>IFERROR(_xlfn.XLOOKUP(B102,'w13'!$B:$B,'w13'!$C:$C),0)</f>
        <v>0</v>
      </c>
      <c r="BZ102" s="92">
        <f>_xlfn.RANK.EQ(BY102,BY$3:BY$10000,0)</f>
        <v>76</v>
      </c>
      <c r="CA102" s="93">
        <f>IFERROR(_xlfn.XLOOKUP(B102,'w13'!$B:$B,'w13'!$F:$F),1)</f>
        <v>1</v>
      </c>
      <c r="CB102" s="92">
        <f>_xlfn.RANK.EQ(CA102,CA$3:CA$10000,1)</f>
        <v>76</v>
      </c>
      <c r="CC102" s="92">
        <f>IFERROR(IF(_xlfn.XLOOKUP(B102,'w13'!$B:$B,'w13'!$G:$G)="--",0,_xlfn.XLOOKUP(B102,'w13'!$B:$B,'w13'!$G:$G)),0)</f>
        <v>0</v>
      </c>
      <c r="CD102" s="92">
        <f>_xlfn.RANK.EQ(CC102,CC$3:CC$10000,0)</f>
        <v>76</v>
      </c>
      <c r="CE102" s="95">
        <f>IFERROR(_xlfn.XLOOKUP(B102,'w14'!$B:$B,'w14'!$C:$C),0)</f>
        <v>0</v>
      </c>
      <c r="CF102" s="98">
        <f>_xlfn.RANK.EQ(CE102,CE$3:CE$10000,0)</f>
        <v>69</v>
      </c>
      <c r="CG102" s="99">
        <f>IFERROR(_xlfn.XLOOKUP(B102,'w14'!$B:$B,'w14'!$F:$F),1)</f>
        <v>1</v>
      </c>
      <c r="CH102" s="98">
        <f>_xlfn.RANK.EQ(CG102,CG$3:CG$10000,1)</f>
        <v>69</v>
      </c>
      <c r="CI102" s="98">
        <f>IFERROR(IF(_xlfn.XLOOKUP(B102,'w14'!$B:$B,'w14'!$G:$G)="--",0,_xlfn.XLOOKUP(B102,'w14'!$B:$B,'w14'!$G:$G)),0)</f>
        <v>0</v>
      </c>
      <c r="CJ102" s="98">
        <f>_xlfn.RANK.EQ(CI102,CI$3:CI$10000,0)</f>
        <v>69</v>
      </c>
      <c r="CK102" s="9">
        <f>_xlfn.RANK.EQ(D102,D$3:D$10000,1)</f>
        <v>100</v>
      </c>
      <c r="CL102" s="26" t="s">
        <v>148</v>
      </c>
      <c r="CM102" s="8">
        <f>SUM(E102,K102,Q102,W102,AC102,AI102,AO102,AU102,BA102,BG102,BM102,BS102,BY102,CE102)</f>
        <v>10.1</v>
      </c>
      <c r="CN102" s="9">
        <f>_xlfn.RANK.EQ(CM102,CM$3:CM$10000)</f>
        <v>100</v>
      </c>
      <c r="CO102" s="15">
        <f>IFERROR(SUM(PRODUCT(E102,G102),PRODUCT(K102,M102),PRODUCT(Q102,S102),PRODUCT(W102,Y102),PRODUCT(AC102,AE102),PRODUCT(AI102,AK102),PRODUCT(AO102,AQ102),PRODUCT(AU102,AW102),PRODUCT(BA102,BC102),PRODUCT(BG102,BI102),PRODUCT(BM102,BO102),PRODUCT(BS102,BU102),PRODUCT(BY102,CA102),PRODUCT(CE102,CG102))/CM102,1)</f>
        <v>0.22083333333333335</v>
      </c>
      <c r="CP102" s="9">
        <f>_xlfn.RANK.EQ(CO102,CO$3:CO$10000,1)</f>
        <v>3</v>
      </c>
      <c r="CQ102" s="9">
        <f>SUM(I102,O102,U102,AA102,AG102,AM102,AS102,AY102,BE102,BK102,BQ102,BW102,CC102,CI102)</f>
        <v>145</v>
      </c>
      <c r="CR102" s="9">
        <f>_xlfn.RANK.EQ(CQ102,CQ$3:CQ$10000)</f>
        <v>99</v>
      </c>
      <c r="CS102" s="23"/>
      <c r="CT102" s="25"/>
      <c r="CU102" s="24">
        <f>_xlfn.STDEV.S(F102,L102,R102,X102,AD102,AJ102,AP102,AV102,BB102,BH102,BN102,BT102,BZ102,CF102)</f>
        <v>4.8905605422673606</v>
      </c>
      <c r="CV102" s="21">
        <f>_xlfn.RANK.EQ(CU102,CU$3:CU$10000,1)</f>
        <v>8</v>
      </c>
      <c r="CW102" s="24">
        <f>_xlfn.STDEV.S(H102,N102,T102,Z102,AF102,AL102,AR102,AX102,BD102,BJ102,BP102,BV102,CB102,CH102)</f>
        <v>18.694331279241371</v>
      </c>
      <c r="CX102" s="21">
        <f>_xlfn.RANK.EQ(CW102,CW$3:CW$10000,1)</f>
        <v>73</v>
      </c>
      <c r="CY102" s="24">
        <f>_xlfn.STDEV.S(J102,P102,V102,AB102,AH102,AN102,AT102,AZ102,BF102,BL102,BR102,BX102,CD102,CJ102)</f>
        <v>7.6402635015833411</v>
      </c>
      <c r="CZ102" s="21">
        <f>_xlfn.RANK.EQ(CY102,CY$3:CY$10000,1)</f>
        <v>17</v>
      </c>
      <c r="DA102">
        <f>SUM(COUNTIF(E102,"&gt;0"),COUNTIF(K102,"&gt;0"),COUNTIF(Q102,"&gt;0"),COUNTIF(W102,"&gt;0"),COUNTIF(AC102,"&gt;0"),COUNTIF(AI102,"&gt;0"),COUNTIF(AO102,"&gt;0"),COUNTIF(AU102,"&gt;0"),COUNTIF(BA102,"&gt;0"),COUNTIF(BG102,"&gt;0"),COUNTIF(BM102,"&gt;0"),COUNTIF(BS102,"&gt;0"),COUNTIF(BY102,"&gt;0"),COUNTIF(CE102,"&gt;0"))</f>
        <v>1</v>
      </c>
    </row>
    <row r="103" spans="2:105" x14ac:dyDescent="0.3">
      <c r="B103" t="s">
        <v>469</v>
      </c>
      <c r="C103" s="18" t="s">
        <v>471</v>
      </c>
      <c r="D103" s="4">
        <f>CN103*$CN$1+CP103*$CP$1+CR103*$CR$1</f>
        <v>98.774999999999991</v>
      </c>
      <c r="E103" s="29">
        <f>IFERROR(_xlfn.XLOOKUP(B103,'w1'!$B:$B,'w1'!$C:$C),0)</f>
        <v>0</v>
      </c>
      <c r="F103" s="30">
        <f>_xlfn.RANK.EQ(E103,E$3:E$10000,0)</f>
        <v>79</v>
      </c>
      <c r="G103" s="31">
        <f>IFERROR(_xlfn.XLOOKUP(B103,'w1'!$B:$B,'w1'!$F:$F),1)</f>
        <v>1</v>
      </c>
      <c r="H103" s="30">
        <f>_xlfn.RANK.EQ(G103,G$3:G$10000,1)</f>
        <v>79</v>
      </c>
      <c r="I103" s="30">
        <f>IFERROR(IF(_xlfn.XLOOKUP(B103,'w1'!$B:$B,'w1'!$G:$G)="--",0,_xlfn.XLOOKUP(B103,'w1'!$B:$B,'w1'!$G:$G)),0)</f>
        <v>0</v>
      </c>
      <c r="J103" s="30">
        <f>_xlfn.RANK.EQ(I103,I$3:I$10000,0)</f>
        <v>77</v>
      </c>
      <c r="K103" s="34">
        <f>IFERROR(_xlfn.XLOOKUP(B103,'w2'!$B:$B,'w2'!$C:$C),0)</f>
        <v>0</v>
      </c>
      <c r="L103" s="35">
        <f>_xlfn.RANK.EQ(K103,K$3:K$10000,0)</f>
        <v>73</v>
      </c>
      <c r="M103" s="36">
        <f>IFERROR(_xlfn.XLOOKUP(B103,'w2'!$B:$B,'w2'!$F:$F),1)</f>
        <v>1</v>
      </c>
      <c r="N103" s="35">
        <f>_xlfn.RANK.EQ(M103,M$3:M$10000,1)</f>
        <v>72</v>
      </c>
      <c r="O103" s="35">
        <f>IFERROR(IF(_xlfn.XLOOKUP(B103,'w2'!$B:$B,'w2'!$G:$G)="--",0,_xlfn.XLOOKUP(B103,'w2'!$B:$B,'w2'!$G:$G)),0)</f>
        <v>0</v>
      </c>
      <c r="P103" s="35">
        <f>_xlfn.RANK.EQ(O103,O$3:O$10000,0)</f>
        <v>71</v>
      </c>
      <c r="Q103" s="39">
        <f>IFERROR(_xlfn.XLOOKUP(B103,'w3'!$B:$B,'w3'!$C:$C),0)</f>
        <v>0</v>
      </c>
      <c r="R103" s="40">
        <f>_xlfn.RANK.EQ(Q103,Q$3:Q$10000,0)</f>
        <v>84</v>
      </c>
      <c r="S103" s="41">
        <f>IFERROR(_xlfn.XLOOKUP(B103,'w3'!$B:$B,'w3'!$F:$F),1)</f>
        <v>1</v>
      </c>
      <c r="T103" s="40">
        <f>_xlfn.RANK.EQ(S103,S$3:S$10000,1)</f>
        <v>83</v>
      </c>
      <c r="U103" s="40">
        <f>IFERROR(IF(_xlfn.XLOOKUP(B103,'w3'!$B:$B,'w3'!$G:$G)="--",0,_xlfn.XLOOKUP(B103,'w3'!$B:$B,'w3'!$G:$G)),0)</f>
        <v>0</v>
      </c>
      <c r="V103" s="40">
        <f>_xlfn.RANK.EQ(U103,U$3:U$10000,0)</f>
        <v>80</v>
      </c>
      <c r="W103" s="44">
        <f>IFERROR(_xlfn.XLOOKUP(B103,'w4'!$B:$B,'w4'!$C:$C),0)</f>
        <v>0</v>
      </c>
      <c r="X103" s="45">
        <f>_xlfn.RANK.EQ(W103,W$3:W$10000,0)</f>
        <v>76</v>
      </c>
      <c r="Y103" s="46">
        <f>IFERROR(_xlfn.XLOOKUP(B103,'w4'!$B:$B,'w4'!$F:$F),1)</f>
        <v>1</v>
      </c>
      <c r="Z103" s="45">
        <f>_xlfn.RANK.EQ(Y103,Y$3:Y$10000,1)</f>
        <v>76</v>
      </c>
      <c r="AA103" s="45">
        <f>IFERROR(IF(_xlfn.XLOOKUP(B103,'w4'!$B:$B,'w4'!$G:$G)="--",0,_xlfn.XLOOKUP(B103,'w4'!$B:$B,'w4'!$G:$G)),0)</f>
        <v>0</v>
      </c>
      <c r="AB103" s="45">
        <f>_xlfn.RANK.EQ(AA103,AA$3:AA$10000,0)</f>
        <v>68</v>
      </c>
      <c r="AC103" s="13">
        <f>IFERROR(_xlfn.XLOOKUP(B103,'w5'!$B:$B,'w5'!$C:$C),0)</f>
        <v>0</v>
      </c>
      <c r="AD103" s="12">
        <f>_xlfn.RANK.EQ(AC103,AC$3:AC$10000,0)</f>
        <v>77</v>
      </c>
      <c r="AE103" s="14">
        <f>IFERROR(_xlfn.XLOOKUP(B103,'w5'!$B:$B,'w5'!$F:$F),1)</f>
        <v>1</v>
      </c>
      <c r="AF103" s="12">
        <f>_xlfn.RANK.EQ(AE103,AE$3:AE$10000,1)</f>
        <v>76</v>
      </c>
      <c r="AG103" s="12">
        <f>IFERROR(IF(_xlfn.XLOOKUP(B103,'w5'!$B:$B,'w5'!$G:$G)="--",0,_xlfn.XLOOKUP(B103,'w5'!$B:$B,'w5'!$G:$G)),0)</f>
        <v>0</v>
      </c>
      <c r="AH103" s="12">
        <f>_xlfn.RANK.EQ(AG103,AG$3:AG$10000,0)</f>
        <v>73</v>
      </c>
      <c r="AI103" s="51">
        <f>IFERROR(_xlfn.XLOOKUP(B103,'w6'!$B:$B,'w6'!$C:$C),0)</f>
        <v>0</v>
      </c>
      <c r="AJ103" s="50">
        <f>_xlfn.RANK.EQ(AI103,AI$3:AI$10000,0)</f>
        <v>65</v>
      </c>
      <c r="AK103" s="52">
        <f>IFERROR(_xlfn.XLOOKUP(B103,'w6'!$B:$B,'w6'!$F:$F),1)</f>
        <v>1</v>
      </c>
      <c r="AL103" s="50">
        <f>_xlfn.RANK.EQ(AK103,AK$3:AK$10000,1)</f>
        <v>65</v>
      </c>
      <c r="AM103" s="50">
        <f>IFERROR(IF(_xlfn.XLOOKUP(B103,'w6'!$B:$B,'w6'!$G:$G)="--",0,_xlfn.XLOOKUP(B103,'w6'!$B:$B,'w6'!$G:$G)),0)</f>
        <v>0</v>
      </c>
      <c r="AN103" s="50">
        <f>_xlfn.RANK.EQ(AM103,AM$3:AM$10000,0)</f>
        <v>61</v>
      </c>
      <c r="AO103" s="56">
        <f>IFERROR(_xlfn.XLOOKUP(B103,'w7'!$B:$B,'w7'!$C:$C),0)</f>
        <v>0</v>
      </c>
      <c r="AP103" s="57">
        <f>_xlfn.RANK.EQ(AO103,AO$3:AO$10000,0)</f>
        <v>72</v>
      </c>
      <c r="AQ103" s="58">
        <f>IFERROR(_xlfn.XLOOKUP(B103,'w7'!$B:$B,'w7'!$F:$F),1)</f>
        <v>1</v>
      </c>
      <c r="AR103" s="57">
        <f>_xlfn.RANK.EQ(AQ103,AQ$3:AQ$10000,1)</f>
        <v>72</v>
      </c>
      <c r="AS103" s="57">
        <f>IFERROR(IF(_xlfn.XLOOKUP(B103,'w7'!$B:$B,'w7'!$G:$G)="--",0,_xlfn.XLOOKUP(B103,'w7'!$B:$B,'w7'!$G:$G)),0)</f>
        <v>0</v>
      </c>
      <c r="AT103" s="57">
        <f>_xlfn.RANK.EQ(AS103,AS$3:AS$10000,0)</f>
        <v>69</v>
      </c>
      <c r="AU103" s="62">
        <f>IFERROR(_xlfn.XLOOKUP(B103,'w8'!$B:$B,'w8'!$C:$C),0)</f>
        <v>0</v>
      </c>
      <c r="AV103" s="61">
        <f>_xlfn.RANK.EQ(AU103,AU$3:AU$10000,0)</f>
        <v>73</v>
      </c>
      <c r="AW103" s="63">
        <f>IFERROR(_xlfn.XLOOKUP(B103,'w8'!$B:$B,'w8'!$F:$F),1)</f>
        <v>1</v>
      </c>
      <c r="AX103" s="61">
        <f>_xlfn.RANK.EQ(AW103,AW$3:AW$10000,1)</f>
        <v>73</v>
      </c>
      <c r="AY103" s="61">
        <f>IFERROR(IF(_xlfn.XLOOKUP(B103,'w8'!$B:$B,'w8'!$G:$G)="--",0,_xlfn.XLOOKUP(B103,'w8'!$B:$B,'w8'!$G:$G)),0)</f>
        <v>0</v>
      </c>
      <c r="AZ103" s="61">
        <f>_xlfn.RANK.EQ(AY103,AY$3:AY$10000,0)</f>
        <v>70</v>
      </c>
      <c r="BA103" s="66">
        <f>IFERROR(_xlfn.XLOOKUP(C103,'w9'!$B:$B,'w9'!$C:$C),0)</f>
        <v>0</v>
      </c>
      <c r="BB103" s="67">
        <f>_xlfn.RANK.EQ(BA103,BA$3:BA$10000,0)</f>
        <v>75</v>
      </c>
      <c r="BC103" s="68">
        <f>IFERROR(_xlfn.XLOOKUP(C103,'w9'!$B:$B,'w9'!$F:$F),1)</f>
        <v>1</v>
      </c>
      <c r="BD103" s="67">
        <f>_xlfn.RANK.EQ(BC103,BC$3:BC$10000,1)</f>
        <v>75</v>
      </c>
      <c r="BE103" s="67">
        <f>IFERROR(IF(_xlfn.XLOOKUP(C103,'w9'!$B:$B,'w9'!$G:$G)="--",0,_xlfn.XLOOKUP(C103,'w9'!$B:$B,'w9'!$G:$G)),0)</f>
        <v>0</v>
      </c>
      <c r="BF103" s="67">
        <f>_xlfn.RANK.EQ(BE103,BE$3:BE$10000,0)</f>
        <v>74</v>
      </c>
      <c r="BG103" s="72">
        <f>IFERROR(_xlfn.XLOOKUP(B103,'w10'!$B:$B,'w10'!$C:$C),0)</f>
        <v>10</v>
      </c>
      <c r="BH103" s="74">
        <f>_xlfn.RANK.EQ(BG103,BG$3:BG$10000,0)</f>
        <v>67</v>
      </c>
      <c r="BI103" s="75">
        <f>IFERROR(_xlfn.XLOOKUP(B103,'w10'!$B:$B,'w10'!$F:$F),1)</f>
        <v>0.23333333333333334</v>
      </c>
      <c r="BJ103" s="74">
        <f>_xlfn.RANK.EQ(BI103,BI$3:BI$10000,1)</f>
        <v>11</v>
      </c>
      <c r="BK103" s="74">
        <f>IFERROR(IF(_xlfn.XLOOKUP(B103,'w10'!$B:$B,'w10'!$G:$G)="--",0,_xlfn.XLOOKUP(B103,'w10'!$B:$B,'w10'!$G:$G)),0)</f>
        <v>6</v>
      </c>
      <c r="BL103" s="74">
        <f>_xlfn.RANK.EQ(BK103,BK$3:BK$10000,0)</f>
        <v>75</v>
      </c>
      <c r="BM103" s="78">
        <f>IFERROR(_xlfn.XLOOKUP(B103,'w11'!$B:$B,'w11'!$C:$C),0)</f>
        <v>0</v>
      </c>
      <c r="BN103" s="80">
        <f>_xlfn.RANK.EQ(BM103,BM$3:BM$10000,0)</f>
        <v>76</v>
      </c>
      <c r="BO103" s="81">
        <f>IFERROR(_xlfn.XLOOKUP(B103,'w11'!$B:$B,'w11'!$F:$F),1)</f>
        <v>1</v>
      </c>
      <c r="BP103" s="80">
        <f>_xlfn.RANK.EQ(BO103,BO$3:BO$10000,1)</f>
        <v>76</v>
      </c>
      <c r="BQ103" s="80">
        <f>IFERROR(IF(_xlfn.XLOOKUP(B103,'w11'!$B:$B,'w11'!$G:$G)="--",0,_xlfn.XLOOKUP(B103,'w11'!$B:$B,'w11'!$G:$G)),0)</f>
        <v>0</v>
      </c>
      <c r="BR103" s="80">
        <f>_xlfn.RANK.EQ(BQ103,BQ$3:BQ$10000,0)</f>
        <v>75</v>
      </c>
      <c r="BS103" s="83">
        <f>IFERROR(_xlfn.XLOOKUP(B103,'w12'!$B:$B,'w12'!$C:$C),0)</f>
        <v>0</v>
      </c>
      <c r="BT103" s="86">
        <f>_xlfn.RANK.EQ(BS103,BS$3:BS$10000,0)</f>
        <v>76</v>
      </c>
      <c r="BU103" s="87">
        <f>IFERROR(_xlfn.XLOOKUP(B103,'w12'!$B:$B,'w12'!$F:$F),1)</f>
        <v>1</v>
      </c>
      <c r="BV103" s="86">
        <f>_xlfn.RANK.EQ(BU103,BU$3:BU$10000,1)</f>
        <v>76</v>
      </c>
      <c r="BW103" s="86">
        <f>IFERROR(IF(_xlfn.XLOOKUP(B103,'w12'!$B:$B,'w12'!$G:$G)="--",0,_xlfn.XLOOKUP(B103,'w12'!$B:$B,'w12'!$G:$G)),0)</f>
        <v>0</v>
      </c>
      <c r="BX103" s="86">
        <f>_xlfn.RANK.EQ(BW103,BW$3:BW$10000,0)</f>
        <v>73</v>
      </c>
      <c r="BY103" s="89">
        <f>IFERROR(_xlfn.XLOOKUP(B103,'w13'!$B:$B,'w13'!$C:$C),0)</f>
        <v>0</v>
      </c>
      <c r="BZ103" s="92">
        <f>_xlfn.RANK.EQ(BY103,BY$3:BY$10000,0)</f>
        <v>76</v>
      </c>
      <c r="CA103" s="93">
        <f>IFERROR(_xlfn.XLOOKUP(B103,'w13'!$B:$B,'w13'!$F:$F),1)</f>
        <v>1</v>
      </c>
      <c r="CB103" s="92">
        <f>_xlfn.RANK.EQ(CA103,CA$3:CA$10000,1)</f>
        <v>76</v>
      </c>
      <c r="CC103" s="92">
        <f>IFERROR(IF(_xlfn.XLOOKUP(B103,'w13'!$B:$B,'w13'!$G:$G)="--",0,_xlfn.XLOOKUP(B103,'w13'!$B:$B,'w13'!$G:$G)),0)</f>
        <v>0</v>
      </c>
      <c r="CD103" s="92">
        <f>_xlfn.RANK.EQ(CC103,CC$3:CC$10000,0)</f>
        <v>76</v>
      </c>
      <c r="CE103" s="95">
        <f>IFERROR(_xlfn.XLOOKUP(B103,'w14'!$B:$B,'w14'!$C:$C),0)</f>
        <v>0</v>
      </c>
      <c r="CF103" s="98">
        <f>_xlfn.RANK.EQ(CE103,CE$3:CE$10000,0)</f>
        <v>69</v>
      </c>
      <c r="CG103" s="99">
        <f>IFERROR(_xlfn.XLOOKUP(B103,'w14'!$B:$B,'w14'!$F:$F),1)</f>
        <v>1</v>
      </c>
      <c r="CH103" s="98">
        <f>_xlfn.RANK.EQ(CG103,CG$3:CG$10000,1)</f>
        <v>69</v>
      </c>
      <c r="CI103" s="98">
        <f>IFERROR(IF(_xlfn.XLOOKUP(B103,'w14'!$B:$B,'w14'!$G:$G)="--",0,_xlfn.XLOOKUP(B103,'w14'!$B:$B,'w14'!$G:$G)),0)</f>
        <v>0</v>
      </c>
      <c r="CJ103" s="98">
        <f>_xlfn.RANK.EQ(CI103,CI$3:CI$10000,0)</f>
        <v>69</v>
      </c>
      <c r="CK103" s="9">
        <f>_xlfn.RANK.EQ(D103,D$3:D$10000,1)</f>
        <v>101</v>
      </c>
      <c r="CL103" s="7" t="s">
        <v>471</v>
      </c>
      <c r="CM103" s="8">
        <f>SUM(E103,K103,Q103,W103,AC103,AI103,AO103,AU103,BA103,BG103,BM103,BS103,BY103,CE103)</f>
        <v>10</v>
      </c>
      <c r="CN103" s="9">
        <f>_xlfn.RANK.EQ(CM103,CM$3:CM$10000)</f>
        <v>101</v>
      </c>
      <c r="CO103" s="15">
        <f>IFERROR(SUM(PRODUCT(E103,G103),PRODUCT(K103,M103),PRODUCT(Q103,S103),PRODUCT(W103,Y103),PRODUCT(AC103,AE103),PRODUCT(AI103,AK103),PRODUCT(AO103,AQ103),PRODUCT(AU103,AW103),PRODUCT(BA103,BC103),PRODUCT(BG103,BI103),PRODUCT(BM103,BO103),PRODUCT(BS103,BU103),PRODUCT(BY103,CA103),PRODUCT(CE103,CG103))/CM103,1)</f>
        <v>0.23333333333333334</v>
      </c>
      <c r="CP103" s="9">
        <f>_xlfn.RANK.EQ(CO103,CO$3:CO$10000,1)</f>
        <v>8</v>
      </c>
      <c r="CQ103" s="9">
        <f>SUM(I103,O103,U103,AA103,AG103,AM103,AS103,AY103,BE103,BK103,BQ103,BW103,CC103,CI103)</f>
        <v>6</v>
      </c>
      <c r="CR103" s="9">
        <f>_xlfn.RANK.EQ(CQ103,CQ$3:CQ$10000)</f>
        <v>105</v>
      </c>
      <c r="CS103" s="23"/>
      <c r="CT103" s="25"/>
      <c r="CU103" s="24">
        <f>_xlfn.STDEV.S(F103,L103,R103,X103,AD103,AJ103,AP103,AV103,BB103,BH103,BN103,BT103,BZ103,CF103)</f>
        <v>4.8967358493206445</v>
      </c>
      <c r="CV103" s="21">
        <f>_xlfn.RANK.EQ(CU103,CU$3:CU$10000,1)</f>
        <v>9</v>
      </c>
      <c r="CW103" s="24">
        <f>_xlfn.STDEV.S(H103,N103,T103,Z103,AF103,AL103,AR103,AX103,BD103,BJ103,BP103,BV103,CB103,CH103)</f>
        <v>17.49489721522902</v>
      </c>
      <c r="CX103" s="21">
        <f>_xlfn.RANK.EQ(CW103,CW$3:CW$10000,1)</f>
        <v>67</v>
      </c>
      <c r="CY103" s="24">
        <f>_xlfn.STDEV.S(J103,P103,V103,AB103,AH103,AN103,AT103,AZ103,BF103,BL103,BR103,BX103,CD103,CJ103)</f>
        <v>4.7097047339847835</v>
      </c>
      <c r="CZ103" s="21">
        <f>_xlfn.RANK.EQ(CY103,CY$3:CY$10000,1)</f>
        <v>2</v>
      </c>
      <c r="DA103">
        <f>SUM(COUNTIF(E103,"&gt;0"),COUNTIF(K103,"&gt;0"),COUNTIF(Q103,"&gt;0"),COUNTIF(W103,"&gt;0"),COUNTIF(AC103,"&gt;0"),COUNTIF(AI103,"&gt;0"),COUNTIF(AO103,"&gt;0"),COUNTIF(AU103,"&gt;0"),COUNTIF(BA103,"&gt;0"),COUNTIF(BG103,"&gt;0"),COUNTIF(BM103,"&gt;0"),COUNTIF(BS103,"&gt;0"),COUNTIF(BY103,"&gt;0"),COUNTIF(CE103,"&gt;0"))</f>
        <v>1</v>
      </c>
    </row>
    <row r="104" spans="2:105" x14ac:dyDescent="0.3">
      <c r="B104" t="s">
        <v>213</v>
      </c>
      <c r="C104" s="18" t="s">
        <v>217</v>
      </c>
      <c r="D104" s="4">
        <f>CN104*$CN$1+CP104*$CP$1+CR104*$CR$1</f>
        <v>100.57499999999999</v>
      </c>
      <c r="E104" s="29">
        <f>IFERROR(_xlfn.XLOOKUP(B104,'w1'!$B:$B,'w1'!$C:$C),0)</f>
        <v>0</v>
      </c>
      <c r="F104" s="30">
        <f>_xlfn.RANK.EQ(E104,E$3:E$10000,0)</f>
        <v>79</v>
      </c>
      <c r="G104" s="31">
        <f>IFERROR(_xlfn.XLOOKUP(B104,'w1'!$B:$B,'w1'!$F:$F),1)</f>
        <v>1</v>
      </c>
      <c r="H104" s="30">
        <f>_xlfn.RANK.EQ(G104,G$3:G$10000,1)</f>
        <v>79</v>
      </c>
      <c r="I104" s="30">
        <f>IFERROR(IF(_xlfn.XLOOKUP(B104,'w1'!$B:$B,'w1'!$G:$G)="--",0,_xlfn.XLOOKUP(B104,'w1'!$B:$B,'w1'!$G:$G)),0)</f>
        <v>0</v>
      </c>
      <c r="J104" s="30">
        <f>_xlfn.RANK.EQ(I104,I$3:I$10000,0)</f>
        <v>77</v>
      </c>
      <c r="K104" s="34">
        <f>IFERROR(_xlfn.XLOOKUP(B104,'w2'!$B:$B,'w2'!$C:$C),0)</f>
        <v>0</v>
      </c>
      <c r="L104" s="35">
        <f>_xlfn.RANK.EQ(K104,K$3:K$10000,0)</f>
        <v>73</v>
      </c>
      <c r="M104" s="36">
        <f>IFERROR(_xlfn.XLOOKUP(B104,'w2'!$B:$B,'w2'!$F:$F),1)</f>
        <v>1</v>
      </c>
      <c r="N104" s="35">
        <f>_xlfn.RANK.EQ(M104,M$3:M$10000,1)</f>
        <v>72</v>
      </c>
      <c r="O104" s="35">
        <f>IFERROR(IF(_xlfn.XLOOKUP(B104,'w2'!$B:$B,'w2'!$G:$G)="--",0,_xlfn.XLOOKUP(B104,'w2'!$B:$B,'w2'!$G:$G)),0)</f>
        <v>0</v>
      </c>
      <c r="P104" s="35">
        <f>_xlfn.RANK.EQ(O104,O$3:O$10000,0)</f>
        <v>71</v>
      </c>
      <c r="Q104" s="39">
        <f>IFERROR(_xlfn.XLOOKUP(B104,'w3'!$B:$B,'w3'!$C:$C),0)</f>
        <v>0</v>
      </c>
      <c r="R104" s="40">
        <f>_xlfn.RANK.EQ(Q104,Q$3:Q$10000,0)</f>
        <v>84</v>
      </c>
      <c r="S104" s="41">
        <f>IFERROR(_xlfn.XLOOKUP(B104,'w3'!$B:$B,'w3'!$F:$F),1)</f>
        <v>1</v>
      </c>
      <c r="T104" s="40">
        <f>_xlfn.RANK.EQ(S104,S$3:S$10000,1)</f>
        <v>83</v>
      </c>
      <c r="U104" s="40">
        <f>IFERROR(IF(_xlfn.XLOOKUP(B104,'w3'!$B:$B,'w3'!$G:$G)="--",0,_xlfn.XLOOKUP(B104,'w3'!$B:$B,'w3'!$G:$G)),0)</f>
        <v>0</v>
      </c>
      <c r="V104" s="40">
        <f>_xlfn.RANK.EQ(U104,U$3:U$10000,0)</f>
        <v>80</v>
      </c>
      <c r="W104" s="44">
        <f>IFERROR(_xlfn.XLOOKUP(B104,'w4'!$B:$B,'w4'!$C:$C),0)</f>
        <v>0</v>
      </c>
      <c r="X104" s="45">
        <f>_xlfn.RANK.EQ(W104,W$3:W$10000,0)</f>
        <v>76</v>
      </c>
      <c r="Y104" s="46">
        <f>IFERROR(_xlfn.XLOOKUP(B104,'w4'!$B:$B,'w4'!$F:$F),1)</f>
        <v>1</v>
      </c>
      <c r="Z104" s="45">
        <f>_xlfn.RANK.EQ(Y104,Y$3:Y$10000,1)</f>
        <v>76</v>
      </c>
      <c r="AA104" s="45">
        <f>IFERROR(IF(_xlfn.XLOOKUP(B104,'w4'!$B:$B,'w4'!$G:$G)="--",0,_xlfn.XLOOKUP(B104,'w4'!$B:$B,'w4'!$G:$G)),0)</f>
        <v>0</v>
      </c>
      <c r="AB104" s="45">
        <f>_xlfn.RANK.EQ(AA104,AA$3:AA$10000,0)</f>
        <v>68</v>
      </c>
      <c r="AC104" s="13">
        <f>IFERROR(_xlfn.XLOOKUP(B104,'w5'!$B:$B,'w5'!$C:$C),0)</f>
        <v>10</v>
      </c>
      <c r="AD104" s="12">
        <f>_xlfn.RANK.EQ(AC104,AC$3:AC$10000,0)</f>
        <v>67</v>
      </c>
      <c r="AE104" s="14">
        <f>IFERROR(_xlfn.XLOOKUP(B104,'w5'!$B:$B,'w5'!$F:$F),1)</f>
        <v>0.47708333333333336</v>
      </c>
      <c r="AF104" s="12">
        <f>_xlfn.RANK.EQ(AE104,AE$3:AE$10000,1)</f>
        <v>70</v>
      </c>
      <c r="AG104" s="12">
        <f>IFERROR(IF(_xlfn.XLOOKUP(B104,'w5'!$B:$B,'w5'!$G:$G)="--",0,_xlfn.XLOOKUP(B104,'w5'!$B:$B,'w5'!$G:$G)),0)</f>
        <v>571</v>
      </c>
      <c r="AH104" s="12">
        <f>_xlfn.RANK.EQ(AG104,AG$3:AG$10000,0)</f>
        <v>25</v>
      </c>
      <c r="AI104" s="51">
        <f>IFERROR(_xlfn.XLOOKUP(B104,'w6'!$B:$B,'w6'!$C:$C),0)</f>
        <v>0</v>
      </c>
      <c r="AJ104" s="50">
        <f>_xlfn.RANK.EQ(AI104,AI$3:AI$10000,0)</f>
        <v>65</v>
      </c>
      <c r="AK104" s="52">
        <f>IFERROR(_xlfn.XLOOKUP(B104,'w6'!$B:$B,'w6'!$F:$F),1)</f>
        <v>1</v>
      </c>
      <c r="AL104" s="50">
        <f>_xlfn.RANK.EQ(AK104,AK$3:AK$10000,1)</f>
        <v>65</v>
      </c>
      <c r="AM104" s="50">
        <f>IFERROR(IF(_xlfn.XLOOKUP(B104,'w6'!$B:$B,'w6'!$G:$G)="--",0,_xlfn.XLOOKUP(B104,'w6'!$B:$B,'w6'!$G:$G)),0)</f>
        <v>0</v>
      </c>
      <c r="AN104" s="50">
        <f>_xlfn.RANK.EQ(AM104,AM$3:AM$10000,0)</f>
        <v>61</v>
      </c>
      <c r="AO104" s="56">
        <f>IFERROR(_xlfn.XLOOKUP(B104,'w7'!$B:$B,'w7'!$C:$C),0)</f>
        <v>0</v>
      </c>
      <c r="AP104" s="57">
        <f>_xlfn.RANK.EQ(AO104,AO$3:AO$10000,0)</f>
        <v>72</v>
      </c>
      <c r="AQ104" s="58">
        <f>IFERROR(_xlfn.XLOOKUP(B104,'w7'!$B:$B,'w7'!$F:$F),1)</f>
        <v>1</v>
      </c>
      <c r="AR104" s="57">
        <f>_xlfn.RANK.EQ(AQ104,AQ$3:AQ$10000,1)</f>
        <v>72</v>
      </c>
      <c r="AS104" s="57">
        <f>IFERROR(IF(_xlfn.XLOOKUP(B104,'w7'!$B:$B,'w7'!$G:$G)="--",0,_xlfn.XLOOKUP(B104,'w7'!$B:$B,'w7'!$G:$G)),0)</f>
        <v>0</v>
      </c>
      <c r="AT104" s="57">
        <f>_xlfn.RANK.EQ(AS104,AS$3:AS$10000,0)</f>
        <v>69</v>
      </c>
      <c r="AU104" s="62">
        <f>IFERROR(_xlfn.XLOOKUP(B104,'w8'!$B:$B,'w8'!$C:$C),0)</f>
        <v>0</v>
      </c>
      <c r="AV104" s="61">
        <f>_xlfn.RANK.EQ(AU104,AU$3:AU$10000,0)</f>
        <v>73</v>
      </c>
      <c r="AW104" s="63">
        <f>IFERROR(_xlfn.XLOOKUP(B104,'w8'!$B:$B,'w8'!$F:$F),1)</f>
        <v>1</v>
      </c>
      <c r="AX104" s="61">
        <f>_xlfn.RANK.EQ(AW104,AW$3:AW$10000,1)</f>
        <v>73</v>
      </c>
      <c r="AY104" s="61">
        <f>IFERROR(IF(_xlfn.XLOOKUP(B104,'w8'!$B:$B,'w8'!$G:$G)="--",0,_xlfn.XLOOKUP(B104,'w8'!$B:$B,'w8'!$G:$G)),0)</f>
        <v>0</v>
      </c>
      <c r="AZ104" s="61">
        <f>_xlfn.RANK.EQ(AY104,AY$3:AY$10000,0)</f>
        <v>70</v>
      </c>
      <c r="BA104" s="66">
        <f>IFERROR(_xlfn.XLOOKUP(C104,'w9'!$B:$B,'w9'!$C:$C),0)</f>
        <v>0</v>
      </c>
      <c r="BB104" s="67">
        <f>_xlfn.RANK.EQ(BA104,BA$3:BA$10000,0)</f>
        <v>75</v>
      </c>
      <c r="BC104" s="68">
        <f>IFERROR(_xlfn.XLOOKUP(C104,'w9'!$B:$B,'w9'!$F:$F),1)</f>
        <v>1</v>
      </c>
      <c r="BD104" s="67">
        <f>_xlfn.RANK.EQ(BC104,BC$3:BC$10000,1)</f>
        <v>75</v>
      </c>
      <c r="BE104" s="67">
        <f>IFERROR(IF(_xlfn.XLOOKUP(C104,'w9'!$B:$B,'w9'!$G:$G)="--",0,_xlfn.XLOOKUP(C104,'w9'!$B:$B,'w9'!$G:$G)),0)</f>
        <v>0</v>
      </c>
      <c r="BF104" s="67">
        <f>_xlfn.RANK.EQ(BE104,BE$3:BE$10000,0)</f>
        <v>74</v>
      </c>
      <c r="BG104" s="72">
        <f>IFERROR(_xlfn.XLOOKUP(B104,'w10'!$B:$B,'w10'!$C:$C),0)</f>
        <v>0</v>
      </c>
      <c r="BH104" s="74">
        <f>_xlfn.RANK.EQ(BG104,BG$3:BG$10000,0)</f>
        <v>77</v>
      </c>
      <c r="BI104" s="75">
        <f>IFERROR(_xlfn.XLOOKUP(B104,'w10'!$B:$B,'w10'!$F:$F),1)</f>
        <v>1</v>
      </c>
      <c r="BJ104" s="74">
        <f>_xlfn.RANK.EQ(BI104,BI$3:BI$10000,1)</f>
        <v>76</v>
      </c>
      <c r="BK104" s="74">
        <f>IFERROR(IF(_xlfn.XLOOKUP(B104,'w10'!$B:$B,'w10'!$G:$G)="--",0,_xlfn.XLOOKUP(B104,'w10'!$B:$B,'w10'!$G:$G)),0)</f>
        <v>0</v>
      </c>
      <c r="BL104" s="74">
        <f>_xlfn.RANK.EQ(BK104,BK$3:BK$10000,0)</f>
        <v>76</v>
      </c>
      <c r="BM104" s="78">
        <f>IFERROR(_xlfn.XLOOKUP(B104,'w11'!$B:$B,'w11'!$C:$C),0)</f>
        <v>0</v>
      </c>
      <c r="BN104" s="80">
        <f>_xlfn.RANK.EQ(BM104,BM$3:BM$10000,0)</f>
        <v>76</v>
      </c>
      <c r="BO104" s="81">
        <f>IFERROR(_xlfn.XLOOKUP(B104,'w11'!$B:$B,'w11'!$F:$F),1)</f>
        <v>1</v>
      </c>
      <c r="BP104" s="80">
        <f>_xlfn.RANK.EQ(BO104,BO$3:BO$10000,1)</f>
        <v>76</v>
      </c>
      <c r="BQ104" s="80">
        <f>IFERROR(IF(_xlfn.XLOOKUP(B104,'w11'!$B:$B,'w11'!$G:$G)="--",0,_xlfn.XLOOKUP(B104,'w11'!$B:$B,'w11'!$G:$G)),0)</f>
        <v>0</v>
      </c>
      <c r="BR104" s="80">
        <f>_xlfn.RANK.EQ(BQ104,BQ$3:BQ$10000,0)</f>
        <v>75</v>
      </c>
      <c r="BS104" s="83">
        <f>IFERROR(_xlfn.XLOOKUP(B104,'w12'!$B:$B,'w12'!$C:$C),0)</f>
        <v>0</v>
      </c>
      <c r="BT104" s="86">
        <f>_xlfn.RANK.EQ(BS104,BS$3:BS$10000,0)</f>
        <v>76</v>
      </c>
      <c r="BU104" s="87">
        <f>IFERROR(_xlfn.XLOOKUP(B104,'w12'!$B:$B,'w12'!$F:$F),1)</f>
        <v>1</v>
      </c>
      <c r="BV104" s="86">
        <f>_xlfn.RANK.EQ(BU104,BU$3:BU$10000,1)</f>
        <v>76</v>
      </c>
      <c r="BW104" s="86">
        <f>IFERROR(IF(_xlfn.XLOOKUP(B104,'w12'!$B:$B,'w12'!$G:$G)="--",0,_xlfn.XLOOKUP(B104,'w12'!$B:$B,'w12'!$G:$G)),0)</f>
        <v>0</v>
      </c>
      <c r="BX104" s="86">
        <f>_xlfn.RANK.EQ(BW104,BW$3:BW$10000,0)</f>
        <v>73</v>
      </c>
      <c r="BY104" s="89">
        <f>IFERROR(_xlfn.XLOOKUP(B104,'w13'!$B:$B,'w13'!$C:$C),0)</f>
        <v>0</v>
      </c>
      <c r="BZ104" s="92">
        <f>_xlfn.RANK.EQ(BY104,BY$3:BY$10000,0)</f>
        <v>76</v>
      </c>
      <c r="CA104" s="93">
        <f>IFERROR(_xlfn.XLOOKUP(B104,'w13'!$B:$B,'w13'!$F:$F),1)</f>
        <v>1</v>
      </c>
      <c r="CB104" s="92">
        <f>_xlfn.RANK.EQ(CA104,CA$3:CA$10000,1)</f>
        <v>76</v>
      </c>
      <c r="CC104" s="92">
        <f>IFERROR(IF(_xlfn.XLOOKUP(B104,'w13'!$B:$B,'w13'!$G:$G)="--",0,_xlfn.XLOOKUP(B104,'w13'!$B:$B,'w13'!$G:$G)),0)</f>
        <v>0</v>
      </c>
      <c r="CD104" s="92">
        <f>_xlfn.RANK.EQ(CC104,CC$3:CC$10000,0)</f>
        <v>76</v>
      </c>
      <c r="CE104" s="95">
        <f>IFERROR(_xlfn.XLOOKUP(B104,'w14'!$B:$B,'w14'!$C:$C),0)</f>
        <v>0</v>
      </c>
      <c r="CF104" s="98">
        <f>_xlfn.RANK.EQ(CE104,CE$3:CE$10000,0)</f>
        <v>69</v>
      </c>
      <c r="CG104" s="99">
        <f>IFERROR(_xlfn.XLOOKUP(B104,'w14'!$B:$B,'w14'!$F:$F),1)</f>
        <v>1</v>
      </c>
      <c r="CH104" s="98">
        <f>_xlfn.RANK.EQ(CG104,CG$3:CG$10000,1)</f>
        <v>69</v>
      </c>
      <c r="CI104" s="98">
        <f>IFERROR(IF(_xlfn.XLOOKUP(B104,'w14'!$B:$B,'w14'!$G:$G)="--",0,_xlfn.XLOOKUP(B104,'w14'!$B:$B,'w14'!$G:$G)),0)</f>
        <v>0</v>
      </c>
      <c r="CJ104" s="98">
        <f>_xlfn.RANK.EQ(CI104,CI$3:CI$10000,0)</f>
        <v>69</v>
      </c>
      <c r="CK104" s="9">
        <f>_xlfn.RANK.EQ(D104,D$3:D$10000,1)</f>
        <v>102</v>
      </c>
      <c r="CL104" s="7" t="s">
        <v>217</v>
      </c>
      <c r="CM104" s="8">
        <f>SUM(E104,K104,Q104,W104,AC104,AI104,AO104,AU104,BA104,BG104,BM104,BS104,BY104,CE104)</f>
        <v>10</v>
      </c>
      <c r="CN104" s="9">
        <f>_xlfn.RANK.EQ(CM104,CM$3:CM$10000)</f>
        <v>101</v>
      </c>
      <c r="CO104" s="15">
        <f>IFERROR(SUM(PRODUCT(E104,G104),PRODUCT(K104,M104),PRODUCT(Q104,S104),PRODUCT(W104,Y104),PRODUCT(AC104,AE104),PRODUCT(AI104,AK104),PRODUCT(AO104,AQ104),PRODUCT(AU104,AW104),PRODUCT(BA104,BC104),PRODUCT(BG104,BI104),PRODUCT(BM104,BO104),PRODUCT(BS104,BU104),PRODUCT(BY104,CA104),PRODUCT(CE104,CG104))/CM104,1)</f>
        <v>0.47708333333333341</v>
      </c>
      <c r="CP104" s="9">
        <f>_xlfn.RANK.EQ(CO104,CO$3:CO$10000,1)</f>
        <v>100</v>
      </c>
      <c r="CQ104" s="9">
        <f>SUM(I104,O104,U104,AA104,AG104,AM104,AS104,AY104,BE104,BK104,BQ104,BW104,CC104,CI104)</f>
        <v>571</v>
      </c>
      <c r="CR104" s="9">
        <f>_xlfn.RANK.EQ(CQ104,CQ$3:CQ$10000)</f>
        <v>85</v>
      </c>
      <c r="CS104" s="23"/>
      <c r="CT104" s="25"/>
      <c r="CU104" s="24">
        <f>_xlfn.STDEV.S(F104,L104,R104,X104,AD104,AJ104,AP104,AV104,BB104,BH104,BN104,BT104,BZ104,CF104)</f>
        <v>4.8967358493206445</v>
      </c>
      <c r="CV104" s="21">
        <f>_xlfn.RANK.EQ(CU104,CU$3:CU$10000,1)</f>
        <v>9</v>
      </c>
      <c r="CW104" s="24">
        <f>_xlfn.STDEV.S(H104,N104,T104,Z104,AF104,AL104,AR104,AX104,BD104,BJ104,BP104,BV104,CB104,CH104)</f>
        <v>4.4524348197560197</v>
      </c>
      <c r="CX104" s="21">
        <f>_xlfn.RANK.EQ(CW104,CW$3:CW$10000,1)</f>
        <v>3</v>
      </c>
      <c r="CY104" s="24">
        <f>_xlfn.STDEV.S(J104,P104,V104,AB104,AH104,AN104,AT104,AZ104,BF104,BL104,BR104,BX104,CD104,CJ104)</f>
        <v>13.489922978950707</v>
      </c>
      <c r="CZ104" s="21">
        <f>_xlfn.RANK.EQ(CY104,CY$3:CY$10000,1)</f>
        <v>46</v>
      </c>
      <c r="DA104">
        <f>SUM(COUNTIF(E104,"&gt;0"),COUNTIF(K104,"&gt;0"),COUNTIF(Q104,"&gt;0"),COUNTIF(W104,"&gt;0"),COUNTIF(AC104,"&gt;0"),COUNTIF(AI104,"&gt;0"),COUNTIF(AO104,"&gt;0"),COUNTIF(AU104,"&gt;0"),COUNTIF(BA104,"&gt;0"),COUNTIF(BG104,"&gt;0"),COUNTIF(BM104,"&gt;0"),COUNTIF(BS104,"&gt;0"),COUNTIF(BY104,"&gt;0"),COUNTIF(CE104,"&gt;0"))</f>
        <v>1</v>
      </c>
    </row>
    <row r="105" spans="2:105" x14ac:dyDescent="0.3">
      <c r="B105" t="s">
        <v>80</v>
      </c>
      <c r="C105" s="18" t="s">
        <v>154</v>
      </c>
      <c r="D105" s="4">
        <f>CN105*$CN$1+CP105*$CP$1+CR105*$CR$1</f>
        <v>102.4</v>
      </c>
      <c r="E105" s="29">
        <f>IFERROR(_xlfn.XLOOKUP(B105,'w1'!$B:$B,'w1'!$C:$C),0)</f>
        <v>2.2999999999999998</v>
      </c>
      <c r="F105" s="30">
        <f>_xlfn.RANK.EQ(E105,E$3:E$10000,0)</f>
        <v>77</v>
      </c>
      <c r="G105" s="31">
        <f>IFERROR(_xlfn.XLOOKUP(B105,'w1'!$B:$B,'w1'!$F:$F),1)</f>
        <v>0.24166666666666667</v>
      </c>
      <c r="H105" s="30">
        <f>_xlfn.RANK.EQ(G105,G$3:G$10000,1)</f>
        <v>13</v>
      </c>
      <c r="I105" s="30">
        <f>IFERROR(IF(_xlfn.XLOOKUP(B105,'w1'!$B:$B,'w1'!$G:$G)="--",0,_xlfn.XLOOKUP(B105,'w1'!$B:$B,'w1'!$G:$G)),0)</f>
        <v>0</v>
      </c>
      <c r="J105" s="30">
        <f>_xlfn.RANK.EQ(I105,I$3:I$10000,0)</f>
        <v>77</v>
      </c>
      <c r="K105" s="34">
        <f>IFERROR(_xlfn.XLOOKUP(B105,'w2'!$B:$B,'w2'!$C:$C),0)</f>
        <v>0</v>
      </c>
      <c r="L105" s="35">
        <f>_xlfn.RANK.EQ(K105,K$3:K$10000,0)</f>
        <v>73</v>
      </c>
      <c r="M105" s="36">
        <f>IFERROR(_xlfn.XLOOKUP(B105,'w2'!$B:$B,'w2'!$F:$F),1)</f>
        <v>1</v>
      </c>
      <c r="N105" s="35">
        <f>_xlfn.RANK.EQ(M105,M$3:M$10000,1)</f>
        <v>72</v>
      </c>
      <c r="O105" s="35">
        <f>IFERROR(IF(_xlfn.XLOOKUP(B105,'w2'!$B:$B,'w2'!$G:$G)="--",0,_xlfn.XLOOKUP(B105,'w2'!$B:$B,'w2'!$G:$G)),0)</f>
        <v>0</v>
      </c>
      <c r="P105" s="35">
        <f>_xlfn.RANK.EQ(O105,O$3:O$10000,0)</f>
        <v>71</v>
      </c>
      <c r="Q105" s="39">
        <f>IFERROR(_xlfn.XLOOKUP(B105,'w3'!$B:$B,'w3'!$C:$C),0)</f>
        <v>0</v>
      </c>
      <c r="R105" s="40">
        <f>_xlfn.RANK.EQ(Q105,Q$3:Q$10000,0)</f>
        <v>84</v>
      </c>
      <c r="S105" s="41">
        <f>IFERROR(_xlfn.XLOOKUP(B105,'w3'!$B:$B,'w3'!$F:$F),1)</f>
        <v>1</v>
      </c>
      <c r="T105" s="40">
        <f>_xlfn.RANK.EQ(S105,S$3:S$10000,1)</f>
        <v>83</v>
      </c>
      <c r="U105" s="40">
        <f>IFERROR(IF(_xlfn.XLOOKUP(B105,'w3'!$B:$B,'w3'!$G:$G)="--",0,_xlfn.XLOOKUP(B105,'w3'!$B:$B,'w3'!$G:$G)),0)</f>
        <v>0</v>
      </c>
      <c r="V105" s="40">
        <f>_xlfn.RANK.EQ(U105,U$3:U$10000,0)</f>
        <v>80</v>
      </c>
      <c r="W105" s="44">
        <f>IFERROR(_xlfn.XLOOKUP(B105,'w4'!$B:$B,'w4'!$C:$C),0)</f>
        <v>0</v>
      </c>
      <c r="X105" s="45">
        <f>_xlfn.RANK.EQ(W105,W$3:W$10000,0)</f>
        <v>76</v>
      </c>
      <c r="Y105" s="46">
        <f>IFERROR(_xlfn.XLOOKUP(B105,'w4'!$B:$B,'w4'!$F:$F),1)</f>
        <v>1</v>
      </c>
      <c r="Z105" s="45">
        <f>_xlfn.RANK.EQ(Y105,Y$3:Y$10000,1)</f>
        <v>76</v>
      </c>
      <c r="AA105" s="45">
        <f>IFERROR(IF(_xlfn.XLOOKUP(B105,'w4'!$B:$B,'w4'!$G:$G)="--",0,_xlfn.XLOOKUP(B105,'w4'!$B:$B,'w4'!$G:$G)),0)</f>
        <v>0</v>
      </c>
      <c r="AB105" s="45">
        <f>_xlfn.RANK.EQ(AA105,AA$3:AA$10000,0)</f>
        <v>68</v>
      </c>
      <c r="AC105" s="13">
        <f>IFERROR(_xlfn.XLOOKUP(B105,'w5'!$B:$B,'w5'!$C:$C),0)</f>
        <v>0</v>
      </c>
      <c r="AD105" s="12">
        <f>_xlfn.RANK.EQ(AC105,AC$3:AC$10000,0)</f>
        <v>77</v>
      </c>
      <c r="AE105" s="14">
        <f>IFERROR(_xlfn.XLOOKUP(B105,'w5'!$B:$B,'w5'!$F:$F),1)</f>
        <v>1</v>
      </c>
      <c r="AF105" s="12">
        <f>_xlfn.RANK.EQ(AE105,AE$3:AE$10000,1)</f>
        <v>76</v>
      </c>
      <c r="AG105" s="12">
        <f>IFERROR(IF(_xlfn.XLOOKUP(B105,'w5'!$B:$B,'w5'!$G:$G)="--",0,_xlfn.XLOOKUP(B105,'w5'!$B:$B,'w5'!$G:$G)),0)</f>
        <v>0</v>
      </c>
      <c r="AH105" s="12">
        <f>_xlfn.RANK.EQ(AG105,AG$3:AG$10000,0)</f>
        <v>73</v>
      </c>
      <c r="AI105" s="51">
        <f>IFERROR(_xlfn.XLOOKUP(B105,'w6'!$B:$B,'w6'!$C:$C),0)</f>
        <v>0</v>
      </c>
      <c r="AJ105" s="50">
        <f>_xlfn.RANK.EQ(AI105,AI$3:AI$10000,0)</f>
        <v>65</v>
      </c>
      <c r="AK105" s="52">
        <f>IFERROR(_xlfn.XLOOKUP(B105,'w6'!$B:$B,'w6'!$F:$F),1)</f>
        <v>1</v>
      </c>
      <c r="AL105" s="50">
        <f>_xlfn.RANK.EQ(AK105,AK$3:AK$10000,1)</f>
        <v>65</v>
      </c>
      <c r="AM105" s="50">
        <f>IFERROR(IF(_xlfn.XLOOKUP(B105,'w6'!$B:$B,'w6'!$G:$G)="--",0,_xlfn.XLOOKUP(B105,'w6'!$B:$B,'w6'!$G:$G)),0)</f>
        <v>0</v>
      </c>
      <c r="AN105" s="50">
        <f>_xlfn.RANK.EQ(AM105,AM$3:AM$10000,0)</f>
        <v>61</v>
      </c>
      <c r="AO105" s="56">
        <f>IFERROR(_xlfn.XLOOKUP(B105,'w7'!$B:$B,'w7'!$C:$C),0)</f>
        <v>0</v>
      </c>
      <c r="AP105" s="57">
        <f>_xlfn.RANK.EQ(AO105,AO$3:AO$10000,0)</f>
        <v>72</v>
      </c>
      <c r="AQ105" s="58">
        <f>IFERROR(_xlfn.XLOOKUP(B105,'w7'!$B:$B,'w7'!$F:$F),1)</f>
        <v>1</v>
      </c>
      <c r="AR105" s="57">
        <f>_xlfn.RANK.EQ(AQ105,AQ$3:AQ$10000,1)</f>
        <v>72</v>
      </c>
      <c r="AS105" s="57">
        <f>IFERROR(IF(_xlfn.XLOOKUP(B105,'w7'!$B:$B,'w7'!$G:$G)="--",0,_xlfn.XLOOKUP(B105,'w7'!$B:$B,'w7'!$G:$G)),0)</f>
        <v>0</v>
      </c>
      <c r="AT105" s="57">
        <f>_xlfn.RANK.EQ(AS105,AS$3:AS$10000,0)</f>
        <v>69</v>
      </c>
      <c r="AU105" s="62">
        <f>IFERROR(_xlfn.XLOOKUP(B105,'w8'!$B:$B,'w8'!$C:$C),0)</f>
        <v>1</v>
      </c>
      <c r="AV105" s="61">
        <f>_xlfn.RANK.EQ(AU105,AU$3:AU$10000,0)</f>
        <v>72</v>
      </c>
      <c r="AW105" s="63">
        <f>IFERROR(_xlfn.XLOOKUP(B105,'w8'!$B:$B,'w8'!$F:$F),1)</f>
        <v>0.2590277777777778</v>
      </c>
      <c r="AX105" s="61">
        <f>_xlfn.RANK.EQ(AW105,AW$3:AW$10000,1)</f>
        <v>22</v>
      </c>
      <c r="AY105" s="61">
        <f>IFERROR(IF(_xlfn.XLOOKUP(B105,'w8'!$B:$B,'w8'!$G:$G)="--",0,_xlfn.XLOOKUP(B105,'w8'!$B:$B,'w8'!$G:$G)),0)</f>
        <v>0</v>
      </c>
      <c r="AZ105" s="61">
        <f>_xlfn.RANK.EQ(AY105,AY$3:AY$10000,0)</f>
        <v>70</v>
      </c>
      <c r="BA105" s="66">
        <f>IFERROR(_xlfn.XLOOKUP(C105,'w9'!$B:$B,'w9'!$C:$C),0)</f>
        <v>0</v>
      </c>
      <c r="BB105" s="67">
        <f>_xlfn.RANK.EQ(BA105,BA$3:BA$10000,0)</f>
        <v>75</v>
      </c>
      <c r="BC105" s="68">
        <f>IFERROR(_xlfn.XLOOKUP(C105,'w9'!$B:$B,'w9'!$F:$F),1)</f>
        <v>1</v>
      </c>
      <c r="BD105" s="67">
        <f>_xlfn.RANK.EQ(BC105,BC$3:BC$10000,1)</f>
        <v>75</v>
      </c>
      <c r="BE105" s="67">
        <f>IFERROR(IF(_xlfn.XLOOKUP(C105,'w9'!$B:$B,'w9'!$G:$G)="--",0,_xlfn.XLOOKUP(C105,'w9'!$B:$B,'w9'!$G:$G)),0)</f>
        <v>0</v>
      </c>
      <c r="BF105" s="67">
        <f>_xlfn.RANK.EQ(BE105,BE$3:BE$10000,0)</f>
        <v>74</v>
      </c>
      <c r="BG105" s="72">
        <f>IFERROR(_xlfn.XLOOKUP(B105,'w10'!$B:$B,'w10'!$C:$C),0)</f>
        <v>0</v>
      </c>
      <c r="BH105" s="74">
        <f>_xlfn.RANK.EQ(BG105,BG$3:BG$10000,0)</f>
        <v>77</v>
      </c>
      <c r="BI105" s="75">
        <f>IFERROR(_xlfn.XLOOKUP(B105,'w10'!$B:$B,'w10'!$F:$F),1)</f>
        <v>1</v>
      </c>
      <c r="BJ105" s="74">
        <f>_xlfn.RANK.EQ(BI105,BI$3:BI$10000,1)</f>
        <v>76</v>
      </c>
      <c r="BK105" s="74">
        <f>IFERROR(IF(_xlfn.XLOOKUP(B105,'w10'!$B:$B,'w10'!$G:$G)="--",0,_xlfn.XLOOKUP(B105,'w10'!$B:$B,'w10'!$G:$G)),0)</f>
        <v>0</v>
      </c>
      <c r="BL105" s="74">
        <f>_xlfn.RANK.EQ(BK105,BK$3:BK$10000,0)</f>
        <v>76</v>
      </c>
      <c r="BM105" s="78">
        <f>IFERROR(_xlfn.XLOOKUP(B105,'w11'!$B:$B,'w11'!$C:$C),0)</f>
        <v>0</v>
      </c>
      <c r="BN105" s="80">
        <f>_xlfn.RANK.EQ(BM105,BM$3:BM$10000,0)</f>
        <v>76</v>
      </c>
      <c r="BO105" s="81">
        <f>IFERROR(_xlfn.XLOOKUP(B105,'w11'!$B:$B,'w11'!$F:$F),1)</f>
        <v>1</v>
      </c>
      <c r="BP105" s="80">
        <f>_xlfn.RANK.EQ(BO105,BO$3:BO$10000,1)</f>
        <v>76</v>
      </c>
      <c r="BQ105" s="80">
        <f>IFERROR(IF(_xlfn.XLOOKUP(B105,'w11'!$B:$B,'w11'!$G:$G)="--",0,_xlfn.XLOOKUP(B105,'w11'!$B:$B,'w11'!$G:$G)),0)</f>
        <v>0</v>
      </c>
      <c r="BR105" s="80">
        <f>_xlfn.RANK.EQ(BQ105,BQ$3:BQ$10000,0)</f>
        <v>75</v>
      </c>
      <c r="BS105" s="83">
        <f>IFERROR(_xlfn.XLOOKUP(B105,'w12'!$B:$B,'w12'!$C:$C),0)</f>
        <v>3.1</v>
      </c>
      <c r="BT105" s="86">
        <f>_xlfn.RANK.EQ(BS105,BS$3:BS$10000,0)</f>
        <v>72</v>
      </c>
      <c r="BU105" s="87">
        <f>IFERROR(_xlfn.XLOOKUP(B105,'w12'!$B:$B,'w12'!$F:$F),1)</f>
        <v>0.30625000000000002</v>
      </c>
      <c r="BV105" s="86">
        <f>_xlfn.RANK.EQ(BU105,BU$3:BU$10000,1)</f>
        <v>54</v>
      </c>
      <c r="BW105" s="86">
        <f>IFERROR(IF(_xlfn.XLOOKUP(B105,'w12'!$B:$B,'w12'!$G:$G)="--",0,_xlfn.XLOOKUP(B105,'w12'!$B:$B,'w12'!$G:$G)),0)</f>
        <v>1</v>
      </c>
      <c r="BX105" s="86">
        <f>_xlfn.RANK.EQ(BW105,BW$3:BW$10000,0)</f>
        <v>72</v>
      </c>
      <c r="BY105" s="89">
        <f>IFERROR(_xlfn.XLOOKUP(B105,'w13'!$B:$B,'w13'!$C:$C),0)</f>
        <v>0</v>
      </c>
      <c r="BZ105" s="92">
        <f>_xlfn.RANK.EQ(BY105,BY$3:BY$10000,0)</f>
        <v>76</v>
      </c>
      <c r="CA105" s="93">
        <f>IFERROR(_xlfn.XLOOKUP(B105,'w13'!$B:$B,'w13'!$F:$F),1)</f>
        <v>1</v>
      </c>
      <c r="CB105" s="92">
        <f>_xlfn.RANK.EQ(CA105,CA$3:CA$10000,1)</f>
        <v>76</v>
      </c>
      <c r="CC105" s="92">
        <f>IFERROR(IF(_xlfn.XLOOKUP(B105,'w13'!$B:$B,'w13'!$G:$G)="--",0,_xlfn.XLOOKUP(B105,'w13'!$B:$B,'w13'!$G:$G)),0)</f>
        <v>0</v>
      </c>
      <c r="CD105" s="92">
        <f>_xlfn.RANK.EQ(CC105,CC$3:CC$10000,0)</f>
        <v>76</v>
      </c>
      <c r="CE105" s="95">
        <f>IFERROR(_xlfn.XLOOKUP(B105,'w14'!$B:$B,'w14'!$C:$C),0)</f>
        <v>2.7</v>
      </c>
      <c r="CF105" s="98">
        <f>_xlfn.RANK.EQ(CE105,CE$3:CE$10000,0)</f>
        <v>68</v>
      </c>
      <c r="CG105" s="99">
        <f>IFERROR(_xlfn.XLOOKUP(B105,'w14'!$B:$B,'w14'!$F:$F),1)</f>
        <v>0.26666666666666666</v>
      </c>
      <c r="CH105" s="98">
        <f>_xlfn.RANK.EQ(CG105,CG$3:CG$10000,1)</f>
        <v>28</v>
      </c>
      <c r="CI105" s="98">
        <f>IFERROR(IF(_xlfn.XLOOKUP(B105,'w14'!$B:$B,'w14'!$G:$G)="--",0,_xlfn.XLOOKUP(B105,'w14'!$B:$B,'w14'!$G:$G)),0)</f>
        <v>1</v>
      </c>
      <c r="CJ105" s="98">
        <f>_xlfn.RANK.EQ(CI105,CI$3:CI$10000,0)</f>
        <v>68</v>
      </c>
      <c r="CK105" s="9">
        <f>_xlfn.RANK.EQ(D105,D$3:D$10000,1)</f>
        <v>103</v>
      </c>
      <c r="CL105" s="26" t="s">
        <v>154</v>
      </c>
      <c r="CM105" s="8">
        <f>SUM(E105,K105,Q105,W105,AC105,AI105,AO105,AU105,BA105,BG105,BM105,BS105,BY105,CE105)</f>
        <v>9.1000000000000014</v>
      </c>
      <c r="CN105" s="9">
        <f>_xlfn.RANK.EQ(CM105,CM$3:CM$10000)</f>
        <v>104</v>
      </c>
      <c r="CO105" s="15">
        <f>IFERROR(SUM(PRODUCT(E105,G105),PRODUCT(K105,M105),PRODUCT(Q105,S105),PRODUCT(W105,Y105),PRODUCT(AC105,AE105),PRODUCT(AI105,AK105),PRODUCT(AO105,AQ105),PRODUCT(AU105,AW105),PRODUCT(BA105,BC105),PRODUCT(BG105,BI105),PRODUCT(BM105,BO105),PRODUCT(BS105,BU105),PRODUCT(BY105,CA105),PRODUCT(CE105,CG105))/CM105,1)</f>
        <v>0.27299297924297922</v>
      </c>
      <c r="CP105" s="9">
        <f>_xlfn.RANK.EQ(CO105,CO$3:CO$10000,1)</f>
        <v>38</v>
      </c>
      <c r="CQ105" s="9">
        <f>SUM(I105,O105,U105,AA105,AG105,AM105,AS105,AY105,BE105,BK105,BQ105,BW105,CC105,CI105)</f>
        <v>2</v>
      </c>
      <c r="CR105" s="9">
        <f>_xlfn.RANK.EQ(CQ105,CQ$3:CQ$10000)</f>
        <v>106</v>
      </c>
      <c r="CS105" s="23"/>
      <c r="CT105" s="25"/>
      <c r="CU105" s="24">
        <f>_xlfn.STDEV.S(F105,L105,R105,X105,AD105,AJ105,AP105,AV105,BB105,BH105,BN105,BT105,BZ105,CF105)</f>
        <v>4.5476717868947718</v>
      </c>
      <c r="CV105" s="21">
        <f>_xlfn.RANK.EQ(CU105,CU$3:CU$10000,1)</f>
        <v>4</v>
      </c>
      <c r="CW105" s="24">
        <f>_xlfn.STDEV.S(H105,N105,T105,Z105,AF105,AL105,AR105,AX105,BD105,BJ105,BP105,BV105,CB105,CH105)</f>
        <v>23.236008433293531</v>
      </c>
      <c r="CX105" s="21">
        <f>_xlfn.RANK.EQ(CW105,CW$3:CW$10000,1)</f>
        <v>87</v>
      </c>
      <c r="CY105" s="24">
        <f>_xlfn.STDEV.S(J105,P105,V105,AB105,AH105,AN105,AT105,AZ105,BF105,BL105,BR105,BX105,CD105,CJ105)</f>
        <v>4.8175503327719582</v>
      </c>
      <c r="CZ105" s="21">
        <f>_xlfn.RANK.EQ(CY105,CY$3:CY$10000,1)</f>
        <v>3</v>
      </c>
      <c r="DA105">
        <f>SUM(COUNTIF(E105,"&gt;0"),COUNTIF(K105,"&gt;0"),COUNTIF(Q105,"&gt;0"),COUNTIF(W105,"&gt;0"),COUNTIF(AC105,"&gt;0"),COUNTIF(AI105,"&gt;0"),COUNTIF(AO105,"&gt;0"),COUNTIF(AU105,"&gt;0"),COUNTIF(BA105,"&gt;0"),COUNTIF(BG105,"&gt;0"),COUNTIF(BM105,"&gt;0"),COUNTIF(BS105,"&gt;0"),COUNTIF(BY105,"&gt;0"),COUNTIF(CE105,"&gt;0"))</f>
        <v>4</v>
      </c>
    </row>
    <row r="106" spans="2:105" x14ac:dyDescent="0.3">
      <c r="B106" t="s">
        <v>198</v>
      </c>
      <c r="C106" s="18" t="s">
        <v>205</v>
      </c>
      <c r="D106" s="4">
        <f>CN106*$CN$1+CP106*$CP$1+CR106*$CR$1</f>
        <v>102.74999999999999</v>
      </c>
      <c r="E106" s="29">
        <f>IFERROR(_xlfn.XLOOKUP(B106,'w1'!$B:$B,'w1'!$C:$C),0)</f>
        <v>0</v>
      </c>
      <c r="F106" s="30">
        <f>_xlfn.RANK.EQ(E106,E$3:E$10000,0)</f>
        <v>79</v>
      </c>
      <c r="G106" s="31">
        <f>IFERROR(_xlfn.XLOOKUP(B106,'w1'!$B:$B,'w1'!$F:$F),1)</f>
        <v>1</v>
      </c>
      <c r="H106" s="30">
        <f>_xlfn.RANK.EQ(G106,G$3:G$10000,1)</f>
        <v>79</v>
      </c>
      <c r="I106" s="30">
        <f>IFERROR(IF(_xlfn.XLOOKUP(B106,'w1'!$B:$B,'w1'!$G:$G)="--",0,_xlfn.XLOOKUP(B106,'w1'!$B:$B,'w1'!$G:$G)),0)</f>
        <v>0</v>
      </c>
      <c r="J106" s="30">
        <f>_xlfn.RANK.EQ(I106,I$3:I$10000,0)</f>
        <v>77</v>
      </c>
      <c r="K106" s="34">
        <f>IFERROR(_xlfn.XLOOKUP(B106,'w2'!$B:$B,'w2'!$C:$C),0)</f>
        <v>0</v>
      </c>
      <c r="L106" s="35">
        <f>_xlfn.RANK.EQ(K106,K$3:K$10000,0)</f>
        <v>73</v>
      </c>
      <c r="M106" s="36">
        <f>IFERROR(_xlfn.XLOOKUP(B106,'w2'!$B:$B,'w2'!$F:$F),1)</f>
        <v>1</v>
      </c>
      <c r="N106" s="35">
        <f>_xlfn.RANK.EQ(M106,M$3:M$10000,1)</f>
        <v>72</v>
      </c>
      <c r="O106" s="35">
        <f>IFERROR(IF(_xlfn.XLOOKUP(B106,'w2'!$B:$B,'w2'!$G:$G)="--",0,_xlfn.XLOOKUP(B106,'w2'!$B:$B,'w2'!$G:$G)),0)</f>
        <v>0</v>
      </c>
      <c r="P106" s="35">
        <f>_xlfn.RANK.EQ(O106,O$3:O$10000,0)</f>
        <v>71</v>
      </c>
      <c r="Q106" s="39">
        <f>IFERROR(_xlfn.XLOOKUP(B106,'w3'!$B:$B,'w3'!$C:$C),0)</f>
        <v>1.7</v>
      </c>
      <c r="R106" s="40">
        <f>_xlfn.RANK.EQ(Q106,Q$3:Q$10000,0)</f>
        <v>83</v>
      </c>
      <c r="S106" s="41">
        <f>IFERROR(_xlfn.XLOOKUP(B106,'w3'!$B:$B,'w3'!$F:$F),1)</f>
        <v>0.30694444444444446</v>
      </c>
      <c r="T106" s="40">
        <f>_xlfn.RANK.EQ(S106,S$3:S$10000,1)</f>
        <v>56</v>
      </c>
      <c r="U106" s="40">
        <f>IFERROR(IF(_xlfn.XLOOKUP(B106,'w3'!$B:$B,'w3'!$G:$G)="--",0,_xlfn.XLOOKUP(B106,'w3'!$B:$B,'w3'!$G:$G)),0)</f>
        <v>0</v>
      </c>
      <c r="V106" s="40">
        <f>_xlfn.RANK.EQ(U106,U$3:U$10000,0)</f>
        <v>80</v>
      </c>
      <c r="W106" s="44">
        <f>IFERROR(_xlfn.XLOOKUP(B106,'w4'!$B:$B,'w4'!$C:$C),0)</f>
        <v>0</v>
      </c>
      <c r="X106" s="45">
        <f>_xlfn.RANK.EQ(W106,W$3:W$10000,0)</f>
        <v>76</v>
      </c>
      <c r="Y106" s="46">
        <f>IFERROR(_xlfn.XLOOKUP(B106,'w4'!$B:$B,'w4'!$F:$F),1)</f>
        <v>1</v>
      </c>
      <c r="Z106" s="45">
        <f>_xlfn.RANK.EQ(Y106,Y$3:Y$10000,1)</f>
        <v>76</v>
      </c>
      <c r="AA106" s="45">
        <f>IFERROR(IF(_xlfn.XLOOKUP(B106,'w4'!$B:$B,'w4'!$G:$G)="--",0,_xlfn.XLOOKUP(B106,'w4'!$B:$B,'w4'!$G:$G)),0)</f>
        <v>0</v>
      </c>
      <c r="AB106" s="45">
        <f>_xlfn.RANK.EQ(AA106,AA$3:AA$10000,0)</f>
        <v>68</v>
      </c>
      <c r="AC106" s="13">
        <f>IFERROR(_xlfn.XLOOKUP(B106,'w5'!$B:$B,'w5'!$C:$C),0)</f>
        <v>0</v>
      </c>
      <c r="AD106" s="12">
        <f>_xlfn.RANK.EQ(AC106,AC$3:AC$10000,0)</f>
        <v>77</v>
      </c>
      <c r="AE106" s="14">
        <f>IFERROR(_xlfn.XLOOKUP(B106,'w5'!$B:$B,'w5'!$F:$F),1)</f>
        <v>1</v>
      </c>
      <c r="AF106" s="12">
        <f>_xlfn.RANK.EQ(AE106,AE$3:AE$10000,1)</f>
        <v>76</v>
      </c>
      <c r="AG106" s="12">
        <f>IFERROR(IF(_xlfn.XLOOKUP(B106,'w5'!$B:$B,'w5'!$G:$G)="--",0,_xlfn.XLOOKUP(B106,'w5'!$B:$B,'w5'!$G:$G)),0)</f>
        <v>0</v>
      </c>
      <c r="AH106" s="12">
        <f>_xlfn.RANK.EQ(AG106,AG$3:AG$10000,0)</f>
        <v>73</v>
      </c>
      <c r="AI106" s="51">
        <f>IFERROR(_xlfn.XLOOKUP(B106,'w6'!$B:$B,'w6'!$C:$C),0)</f>
        <v>0</v>
      </c>
      <c r="AJ106" s="50">
        <f>_xlfn.RANK.EQ(AI106,AI$3:AI$10000,0)</f>
        <v>65</v>
      </c>
      <c r="AK106" s="52">
        <f>IFERROR(_xlfn.XLOOKUP(B106,'w6'!$B:$B,'w6'!$F:$F),1)</f>
        <v>1</v>
      </c>
      <c r="AL106" s="50">
        <f>_xlfn.RANK.EQ(AK106,AK$3:AK$10000,1)</f>
        <v>65</v>
      </c>
      <c r="AM106" s="50">
        <f>IFERROR(IF(_xlfn.XLOOKUP(B106,'w6'!$B:$B,'w6'!$G:$G)="--",0,_xlfn.XLOOKUP(B106,'w6'!$B:$B,'w6'!$G:$G)),0)</f>
        <v>0</v>
      </c>
      <c r="AN106" s="50">
        <f>_xlfn.RANK.EQ(AM106,AM$3:AM$10000,0)</f>
        <v>61</v>
      </c>
      <c r="AO106" s="56">
        <f>IFERROR(_xlfn.XLOOKUP(B106,'w7'!$B:$B,'w7'!$C:$C),0)</f>
        <v>0</v>
      </c>
      <c r="AP106" s="57">
        <f>_xlfn.RANK.EQ(AO106,AO$3:AO$10000,0)</f>
        <v>72</v>
      </c>
      <c r="AQ106" s="58">
        <f>IFERROR(_xlfn.XLOOKUP(B106,'w7'!$B:$B,'w7'!$F:$F),1)</f>
        <v>1</v>
      </c>
      <c r="AR106" s="57">
        <f>_xlfn.RANK.EQ(AQ106,AQ$3:AQ$10000,1)</f>
        <v>72</v>
      </c>
      <c r="AS106" s="57">
        <f>IFERROR(IF(_xlfn.XLOOKUP(B106,'w7'!$B:$B,'w7'!$G:$G)="--",0,_xlfn.XLOOKUP(B106,'w7'!$B:$B,'w7'!$G:$G)),0)</f>
        <v>0</v>
      </c>
      <c r="AT106" s="57">
        <f>_xlfn.RANK.EQ(AS106,AS$3:AS$10000,0)</f>
        <v>69</v>
      </c>
      <c r="AU106" s="62">
        <f>IFERROR(_xlfn.XLOOKUP(B106,'w8'!$B:$B,'w8'!$C:$C),0)</f>
        <v>0</v>
      </c>
      <c r="AV106" s="61">
        <f>_xlfn.RANK.EQ(AU106,AU$3:AU$10000,0)</f>
        <v>73</v>
      </c>
      <c r="AW106" s="63">
        <f>IFERROR(_xlfn.XLOOKUP(B106,'w8'!$B:$B,'w8'!$F:$F),1)</f>
        <v>1</v>
      </c>
      <c r="AX106" s="61">
        <f>_xlfn.RANK.EQ(AW106,AW$3:AW$10000,1)</f>
        <v>73</v>
      </c>
      <c r="AY106" s="61">
        <f>IFERROR(IF(_xlfn.XLOOKUP(B106,'w8'!$B:$B,'w8'!$G:$G)="--",0,_xlfn.XLOOKUP(B106,'w8'!$B:$B,'w8'!$G:$G)),0)</f>
        <v>0</v>
      </c>
      <c r="AZ106" s="61">
        <f>_xlfn.RANK.EQ(AY106,AY$3:AY$10000,0)</f>
        <v>70</v>
      </c>
      <c r="BA106" s="66">
        <f>IFERROR(_xlfn.XLOOKUP(C106,'w9'!$B:$B,'w9'!$C:$C),0)</f>
        <v>0</v>
      </c>
      <c r="BB106" s="67">
        <f>_xlfn.RANK.EQ(BA106,BA$3:BA$10000,0)</f>
        <v>75</v>
      </c>
      <c r="BC106" s="68">
        <f>IFERROR(_xlfn.XLOOKUP(C106,'w9'!$B:$B,'w9'!$F:$F),1)</f>
        <v>1</v>
      </c>
      <c r="BD106" s="67">
        <f>_xlfn.RANK.EQ(BC106,BC$3:BC$10000,1)</f>
        <v>75</v>
      </c>
      <c r="BE106" s="67">
        <f>IFERROR(IF(_xlfn.XLOOKUP(C106,'w9'!$B:$B,'w9'!$G:$G)="--",0,_xlfn.XLOOKUP(C106,'w9'!$B:$B,'w9'!$G:$G)),0)</f>
        <v>0</v>
      </c>
      <c r="BF106" s="67">
        <f>_xlfn.RANK.EQ(BE106,BE$3:BE$10000,0)</f>
        <v>74</v>
      </c>
      <c r="BG106" s="72">
        <f>IFERROR(_xlfn.XLOOKUP(B106,'w10'!$B:$B,'w10'!$C:$C),0)</f>
        <v>0</v>
      </c>
      <c r="BH106" s="74">
        <f>_xlfn.RANK.EQ(BG106,BG$3:BG$10000,0)</f>
        <v>77</v>
      </c>
      <c r="BI106" s="75">
        <f>IFERROR(_xlfn.XLOOKUP(B106,'w10'!$B:$B,'w10'!$F:$F),1)</f>
        <v>1</v>
      </c>
      <c r="BJ106" s="74">
        <f>_xlfn.RANK.EQ(BI106,BI$3:BI$10000,1)</f>
        <v>76</v>
      </c>
      <c r="BK106" s="74">
        <f>IFERROR(IF(_xlfn.XLOOKUP(B106,'w10'!$B:$B,'w10'!$G:$G)="--",0,_xlfn.XLOOKUP(B106,'w10'!$B:$B,'w10'!$G:$G)),0)</f>
        <v>0</v>
      </c>
      <c r="BL106" s="74">
        <f>_xlfn.RANK.EQ(BK106,BK$3:BK$10000,0)</f>
        <v>76</v>
      </c>
      <c r="BM106" s="78">
        <f>IFERROR(_xlfn.XLOOKUP(B106,'w11'!$B:$B,'w11'!$C:$C),0)</f>
        <v>7.9</v>
      </c>
      <c r="BN106" s="80">
        <f>_xlfn.RANK.EQ(BM106,BM$3:BM$10000,0)</f>
        <v>67</v>
      </c>
      <c r="BO106" s="81">
        <f>IFERROR(_xlfn.XLOOKUP(B106,'w11'!$B:$B,'w11'!$F:$F),1)</f>
        <v>0.38541666666666669</v>
      </c>
      <c r="BP106" s="80">
        <f>_xlfn.RANK.EQ(BO106,BO$3:BO$10000,1)</f>
        <v>68</v>
      </c>
      <c r="BQ106" s="80">
        <f>IFERROR(IF(_xlfn.XLOOKUP(B106,'w11'!$B:$B,'w11'!$G:$G)="--",0,_xlfn.XLOOKUP(B106,'w11'!$B:$B,'w11'!$G:$G)),0)</f>
        <v>65</v>
      </c>
      <c r="BR106" s="80">
        <f>_xlfn.RANK.EQ(BQ106,BQ$3:BQ$10000,0)</f>
        <v>67</v>
      </c>
      <c r="BS106" s="83">
        <f>IFERROR(_xlfn.XLOOKUP(B106,'w12'!$B:$B,'w12'!$C:$C),0)</f>
        <v>0</v>
      </c>
      <c r="BT106" s="86">
        <f>_xlfn.RANK.EQ(BS106,BS$3:BS$10000,0)</f>
        <v>76</v>
      </c>
      <c r="BU106" s="87">
        <f>IFERROR(_xlfn.XLOOKUP(B106,'w12'!$B:$B,'w12'!$F:$F),1)</f>
        <v>1</v>
      </c>
      <c r="BV106" s="86">
        <f>_xlfn.RANK.EQ(BU106,BU$3:BU$10000,1)</f>
        <v>76</v>
      </c>
      <c r="BW106" s="86">
        <f>IFERROR(IF(_xlfn.XLOOKUP(B106,'w12'!$B:$B,'w12'!$G:$G)="--",0,_xlfn.XLOOKUP(B106,'w12'!$B:$B,'w12'!$G:$G)),0)</f>
        <v>0</v>
      </c>
      <c r="BX106" s="86">
        <f>_xlfn.RANK.EQ(BW106,BW$3:BW$10000,0)</f>
        <v>73</v>
      </c>
      <c r="BY106" s="89">
        <f>IFERROR(_xlfn.XLOOKUP(B106,'w13'!$B:$B,'w13'!$C:$C),0)</f>
        <v>0</v>
      </c>
      <c r="BZ106" s="92">
        <f>_xlfn.RANK.EQ(BY106,BY$3:BY$10000,0)</f>
        <v>76</v>
      </c>
      <c r="CA106" s="93">
        <f>IFERROR(_xlfn.XLOOKUP(B106,'w13'!$B:$B,'w13'!$F:$F),1)</f>
        <v>1</v>
      </c>
      <c r="CB106" s="92">
        <f>_xlfn.RANK.EQ(CA106,CA$3:CA$10000,1)</f>
        <v>76</v>
      </c>
      <c r="CC106" s="92">
        <f>IFERROR(IF(_xlfn.XLOOKUP(B106,'w13'!$B:$B,'w13'!$G:$G)="--",0,_xlfn.XLOOKUP(B106,'w13'!$B:$B,'w13'!$G:$G)),0)</f>
        <v>0</v>
      </c>
      <c r="CD106" s="92">
        <f>_xlfn.RANK.EQ(CC106,CC$3:CC$10000,0)</f>
        <v>76</v>
      </c>
      <c r="CE106" s="95">
        <f>IFERROR(_xlfn.XLOOKUP(B106,'w14'!$B:$B,'w14'!$C:$C),0)</f>
        <v>0</v>
      </c>
      <c r="CF106" s="98">
        <f>_xlfn.RANK.EQ(CE106,CE$3:CE$10000,0)</f>
        <v>69</v>
      </c>
      <c r="CG106" s="99">
        <f>IFERROR(_xlfn.XLOOKUP(B106,'w14'!$B:$B,'w14'!$F:$F),1)</f>
        <v>1</v>
      </c>
      <c r="CH106" s="98">
        <f>_xlfn.RANK.EQ(CG106,CG$3:CG$10000,1)</f>
        <v>69</v>
      </c>
      <c r="CI106" s="98">
        <f>IFERROR(IF(_xlfn.XLOOKUP(B106,'w14'!$B:$B,'w14'!$G:$G)="--",0,_xlfn.XLOOKUP(B106,'w14'!$B:$B,'w14'!$G:$G)),0)</f>
        <v>0</v>
      </c>
      <c r="CJ106" s="98">
        <f>_xlfn.RANK.EQ(CI106,CI$3:CI$10000,0)</f>
        <v>69</v>
      </c>
      <c r="CK106" s="9">
        <f>_xlfn.RANK.EQ(D106,D$3:D$10000,1)</f>
        <v>104</v>
      </c>
      <c r="CL106" s="26" t="s">
        <v>205</v>
      </c>
      <c r="CM106" s="8">
        <f>SUM(E106,K106,Q106,W106,AC106,AI106,AO106,AU106,BA106,BG106,BM106,BS106,BY106,CE106)</f>
        <v>9.6</v>
      </c>
      <c r="CN106" s="9">
        <f>_xlfn.RANK.EQ(CM106,CM$3:CM$10000)</f>
        <v>103</v>
      </c>
      <c r="CO106" s="15">
        <f>IFERROR(SUM(PRODUCT(E106,G106),PRODUCT(K106,M106),PRODUCT(Q106,S106),PRODUCT(W106,Y106),PRODUCT(AC106,AE106),PRODUCT(AI106,AK106),PRODUCT(AO106,AQ106),PRODUCT(AU106,AW106),PRODUCT(BA106,BC106),PRODUCT(BG106,BI106),PRODUCT(BM106,BO106),PRODUCT(BS106,BU106),PRODUCT(BY106,CA106),PRODUCT(CE106,CG106))/CM106,1)</f>
        <v>0.37152054398148149</v>
      </c>
      <c r="CP106" s="9">
        <f>_xlfn.RANK.EQ(CO106,CO$3:CO$10000,1)</f>
        <v>94</v>
      </c>
      <c r="CQ106" s="9">
        <f>SUM(I106,O106,U106,AA106,AG106,AM106,AS106,AY106,BE106,BK106,BQ106,BW106,CC106,CI106)</f>
        <v>65</v>
      </c>
      <c r="CR106" s="9">
        <f>_xlfn.RANK.EQ(CQ106,CQ$3:CQ$10000)</f>
        <v>102</v>
      </c>
      <c r="CS106" s="23"/>
      <c r="CT106" s="25"/>
      <c r="CU106" s="24">
        <f>_xlfn.STDEV.S(F106,L106,R106,X106,AD106,AJ106,AP106,AV106,BB106,BH106,BN106,BT106,BZ106,CF106)</f>
        <v>4.7855092624608826</v>
      </c>
      <c r="CV106" s="21">
        <f>_xlfn.RANK.EQ(CU106,CU$3:CU$10000,1)</f>
        <v>5</v>
      </c>
      <c r="CW106" s="24">
        <f>_xlfn.STDEV.S(H106,N106,T106,Z106,AF106,AL106,AR106,AX106,BD106,BJ106,BP106,BV106,CB106,CH106)</f>
        <v>6.0059494313079735</v>
      </c>
      <c r="CX106" s="21">
        <f>_xlfn.RANK.EQ(CW106,CW$3:CW$10000,1)</f>
        <v>7</v>
      </c>
      <c r="CY106" s="24">
        <f>_xlfn.STDEV.S(J106,P106,V106,AB106,AH106,AN106,AT106,AZ106,BF106,BL106,BR106,BX106,CD106,CJ106)</f>
        <v>4.8899987640170135</v>
      </c>
      <c r="CZ106" s="21">
        <f>_xlfn.RANK.EQ(CY106,CY$3:CY$10000,1)</f>
        <v>4</v>
      </c>
      <c r="DA106">
        <f>SUM(COUNTIF(E106,"&gt;0"),COUNTIF(K106,"&gt;0"),COUNTIF(Q106,"&gt;0"),COUNTIF(W106,"&gt;0"),COUNTIF(AC106,"&gt;0"),COUNTIF(AI106,"&gt;0"),COUNTIF(AO106,"&gt;0"),COUNTIF(AU106,"&gt;0"),COUNTIF(BA106,"&gt;0"),COUNTIF(BG106,"&gt;0"),COUNTIF(BM106,"&gt;0"),COUNTIF(BS106,"&gt;0"),COUNTIF(BY106,"&gt;0"),COUNTIF(CE106,"&gt;0"))</f>
        <v>2</v>
      </c>
    </row>
    <row r="107" spans="2:105" x14ac:dyDescent="0.3">
      <c r="B107" t="s">
        <v>478</v>
      </c>
      <c r="C107" t="s">
        <v>480</v>
      </c>
      <c r="D107" s="4">
        <f>CN107*$CN$1+CP107*$CP$1+CR107*$CR$1</f>
        <v>103.97499999999999</v>
      </c>
      <c r="E107" s="29">
        <f>IFERROR(_xlfn.XLOOKUP(B107,'w1'!$B:$B,'w1'!$C:$C),0)</f>
        <v>0</v>
      </c>
      <c r="F107" s="30">
        <f>_xlfn.RANK.EQ(E107,E$3:E$10000,0)</f>
        <v>79</v>
      </c>
      <c r="G107" s="31">
        <f>IFERROR(_xlfn.XLOOKUP(B107,'w1'!$B:$B,'w1'!$F:$F),1)</f>
        <v>1</v>
      </c>
      <c r="H107" s="30">
        <f>_xlfn.RANK.EQ(G107,G$3:G$10000,1)</f>
        <v>79</v>
      </c>
      <c r="I107" s="30">
        <f>IFERROR(IF(_xlfn.XLOOKUP(B107,'w1'!$B:$B,'w1'!$G:$G)="--",0,_xlfn.XLOOKUP(B107,'w1'!$B:$B,'w1'!$G:$G)),0)</f>
        <v>0</v>
      </c>
      <c r="J107" s="30">
        <f>_xlfn.RANK.EQ(I107,I$3:I$10000,0)</f>
        <v>77</v>
      </c>
      <c r="K107" s="34">
        <f>IFERROR(_xlfn.XLOOKUP(B107,'w2'!$B:$B,'w2'!$C:$C),0)</f>
        <v>0</v>
      </c>
      <c r="L107" s="35">
        <f>_xlfn.RANK.EQ(K107,K$3:K$10000,0)</f>
        <v>73</v>
      </c>
      <c r="M107" s="36">
        <f>IFERROR(_xlfn.XLOOKUP(B107,'w2'!$B:$B,'w2'!$F:$F),1)</f>
        <v>1</v>
      </c>
      <c r="N107" s="35">
        <f>_xlfn.RANK.EQ(M107,M$3:M$10000,1)</f>
        <v>72</v>
      </c>
      <c r="O107" s="35">
        <f>IFERROR(IF(_xlfn.XLOOKUP(B107,'w2'!$B:$B,'w2'!$G:$G)="--",0,_xlfn.XLOOKUP(B107,'w2'!$B:$B,'w2'!$G:$G)),0)</f>
        <v>0</v>
      </c>
      <c r="P107" s="35">
        <f>_xlfn.RANK.EQ(O107,O$3:O$10000,0)</f>
        <v>71</v>
      </c>
      <c r="Q107" s="39">
        <f>IFERROR(_xlfn.XLOOKUP(B107,'w3'!$B:$B,'w3'!$C:$C),0)</f>
        <v>0</v>
      </c>
      <c r="R107" s="40">
        <f>_xlfn.RANK.EQ(Q107,Q$3:Q$10000,0)</f>
        <v>84</v>
      </c>
      <c r="S107" s="41">
        <f>IFERROR(_xlfn.XLOOKUP(B107,'w3'!$B:$B,'w3'!$F:$F),1)</f>
        <v>1</v>
      </c>
      <c r="T107" s="40">
        <f>_xlfn.RANK.EQ(S107,S$3:S$10000,1)</f>
        <v>83</v>
      </c>
      <c r="U107" s="40">
        <f>IFERROR(IF(_xlfn.XLOOKUP(B107,'w3'!$B:$B,'w3'!$G:$G)="--",0,_xlfn.XLOOKUP(B107,'w3'!$B:$B,'w3'!$G:$G)),0)</f>
        <v>0</v>
      </c>
      <c r="V107" s="40">
        <f>_xlfn.RANK.EQ(U107,U$3:U$10000,0)</f>
        <v>80</v>
      </c>
      <c r="W107" s="44">
        <f>IFERROR(_xlfn.XLOOKUP(B107,'w4'!$B:$B,'w4'!$C:$C),0)</f>
        <v>0</v>
      </c>
      <c r="X107" s="45">
        <f>_xlfn.RANK.EQ(W107,W$3:W$10000,0)</f>
        <v>76</v>
      </c>
      <c r="Y107" s="46">
        <f>IFERROR(_xlfn.XLOOKUP(B107,'w4'!$B:$B,'w4'!$F:$F),1)</f>
        <v>1</v>
      </c>
      <c r="Z107" s="45">
        <f>_xlfn.RANK.EQ(Y107,Y$3:Y$10000,1)</f>
        <v>76</v>
      </c>
      <c r="AA107" s="45">
        <f>IFERROR(IF(_xlfn.XLOOKUP(B107,'w4'!$B:$B,'w4'!$G:$G)="--",0,_xlfn.XLOOKUP(B107,'w4'!$B:$B,'w4'!$G:$G)),0)</f>
        <v>0</v>
      </c>
      <c r="AB107" s="45">
        <f>_xlfn.RANK.EQ(AA107,AA$3:AA$10000,0)</f>
        <v>68</v>
      </c>
      <c r="AC107" s="13">
        <f>IFERROR(_xlfn.XLOOKUP(B107,'w5'!$B:$B,'w5'!$C:$C),0)</f>
        <v>0</v>
      </c>
      <c r="AD107" s="12">
        <f>_xlfn.RANK.EQ(AC107,AC$3:AC$10000,0)</f>
        <v>77</v>
      </c>
      <c r="AE107" s="14">
        <f>IFERROR(_xlfn.XLOOKUP(B107,'w5'!$B:$B,'w5'!$F:$F),1)</f>
        <v>1</v>
      </c>
      <c r="AF107" s="12">
        <f>_xlfn.RANK.EQ(AE107,AE$3:AE$10000,1)</f>
        <v>76</v>
      </c>
      <c r="AG107" s="12">
        <f>IFERROR(IF(_xlfn.XLOOKUP(B107,'w5'!$B:$B,'w5'!$G:$G)="--",0,_xlfn.XLOOKUP(B107,'w5'!$B:$B,'w5'!$G:$G)),0)</f>
        <v>0</v>
      </c>
      <c r="AH107" s="12">
        <f>_xlfn.RANK.EQ(AG107,AG$3:AG$10000,0)</f>
        <v>73</v>
      </c>
      <c r="AI107" s="51">
        <f>IFERROR(_xlfn.XLOOKUP(B107,'w6'!$B:$B,'w6'!$C:$C),0)</f>
        <v>0</v>
      </c>
      <c r="AJ107" s="50">
        <f>_xlfn.RANK.EQ(AI107,AI$3:AI$10000,0)</f>
        <v>65</v>
      </c>
      <c r="AK107" s="52">
        <f>IFERROR(_xlfn.XLOOKUP(B107,'w6'!$B:$B,'w6'!$F:$F),1)</f>
        <v>1</v>
      </c>
      <c r="AL107" s="50">
        <f>_xlfn.RANK.EQ(AK107,AK$3:AK$10000,1)</f>
        <v>65</v>
      </c>
      <c r="AM107" s="50">
        <f>IFERROR(IF(_xlfn.XLOOKUP(B107,'w6'!$B:$B,'w6'!$G:$G)="--",0,_xlfn.XLOOKUP(B107,'w6'!$B:$B,'w6'!$G:$G)),0)</f>
        <v>0</v>
      </c>
      <c r="AN107" s="50">
        <f>_xlfn.RANK.EQ(AM107,AM$3:AM$10000,0)</f>
        <v>61</v>
      </c>
      <c r="AO107" s="56">
        <f>IFERROR(_xlfn.XLOOKUP(B107,'w7'!$B:$B,'w7'!$C:$C),0)</f>
        <v>0</v>
      </c>
      <c r="AP107" s="57">
        <f>_xlfn.RANK.EQ(AO107,AO$3:AO$10000,0)</f>
        <v>72</v>
      </c>
      <c r="AQ107" s="58">
        <f>IFERROR(_xlfn.XLOOKUP(B107,'w7'!$B:$B,'w7'!$F:$F),1)</f>
        <v>1</v>
      </c>
      <c r="AR107" s="57">
        <f>_xlfn.RANK.EQ(AQ107,AQ$3:AQ$10000,1)</f>
        <v>72</v>
      </c>
      <c r="AS107" s="57">
        <f>IFERROR(IF(_xlfn.XLOOKUP(B107,'w7'!$B:$B,'w7'!$G:$G)="--",0,_xlfn.XLOOKUP(B107,'w7'!$B:$B,'w7'!$G:$G)),0)</f>
        <v>0</v>
      </c>
      <c r="AT107" s="57">
        <f>_xlfn.RANK.EQ(AS107,AS$3:AS$10000,0)</f>
        <v>69</v>
      </c>
      <c r="AU107" s="62">
        <f>IFERROR(_xlfn.XLOOKUP(B107,'w8'!$B:$B,'w8'!$C:$C),0)</f>
        <v>0</v>
      </c>
      <c r="AV107" s="61">
        <f>_xlfn.RANK.EQ(AU107,AU$3:AU$10000,0)</f>
        <v>73</v>
      </c>
      <c r="AW107" s="63">
        <f>IFERROR(_xlfn.XLOOKUP(B107,'w8'!$B:$B,'w8'!$F:$F),1)</f>
        <v>1</v>
      </c>
      <c r="AX107" s="61">
        <f>_xlfn.RANK.EQ(AW107,AW$3:AW$10000,1)</f>
        <v>73</v>
      </c>
      <c r="AY107" s="61">
        <f>IFERROR(IF(_xlfn.XLOOKUP(B107,'w8'!$B:$B,'w8'!$G:$G)="--",0,_xlfn.XLOOKUP(B107,'w8'!$B:$B,'w8'!$G:$G)),0)</f>
        <v>0</v>
      </c>
      <c r="AZ107" s="61">
        <f>_xlfn.RANK.EQ(AY107,AY$3:AY$10000,0)</f>
        <v>70</v>
      </c>
      <c r="BA107" s="66">
        <f>IFERROR(_xlfn.XLOOKUP(C107,'w9'!$B:$B,'w9'!$C:$C),0)</f>
        <v>0</v>
      </c>
      <c r="BB107" s="67">
        <f>_xlfn.RANK.EQ(BA107,BA$3:BA$10000,0)</f>
        <v>75</v>
      </c>
      <c r="BC107" s="68">
        <f>IFERROR(_xlfn.XLOOKUP(C107,'w9'!$B:$B,'w9'!$F:$F),1)</f>
        <v>1</v>
      </c>
      <c r="BD107" s="67">
        <f>_xlfn.RANK.EQ(BC107,BC$3:BC$10000,1)</f>
        <v>75</v>
      </c>
      <c r="BE107" s="67">
        <f>IFERROR(IF(_xlfn.XLOOKUP(C107,'w9'!$B:$B,'w9'!$G:$G)="--",0,_xlfn.XLOOKUP(C107,'w9'!$B:$B,'w9'!$G:$G)),0)</f>
        <v>0</v>
      </c>
      <c r="BF107" s="67">
        <f>_xlfn.RANK.EQ(BE107,BE$3:BE$10000,0)</f>
        <v>74</v>
      </c>
      <c r="BG107" s="72">
        <f>IFERROR(_xlfn.XLOOKUP(B107,'w10'!$B:$B,'w10'!$C:$C),0)</f>
        <v>0</v>
      </c>
      <c r="BH107" s="74">
        <f>_xlfn.RANK.EQ(BG107,BG$3:BG$10000,0)</f>
        <v>77</v>
      </c>
      <c r="BI107" s="75">
        <f>IFERROR(_xlfn.XLOOKUP(B107,'w10'!$B:$B,'w10'!$F:$F),1)</f>
        <v>1</v>
      </c>
      <c r="BJ107" s="74">
        <f>_xlfn.RANK.EQ(BI107,BI$3:BI$10000,1)</f>
        <v>76</v>
      </c>
      <c r="BK107" s="74">
        <f>IFERROR(IF(_xlfn.XLOOKUP(B107,'w10'!$B:$B,'w10'!$G:$G)="--",0,_xlfn.XLOOKUP(B107,'w10'!$B:$B,'w10'!$G:$G)),0)</f>
        <v>0</v>
      </c>
      <c r="BL107" s="74">
        <f>_xlfn.RANK.EQ(BK107,BK$3:BK$10000,0)</f>
        <v>76</v>
      </c>
      <c r="BM107" s="78">
        <f>IFERROR(_xlfn.XLOOKUP(B107,'w11'!$B:$B,'w11'!$C:$C),0)</f>
        <v>0</v>
      </c>
      <c r="BN107" s="80">
        <f>_xlfn.RANK.EQ(BM107,BM$3:BM$10000,0)</f>
        <v>76</v>
      </c>
      <c r="BO107" s="81">
        <f>IFERROR(_xlfn.XLOOKUP(B107,'w11'!$B:$B,'w11'!$F:$F),1)</f>
        <v>1</v>
      </c>
      <c r="BP107" s="80">
        <f>_xlfn.RANK.EQ(BO107,BO$3:BO$10000,1)</f>
        <v>76</v>
      </c>
      <c r="BQ107" s="80">
        <f>IFERROR(IF(_xlfn.XLOOKUP(B107,'w11'!$B:$B,'w11'!$G:$G)="--",0,_xlfn.XLOOKUP(B107,'w11'!$B:$B,'w11'!$G:$G)),0)</f>
        <v>0</v>
      </c>
      <c r="BR107" s="80">
        <f>_xlfn.RANK.EQ(BQ107,BQ$3:BQ$10000,0)</f>
        <v>75</v>
      </c>
      <c r="BS107" s="83">
        <f>IFERROR(_xlfn.XLOOKUP(B107,'w12'!$B:$B,'w12'!$C:$C),0)</f>
        <v>0</v>
      </c>
      <c r="BT107" s="86">
        <f>_xlfn.RANK.EQ(BS107,BS$3:BS$10000,0)</f>
        <v>76</v>
      </c>
      <c r="BU107" s="87">
        <f>IFERROR(_xlfn.XLOOKUP(B107,'w12'!$B:$B,'w12'!$F:$F),1)</f>
        <v>1</v>
      </c>
      <c r="BV107" s="86">
        <f>_xlfn.RANK.EQ(BU107,BU$3:BU$10000,1)</f>
        <v>76</v>
      </c>
      <c r="BW107" s="86">
        <f>IFERROR(IF(_xlfn.XLOOKUP(B107,'w12'!$B:$B,'w12'!$G:$G)="--",0,_xlfn.XLOOKUP(B107,'w12'!$B:$B,'w12'!$G:$G)),0)</f>
        <v>0</v>
      </c>
      <c r="BX107" s="86">
        <f>_xlfn.RANK.EQ(BW107,BW$3:BW$10000,0)</f>
        <v>73</v>
      </c>
      <c r="BY107" s="89">
        <f>IFERROR(_xlfn.XLOOKUP(B107,'w13'!$B:$B,'w13'!$C:$C),0)</f>
        <v>0</v>
      </c>
      <c r="BZ107" s="92">
        <f>_xlfn.RANK.EQ(BY107,BY$3:BY$10000,0)</f>
        <v>76</v>
      </c>
      <c r="CA107" s="93">
        <f>IFERROR(_xlfn.XLOOKUP(B107,'w13'!$B:$B,'w13'!$F:$F),1)</f>
        <v>1</v>
      </c>
      <c r="CB107" s="92">
        <f>_xlfn.RANK.EQ(CA107,CA$3:CA$10000,1)</f>
        <v>76</v>
      </c>
      <c r="CC107" s="92">
        <f>IFERROR(IF(_xlfn.XLOOKUP(B107,'w13'!$B:$B,'w13'!$G:$G)="--",0,_xlfn.XLOOKUP(B107,'w13'!$B:$B,'w13'!$G:$G)),0)</f>
        <v>0</v>
      </c>
      <c r="CD107" s="92">
        <f>_xlfn.RANK.EQ(CC107,CC$3:CC$10000,0)</f>
        <v>76</v>
      </c>
      <c r="CE107" s="95">
        <f>IFERROR(_xlfn.XLOOKUP(B107,'w14'!$B:$B,'w14'!$C:$C),0)</f>
        <v>7</v>
      </c>
      <c r="CF107" s="98">
        <f>_xlfn.RANK.EQ(CE107,CE$3:CE$10000,0)</f>
        <v>64</v>
      </c>
      <c r="CG107" s="99">
        <f>IFERROR(_xlfn.XLOOKUP(B107,'w14'!$B:$B,'w14'!$F:$F),1)</f>
        <v>0.31527777777777777</v>
      </c>
      <c r="CH107" s="98">
        <f>_xlfn.RANK.EQ(CG107,CG$3:CG$10000,1)</f>
        <v>45</v>
      </c>
      <c r="CI107" s="98">
        <f>IFERROR(IF(_xlfn.XLOOKUP(B107,'w14'!$B:$B,'w14'!$G:$G)="--",0,_xlfn.XLOOKUP(B107,'w14'!$B:$B,'w14'!$G:$G)),0)</f>
        <v>8</v>
      </c>
      <c r="CJ107" s="98">
        <f>_xlfn.RANK.EQ(CI107,CI$3:CI$10000,0)</f>
        <v>63</v>
      </c>
      <c r="CK107" s="9">
        <f>_xlfn.RANK.EQ(D107,D$3:D$10000,1)</f>
        <v>105</v>
      </c>
      <c r="CL107" s="26" t="s">
        <v>480</v>
      </c>
      <c r="CM107" s="8">
        <f>SUM(E107,K107,Q107,W107,AC107,AI107,AO107,AU107,BA107,BG107,BM107,BS107,BY107,CE107)</f>
        <v>7</v>
      </c>
      <c r="CN107" s="9">
        <f>_xlfn.RANK.EQ(CM107,CM$3:CM$10000)</f>
        <v>105</v>
      </c>
      <c r="CO107" s="15">
        <f>IFERROR(SUM(PRODUCT(E107,G107),PRODUCT(K107,M107),PRODUCT(Q107,S107),PRODUCT(W107,Y107),PRODUCT(AC107,AE107),PRODUCT(AI107,AK107),PRODUCT(AO107,AQ107),PRODUCT(AU107,AW107),PRODUCT(BA107,BC107),PRODUCT(BG107,BI107),PRODUCT(BM107,BO107),PRODUCT(BS107,BU107),PRODUCT(BY107,CA107),PRODUCT(CE107,CG107))/CM107,1)</f>
        <v>0.31527777777777777</v>
      </c>
      <c r="CP107" s="9">
        <f>_xlfn.RANK.EQ(CO107,CO$3:CO$10000,1)</f>
        <v>65</v>
      </c>
      <c r="CQ107" s="9">
        <f>SUM(I107,O107,U107,AA107,AG107,AM107,AS107,AY107,BE107,BK107,BQ107,BW107,CC107,CI107)</f>
        <v>8</v>
      </c>
      <c r="CR107" s="9">
        <f>_xlfn.RANK.EQ(CQ107,CQ$3:CQ$10000)</f>
        <v>104</v>
      </c>
      <c r="CS107" s="23"/>
      <c r="CT107" s="25"/>
      <c r="CU107" s="24">
        <f>_xlfn.STDEV.S(F107,L107,R107,X107,AD107,AJ107,AP107,AV107,BB107,BH107,BN107,BT107,BZ107,CF107)</f>
        <v>5.1403382109620885</v>
      </c>
      <c r="CV107" s="21">
        <f>_xlfn.RANK.EQ(CU107,CU$3:CU$10000,1)</f>
        <v>15</v>
      </c>
      <c r="CW107" s="24">
        <f>_xlfn.STDEV.S(H107,N107,T107,Z107,AF107,AL107,AR107,AX107,BD107,BJ107,BP107,BV107,CB107,CH107)</f>
        <v>8.9602295888952863</v>
      </c>
      <c r="CX107" s="21">
        <f>_xlfn.RANK.EQ(CW107,CW$3:CW$10000,1)</f>
        <v>20</v>
      </c>
      <c r="CY107" s="24">
        <f>_xlfn.STDEV.S(J107,P107,V107,AB107,AH107,AN107,AT107,AZ107,BF107,BL107,BR107,BX107,CD107,CJ107)</f>
        <v>5.3184315625675094</v>
      </c>
      <c r="CZ107" s="21">
        <f>_xlfn.RANK.EQ(CY107,CY$3:CY$10000,1)</f>
        <v>5</v>
      </c>
      <c r="DA107">
        <f>SUM(COUNTIF(E107,"&gt;0"),COUNTIF(K107,"&gt;0"),COUNTIF(Q107,"&gt;0"),COUNTIF(W107,"&gt;0"),COUNTIF(AC107,"&gt;0"),COUNTIF(AI107,"&gt;0"),COUNTIF(AO107,"&gt;0"),COUNTIF(AU107,"&gt;0"),COUNTIF(BA107,"&gt;0"),COUNTIF(BG107,"&gt;0"),COUNTIF(BM107,"&gt;0"),COUNTIF(BS107,"&gt;0"),COUNTIF(BY107,"&gt;0"),COUNTIF(CE107,"&gt;0"))</f>
        <v>1</v>
      </c>
    </row>
    <row r="108" spans="2:105" x14ac:dyDescent="0.3">
      <c r="B108" t="s">
        <v>479</v>
      </c>
      <c r="C108" t="s">
        <v>481</v>
      </c>
      <c r="D108" s="4">
        <f>CN108*$CN$1+CP108*$CP$1+CR108*$CR$1</f>
        <v>105.82499999999999</v>
      </c>
      <c r="E108" s="29">
        <f>IFERROR(_xlfn.XLOOKUP(B108,'w1'!$B:$B,'w1'!$C:$C),0)</f>
        <v>0</v>
      </c>
      <c r="F108" s="30">
        <f>_xlfn.RANK.EQ(E108,E$3:E$10000,0)</f>
        <v>79</v>
      </c>
      <c r="G108" s="31">
        <f>IFERROR(_xlfn.XLOOKUP(B108,'w1'!$B:$B,'w1'!$F:$F),1)</f>
        <v>1</v>
      </c>
      <c r="H108" s="30">
        <f>_xlfn.RANK.EQ(G108,G$3:G$10000,1)</f>
        <v>79</v>
      </c>
      <c r="I108" s="30">
        <f>IFERROR(IF(_xlfn.XLOOKUP(B108,'w1'!$B:$B,'w1'!$G:$G)="--",0,_xlfn.XLOOKUP(B108,'w1'!$B:$B,'w1'!$G:$G)),0)</f>
        <v>0</v>
      </c>
      <c r="J108" s="30">
        <f>_xlfn.RANK.EQ(I108,I$3:I$10000,0)</f>
        <v>77</v>
      </c>
      <c r="K108" s="34">
        <f>IFERROR(_xlfn.XLOOKUP(B108,'w2'!$B:$B,'w2'!$C:$C),0)</f>
        <v>0</v>
      </c>
      <c r="L108" s="35">
        <f>_xlfn.RANK.EQ(K108,K$3:K$10000,0)</f>
        <v>73</v>
      </c>
      <c r="M108" s="36">
        <f>IFERROR(_xlfn.XLOOKUP(B108,'w2'!$B:$B,'w2'!$F:$F),1)</f>
        <v>1</v>
      </c>
      <c r="N108" s="35">
        <f>_xlfn.RANK.EQ(M108,M$3:M$10000,1)</f>
        <v>72</v>
      </c>
      <c r="O108" s="35">
        <f>IFERROR(IF(_xlfn.XLOOKUP(B108,'w2'!$B:$B,'w2'!$G:$G)="--",0,_xlfn.XLOOKUP(B108,'w2'!$B:$B,'w2'!$G:$G)),0)</f>
        <v>0</v>
      </c>
      <c r="P108" s="35">
        <f>_xlfn.RANK.EQ(O108,O$3:O$10000,0)</f>
        <v>71</v>
      </c>
      <c r="Q108" s="39">
        <f>IFERROR(_xlfn.XLOOKUP(B108,'w3'!$B:$B,'w3'!$C:$C),0)</f>
        <v>0</v>
      </c>
      <c r="R108" s="40">
        <f>_xlfn.RANK.EQ(Q108,Q$3:Q$10000,0)</f>
        <v>84</v>
      </c>
      <c r="S108" s="41">
        <f>IFERROR(_xlfn.XLOOKUP(B108,'w3'!$B:$B,'w3'!$F:$F),1)</f>
        <v>1</v>
      </c>
      <c r="T108" s="40">
        <f>_xlfn.RANK.EQ(S108,S$3:S$10000,1)</f>
        <v>83</v>
      </c>
      <c r="U108" s="40">
        <f>IFERROR(IF(_xlfn.XLOOKUP(B108,'w3'!$B:$B,'w3'!$G:$G)="--",0,_xlfn.XLOOKUP(B108,'w3'!$B:$B,'w3'!$G:$G)),0)</f>
        <v>0</v>
      </c>
      <c r="V108" s="40">
        <f>_xlfn.RANK.EQ(U108,U$3:U$10000,0)</f>
        <v>80</v>
      </c>
      <c r="W108" s="44">
        <f>IFERROR(_xlfn.XLOOKUP(B108,'w4'!$B:$B,'w4'!$C:$C),0)</f>
        <v>0</v>
      </c>
      <c r="X108" s="45">
        <f>_xlfn.RANK.EQ(W108,W$3:W$10000,0)</f>
        <v>76</v>
      </c>
      <c r="Y108" s="46">
        <f>IFERROR(_xlfn.XLOOKUP(B108,'w4'!$B:$B,'w4'!$F:$F),1)</f>
        <v>1</v>
      </c>
      <c r="Z108" s="45">
        <f>_xlfn.RANK.EQ(Y108,Y$3:Y$10000,1)</f>
        <v>76</v>
      </c>
      <c r="AA108" s="45">
        <f>IFERROR(IF(_xlfn.XLOOKUP(B108,'w4'!$B:$B,'w4'!$G:$G)="--",0,_xlfn.XLOOKUP(B108,'w4'!$B:$B,'w4'!$G:$G)),0)</f>
        <v>0</v>
      </c>
      <c r="AB108" s="45">
        <f>_xlfn.RANK.EQ(AA108,AA$3:AA$10000,0)</f>
        <v>68</v>
      </c>
      <c r="AC108" s="13">
        <f>IFERROR(_xlfn.XLOOKUP(B108,'w5'!$B:$B,'w5'!$C:$C),0)</f>
        <v>0</v>
      </c>
      <c r="AD108" s="12">
        <f>_xlfn.RANK.EQ(AC108,AC$3:AC$10000,0)</f>
        <v>77</v>
      </c>
      <c r="AE108" s="14">
        <f>IFERROR(_xlfn.XLOOKUP(B108,'w5'!$B:$B,'w5'!$F:$F),1)</f>
        <v>1</v>
      </c>
      <c r="AF108" s="12">
        <f>_xlfn.RANK.EQ(AE108,AE$3:AE$10000,1)</f>
        <v>76</v>
      </c>
      <c r="AG108" s="12">
        <f>IFERROR(IF(_xlfn.XLOOKUP(B108,'w5'!$B:$B,'w5'!$G:$G)="--",0,_xlfn.XLOOKUP(B108,'w5'!$B:$B,'w5'!$G:$G)),0)</f>
        <v>0</v>
      </c>
      <c r="AH108" s="12">
        <f>_xlfn.RANK.EQ(AG108,AG$3:AG$10000,0)</f>
        <v>73</v>
      </c>
      <c r="AI108" s="51">
        <f>IFERROR(_xlfn.XLOOKUP(B108,'w6'!$B:$B,'w6'!$C:$C),0)</f>
        <v>0</v>
      </c>
      <c r="AJ108" s="50">
        <f>_xlfn.RANK.EQ(AI108,AI$3:AI$10000,0)</f>
        <v>65</v>
      </c>
      <c r="AK108" s="52">
        <f>IFERROR(_xlfn.XLOOKUP(B108,'w6'!$B:$B,'w6'!$F:$F),1)</f>
        <v>1</v>
      </c>
      <c r="AL108" s="50">
        <f>_xlfn.RANK.EQ(AK108,AK$3:AK$10000,1)</f>
        <v>65</v>
      </c>
      <c r="AM108" s="50">
        <f>IFERROR(IF(_xlfn.XLOOKUP(B108,'w6'!$B:$B,'w6'!$G:$G)="--",0,_xlfn.XLOOKUP(B108,'w6'!$B:$B,'w6'!$G:$G)),0)</f>
        <v>0</v>
      </c>
      <c r="AN108" s="50">
        <f>_xlfn.RANK.EQ(AM108,AM$3:AM$10000,0)</f>
        <v>61</v>
      </c>
      <c r="AO108" s="56">
        <f>IFERROR(_xlfn.XLOOKUP(B108,'w7'!$B:$B,'w7'!$C:$C),0)</f>
        <v>0</v>
      </c>
      <c r="AP108" s="57">
        <f>_xlfn.RANK.EQ(AO108,AO$3:AO$10000,0)</f>
        <v>72</v>
      </c>
      <c r="AQ108" s="58">
        <f>IFERROR(_xlfn.XLOOKUP(B108,'w7'!$B:$B,'w7'!$F:$F),1)</f>
        <v>1</v>
      </c>
      <c r="AR108" s="57">
        <f>_xlfn.RANK.EQ(AQ108,AQ$3:AQ$10000,1)</f>
        <v>72</v>
      </c>
      <c r="AS108" s="57">
        <f>IFERROR(IF(_xlfn.XLOOKUP(B108,'w7'!$B:$B,'w7'!$G:$G)="--",0,_xlfn.XLOOKUP(B108,'w7'!$B:$B,'w7'!$G:$G)),0)</f>
        <v>0</v>
      </c>
      <c r="AT108" s="57">
        <f>_xlfn.RANK.EQ(AS108,AS$3:AS$10000,0)</f>
        <v>69</v>
      </c>
      <c r="AU108" s="62">
        <f>IFERROR(_xlfn.XLOOKUP(B108,'w8'!$B:$B,'w8'!$C:$C),0)</f>
        <v>0</v>
      </c>
      <c r="AV108" s="61">
        <f>_xlfn.RANK.EQ(AU108,AU$3:AU$10000,0)</f>
        <v>73</v>
      </c>
      <c r="AW108" s="63">
        <f>IFERROR(_xlfn.XLOOKUP(B108,'w8'!$B:$B,'w8'!$F:$F),1)</f>
        <v>1</v>
      </c>
      <c r="AX108" s="61">
        <f>_xlfn.RANK.EQ(AW108,AW$3:AW$10000,1)</f>
        <v>73</v>
      </c>
      <c r="AY108" s="61">
        <f>IFERROR(IF(_xlfn.XLOOKUP(B108,'w8'!$B:$B,'w8'!$G:$G)="--",0,_xlfn.XLOOKUP(B108,'w8'!$B:$B,'w8'!$G:$G)),0)</f>
        <v>0</v>
      </c>
      <c r="AZ108" s="61">
        <f>_xlfn.RANK.EQ(AY108,AY$3:AY$10000,0)</f>
        <v>70</v>
      </c>
      <c r="BA108" s="66">
        <f>IFERROR(_xlfn.XLOOKUP(C108,'w9'!$B:$B,'w9'!$C:$C),0)</f>
        <v>0</v>
      </c>
      <c r="BB108" s="67">
        <f>_xlfn.RANK.EQ(BA108,BA$3:BA$10000,0)</f>
        <v>75</v>
      </c>
      <c r="BC108" s="68">
        <f>IFERROR(_xlfn.XLOOKUP(C108,'w9'!$B:$B,'w9'!$F:$F),1)</f>
        <v>1</v>
      </c>
      <c r="BD108" s="67">
        <f>_xlfn.RANK.EQ(BC108,BC$3:BC$10000,1)</f>
        <v>75</v>
      </c>
      <c r="BE108" s="67">
        <f>IFERROR(IF(_xlfn.XLOOKUP(C108,'w9'!$B:$B,'w9'!$G:$G)="--",0,_xlfn.XLOOKUP(C108,'w9'!$B:$B,'w9'!$G:$G)),0)</f>
        <v>0</v>
      </c>
      <c r="BF108" s="67">
        <f>_xlfn.RANK.EQ(BE108,BE$3:BE$10000,0)</f>
        <v>74</v>
      </c>
      <c r="BG108" s="72">
        <f>IFERROR(_xlfn.XLOOKUP(B108,'w10'!$B:$B,'w10'!$C:$C),0)</f>
        <v>0</v>
      </c>
      <c r="BH108" s="74">
        <f>_xlfn.RANK.EQ(BG108,BG$3:BG$10000,0)</f>
        <v>77</v>
      </c>
      <c r="BI108" s="75">
        <f>IFERROR(_xlfn.XLOOKUP(B108,'w10'!$B:$B,'w10'!$F:$F),1)</f>
        <v>1</v>
      </c>
      <c r="BJ108" s="74">
        <f>_xlfn.RANK.EQ(BI108,BI$3:BI$10000,1)</f>
        <v>76</v>
      </c>
      <c r="BK108" s="74">
        <f>IFERROR(IF(_xlfn.XLOOKUP(B108,'w10'!$B:$B,'w10'!$G:$G)="--",0,_xlfn.XLOOKUP(B108,'w10'!$B:$B,'w10'!$G:$G)),0)</f>
        <v>0</v>
      </c>
      <c r="BL108" s="74">
        <f>_xlfn.RANK.EQ(BK108,BK$3:BK$10000,0)</f>
        <v>76</v>
      </c>
      <c r="BM108" s="78">
        <f>IFERROR(_xlfn.XLOOKUP(B108,'w11'!$B:$B,'w11'!$C:$C),0)</f>
        <v>0</v>
      </c>
      <c r="BN108" s="80">
        <f>_xlfn.RANK.EQ(BM108,BM$3:BM$10000,0)</f>
        <v>76</v>
      </c>
      <c r="BO108" s="81">
        <f>IFERROR(_xlfn.XLOOKUP(B108,'w11'!$B:$B,'w11'!$F:$F),1)</f>
        <v>1</v>
      </c>
      <c r="BP108" s="80">
        <f>_xlfn.RANK.EQ(BO108,BO$3:BO$10000,1)</f>
        <v>76</v>
      </c>
      <c r="BQ108" s="80">
        <f>IFERROR(IF(_xlfn.XLOOKUP(B108,'w11'!$B:$B,'w11'!$G:$G)="--",0,_xlfn.XLOOKUP(B108,'w11'!$B:$B,'w11'!$G:$G)),0)</f>
        <v>0</v>
      </c>
      <c r="BR108" s="80">
        <f>_xlfn.RANK.EQ(BQ108,BQ$3:BQ$10000,0)</f>
        <v>75</v>
      </c>
      <c r="BS108" s="83">
        <f>IFERROR(_xlfn.XLOOKUP(B108,'w12'!$B:$B,'w12'!$C:$C),0)</f>
        <v>0</v>
      </c>
      <c r="BT108" s="86">
        <f>_xlfn.RANK.EQ(BS108,BS$3:BS$10000,0)</f>
        <v>76</v>
      </c>
      <c r="BU108" s="87">
        <f>IFERROR(_xlfn.XLOOKUP(B108,'w12'!$B:$B,'w12'!$F:$F),1)</f>
        <v>1</v>
      </c>
      <c r="BV108" s="86">
        <f>_xlfn.RANK.EQ(BU108,BU$3:BU$10000,1)</f>
        <v>76</v>
      </c>
      <c r="BW108" s="86">
        <f>IFERROR(IF(_xlfn.XLOOKUP(B108,'w12'!$B:$B,'w12'!$G:$G)="--",0,_xlfn.XLOOKUP(B108,'w12'!$B:$B,'w12'!$G:$G)),0)</f>
        <v>0</v>
      </c>
      <c r="BX108" s="86">
        <f>_xlfn.RANK.EQ(BW108,BW$3:BW$10000,0)</f>
        <v>73</v>
      </c>
      <c r="BY108" s="89">
        <f>IFERROR(_xlfn.XLOOKUP(B108,'w13'!$B:$B,'w13'!$C:$C),0)</f>
        <v>0</v>
      </c>
      <c r="BZ108" s="92">
        <f>_xlfn.RANK.EQ(BY108,BY$3:BY$10000,0)</f>
        <v>76</v>
      </c>
      <c r="CA108" s="93">
        <f>IFERROR(_xlfn.XLOOKUP(B108,'w13'!$B:$B,'w13'!$F:$F),1)</f>
        <v>1</v>
      </c>
      <c r="CB108" s="92">
        <f>_xlfn.RANK.EQ(CA108,CA$3:CA$10000,1)</f>
        <v>76</v>
      </c>
      <c r="CC108" s="92">
        <f>IFERROR(IF(_xlfn.XLOOKUP(B108,'w13'!$B:$B,'w13'!$G:$G)="--",0,_xlfn.XLOOKUP(B108,'w13'!$B:$B,'w13'!$G:$G)),0)</f>
        <v>0</v>
      </c>
      <c r="CD108" s="92">
        <f>_xlfn.RANK.EQ(CC108,CC$3:CC$10000,0)</f>
        <v>76</v>
      </c>
      <c r="CE108" s="95">
        <f>IFERROR(_xlfn.XLOOKUP(B108,'w14'!$B:$B,'w14'!$C:$C),0)</f>
        <v>5</v>
      </c>
      <c r="CF108" s="98">
        <f>_xlfn.RANK.EQ(CE108,CE$3:CE$10000,0)</f>
        <v>66</v>
      </c>
      <c r="CG108" s="99">
        <f>IFERROR(_xlfn.XLOOKUP(B108,'w14'!$B:$B,'w14'!$F:$F),1)</f>
        <v>0.62291666666666667</v>
      </c>
      <c r="CH108" s="98">
        <f>_xlfn.RANK.EQ(CG108,CG$3:CG$10000,1)</f>
        <v>67</v>
      </c>
      <c r="CI108" s="98">
        <f>IFERROR(IF(_xlfn.XLOOKUP(B108,'w14'!$B:$B,'w14'!$G:$G)="--",0,_xlfn.XLOOKUP(B108,'w14'!$B:$B,'w14'!$G:$G)),0)</f>
        <v>107</v>
      </c>
      <c r="CJ108" s="98">
        <f>_xlfn.RANK.EQ(CI108,CI$3:CI$10000,0)</f>
        <v>49</v>
      </c>
      <c r="CK108" s="9">
        <f>_xlfn.RANK.EQ(D108,D$3:D$10000,1)</f>
        <v>106</v>
      </c>
      <c r="CL108" s="26" t="s">
        <v>481</v>
      </c>
      <c r="CM108" s="8">
        <f>SUM(E108,K108,Q108,W108,AC108,AI108,AO108,AU108,BA108,BG108,BM108,BS108,BY108,CE108)</f>
        <v>5</v>
      </c>
      <c r="CN108" s="9">
        <f>_xlfn.RANK.EQ(CM108,CM$3:CM$10000)</f>
        <v>106</v>
      </c>
      <c r="CO108" s="15">
        <f>IFERROR(SUM(PRODUCT(E108,G108),PRODUCT(K108,M108),PRODUCT(Q108,S108),PRODUCT(W108,Y108),PRODUCT(AC108,AE108),PRODUCT(AI108,AK108),PRODUCT(AO108,AQ108),PRODUCT(AU108,AW108),PRODUCT(BA108,BC108),PRODUCT(BG108,BI108),PRODUCT(BM108,BO108),PRODUCT(BS108,BU108),PRODUCT(BY108,CA108),PRODUCT(CE108,CG108))/CM108,1)</f>
        <v>0.62291666666666667</v>
      </c>
      <c r="CP108" s="9">
        <f>_xlfn.RANK.EQ(CO108,CO$3:CO$10000,1)</f>
        <v>104</v>
      </c>
      <c r="CQ108" s="9">
        <f>SUM(I108,O108,U108,AA108,AG108,AM108,AS108,AY108,BE108,BK108,BQ108,BW108,CC108,CI108)</f>
        <v>107</v>
      </c>
      <c r="CR108" s="9">
        <f>_xlfn.RANK.EQ(CQ108,CQ$3:CQ$10000)</f>
        <v>101</v>
      </c>
      <c r="CS108" s="23"/>
      <c r="CT108" s="25"/>
      <c r="CU108" s="24">
        <f>_xlfn.STDEV.S(F108,L108,R108,X108,AD108,AJ108,AP108,AV108,BB108,BH108,BN108,BT108,BZ108,CF108)</f>
        <v>4.8454124672747909</v>
      </c>
      <c r="CV108" s="21">
        <f>_xlfn.RANK.EQ(CU108,CU$3:CU$10000,1)</f>
        <v>7</v>
      </c>
      <c r="CW108" s="24">
        <f>_xlfn.STDEV.S(H108,N108,T108,Z108,AF108,AL108,AR108,AX108,BD108,BJ108,BP108,BV108,CB108,CH108)</f>
        <v>4.5355736761107277</v>
      </c>
      <c r="CX108" s="21">
        <f>_xlfn.RANK.EQ(CW108,CW$3:CW$10000,1)</f>
        <v>5</v>
      </c>
      <c r="CY108" s="24">
        <f>_xlfn.STDEV.S(J108,P108,V108,AB108,AH108,AN108,AT108,AZ108,BF108,BL108,BR108,BX108,CD108,CJ108)</f>
        <v>7.8334307530377574</v>
      </c>
      <c r="CZ108" s="21">
        <f>_xlfn.RANK.EQ(CY108,CY$3:CY$10000,1)</f>
        <v>19</v>
      </c>
      <c r="DA108">
        <f>SUM(COUNTIF(E108,"&gt;0"),COUNTIF(K108,"&gt;0"),COUNTIF(Q108,"&gt;0"),COUNTIF(W108,"&gt;0"),COUNTIF(AC108,"&gt;0"),COUNTIF(AI108,"&gt;0"),COUNTIF(AO108,"&gt;0"),COUNTIF(AU108,"&gt;0"),COUNTIF(BA108,"&gt;0"),COUNTIF(BG108,"&gt;0"),COUNTIF(BM108,"&gt;0"),COUNTIF(BS108,"&gt;0"),COUNTIF(BY108,"&gt;0"),COUNTIF(CE108,"&gt;0"))</f>
        <v>1</v>
      </c>
    </row>
    <row r="109" spans="2:105" x14ac:dyDescent="0.3">
      <c r="CO109" s="15"/>
    </row>
    <row r="110" spans="2:105" x14ac:dyDescent="0.3">
      <c r="CO110" s="15"/>
    </row>
    <row r="111" spans="2:105" x14ac:dyDescent="0.3">
      <c r="CO111" s="15"/>
    </row>
    <row r="112" spans="2:105" x14ac:dyDescent="0.3">
      <c r="CO112" s="15"/>
    </row>
    <row r="113" spans="93:93" x14ac:dyDescent="0.3">
      <c r="CO113" s="15"/>
    </row>
    <row r="114" spans="93:93" x14ac:dyDescent="0.3">
      <c r="CO114" s="15"/>
    </row>
    <row r="115" spans="93:93" x14ac:dyDescent="0.3">
      <c r="CO115" s="15"/>
    </row>
    <row r="116" spans="93:93" x14ac:dyDescent="0.3">
      <c r="CO116" s="15"/>
    </row>
    <row r="117" spans="93:93" x14ac:dyDescent="0.3">
      <c r="CO117" s="15"/>
    </row>
    <row r="118" spans="93:93" x14ac:dyDescent="0.3">
      <c r="CO118" s="15"/>
    </row>
    <row r="119" spans="93:93" x14ac:dyDescent="0.3">
      <c r="CO119" s="15"/>
    </row>
    <row r="120" spans="93:93" x14ac:dyDescent="0.3">
      <c r="CO120" s="15"/>
    </row>
    <row r="121" spans="93:93" x14ac:dyDescent="0.3">
      <c r="CO121" s="15"/>
    </row>
    <row r="122" spans="93:93" x14ac:dyDescent="0.3">
      <c r="CO122" s="15"/>
    </row>
    <row r="123" spans="93:93" x14ac:dyDescent="0.3">
      <c r="CO123" s="15"/>
    </row>
    <row r="124" spans="93:93" x14ac:dyDescent="0.3">
      <c r="CO124" s="15"/>
    </row>
    <row r="125" spans="93:93" x14ac:dyDescent="0.3">
      <c r="CO125" s="15"/>
    </row>
    <row r="126" spans="93:93" x14ac:dyDescent="0.3">
      <c r="CO126" s="15"/>
    </row>
    <row r="127" spans="93:93" x14ac:dyDescent="0.3">
      <c r="CO127" s="15"/>
    </row>
    <row r="128" spans="93:93" x14ac:dyDescent="0.3">
      <c r="CO128" s="15"/>
    </row>
    <row r="129" spans="93:93" x14ac:dyDescent="0.3">
      <c r="CO129" s="15"/>
    </row>
    <row r="130" spans="93:93" x14ac:dyDescent="0.3">
      <c r="CO130" s="15"/>
    </row>
    <row r="131" spans="93:93" x14ac:dyDescent="0.3">
      <c r="CO131" s="15"/>
    </row>
    <row r="132" spans="93:93" x14ac:dyDescent="0.3">
      <c r="CO132" s="15"/>
    </row>
    <row r="133" spans="93:93" x14ac:dyDescent="0.3">
      <c r="CO133" s="15"/>
    </row>
    <row r="134" spans="93:93" x14ac:dyDescent="0.3">
      <c r="CO134" s="15"/>
    </row>
    <row r="135" spans="93:93" x14ac:dyDescent="0.3">
      <c r="CO135" s="15"/>
    </row>
    <row r="136" spans="93:93" x14ac:dyDescent="0.3">
      <c r="CO136" s="15"/>
    </row>
    <row r="137" spans="93:93" x14ac:dyDescent="0.3">
      <c r="CO137" s="15"/>
    </row>
    <row r="138" spans="93:93" x14ac:dyDescent="0.3">
      <c r="CO138" s="15"/>
    </row>
    <row r="139" spans="93:93" x14ac:dyDescent="0.3">
      <c r="CO139" s="15"/>
    </row>
    <row r="140" spans="93:93" x14ac:dyDescent="0.3">
      <c r="CO140" s="15"/>
    </row>
    <row r="141" spans="93:93" x14ac:dyDescent="0.3">
      <c r="CO141" s="15"/>
    </row>
    <row r="142" spans="93:93" x14ac:dyDescent="0.3">
      <c r="CO142" s="15"/>
    </row>
    <row r="143" spans="93:93" x14ac:dyDescent="0.3">
      <c r="CO143" s="15"/>
    </row>
    <row r="144" spans="93:93" x14ac:dyDescent="0.3">
      <c r="CO144" s="15"/>
    </row>
    <row r="145" spans="93:93" x14ac:dyDescent="0.3">
      <c r="CO145" s="15"/>
    </row>
    <row r="146" spans="93:93" x14ac:dyDescent="0.3">
      <c r="CO146" s="15"/>
    </row>
    <row r="147" spans="93:93" x14ac:dyDescent="0.3">
      <c r="CO147" s="15"/>
    </row>
    <row r="148" spans="93:93" x14ac:dyDescent="0.3">
      <c r="CO148" s="15"/>
    </row>
    <row r="149" spans="93:93" x14ac:dyDescent="0.3">
      <c r="CO149" s="15"/>
    </row>
    <row r="150" spans="93:93" x14ac:dyDescent="0.3">
      <c r="CO150" s="15"/>
    </row>
    <row r="151" spans="93:93" x14ac:dyDescent="0.3">
      <c r="CO151" s="15"/>
    </row>
    <row r="152" spans="93:93" x14ac:dyDescent="0.3">
      <c r="CO152" s="15"/>
    </row>
    <row r="153" spans="93:93" x14ac:dyDescent="0.3">
      <c r="CO153" s="15"/>
    </row>
    <row r="154" spans="93:93" x14ac:dyDescent="0.3">
      <c r="CO154" s="15"/>
    </row>
    <row r="155" spans="93:93" x14ac:dyDescent="0.3">
      <c r="CO155" s="15"/>
    </row>
    <row r="156" spans="93:93" x14ac:dyDescent="0.3">
      <c r="CO156" s="15"/>
    </row>
    <row r="157" spans="93:93" x14ac:dyDescent="0.3">
      <c r="CO157" s="15"/>
    </row>
    <row r="158" spans="93:93" x14ac:dyDescent="0.3">
      <c r="CO158" s="15"/>
    </row>
    <row r="159" spans="93:93" x14ac:dyDescent="0.3">
      <c r="CO159" s="15"/>
    </row>
    <row r="160" spans="93:93" x14ac:dyDescent="0.3">
      <c r="CO160" s="15"/>
    </row>
    <row r="161" spans="93:93" x14ac:dyDescent="0.3">
      <c r="CO161" s="15"/>
    </row>
    <row r="162" spans="93:93" x14ac:dyDescent="0.3">
      <c r="CO162" s="15"/>
    </row>
    <row r="163" spans="93:93" x14ac:dyDescent="0.3">
      <c r="CO163" s="15"/>
    </row>
    <row r="164" spans="93:93" x14ac:dyDescent="0.3">
      <c r="CO164" s="15"/>
    </row>
    <row r="165" spans="93:93" x14ac:dyDescent="0.3">
      <c r="CO165" s="15"/>
    </row>
    <row r="166" spans="93:93" x14ac:dyDescent="0.3">
      <c r="CO166" s="15"/>
    </row>
    <row r="167" spans="93:93" x14ac:dyDescent="0.3">
      <c r="CO167" s="15"/>
    </row>
    <row r="168" spans="93:93" x14ac:dyDescent="0.3">
      <c r="CO168" s="15"/>
    </row>
    <row r="169" spans="93:93" x14ac:dyDescent="0.3">
      <c r="CO169" s="15"/>
    </row>
    <row r="170" spans="93:93" x14ac:dyDescent="0.3">
      <c r="CO170" s="15"/>
    </row>
    <row r="171" spans="93:93" x14ac:dyDescent="0.3">
      <c r="CO171" s="15"/>
    </row>
    <row r="172" spans="93:93" x14ac:dyDescent="0.3">
      <c r="CO172" s="15"/>
    </row>
    <row r="173" spans="93:93" x14ac:dyDescent="0.3">
      <c r="CO173" s="15"/>
    </row>
    <row r="174" spans="93:93" x14ac:dyDescent="0.3">
      <c r="CO174" s="15"/>
    </row>
    <row r="175" spans="93:93" x14ac:dyDescent="0.3">
      <c r="CO175" s="15"/>
    </row>
    <row r="176" spans="93:93" x14ac:dyDescent="0.3">
      <c r="CO176" s="15"/>
    </row>
    <row r="177" spans="93:93" x14ac:dyDescent="0.3">
      <c r="CO177" s="15"/>
    </row>
    <row r="178" spans="93:93" x14ac:dyDescent="0.3">
      <c r="CO178" s="15"/>
    </row>
    <row r="179" spans="93:93" x14ac:dyDescent="0.3">
      <c r="CO179" s="15"/>
    </row>
    <row r="180" spans="93:93" x14ac:dyDescent="0.3">
      <c r="CO180" s="15"/>
    </row>
    <row r="181" spans="93:93" x14ac:dyDescent="0.3">
      <c r="CO181" s="15"/>
    </row>
    <row r="182" spans="93:93" x14ac:dyDescent="0.3">
      <c r="CO182" s="15"/>
    </row>
    <row r="183" spans="93:93" x14ac:dyDescent="0.3">
      <c r="CO183" s="15"/>
    </row>
    <row r="184" spans="93:93" x14ac:dyDescent="0.3">
      <c r="CO184" s="15"/>
    </row>
    <row r="185" spans="93:93" x14ac:dyDescent="0.3">
      <c r="CO185" s="15"/>
    </row>
    <row r="186" spans="93:93" x14ac:dyDescent="0.3">
      <c r="CO186" s="15"/>
    </row>
    <row r="187" spans="93:93" x14ac:dyDescent="0.3">
      <c r="CO187" s="15"/>
    </row>
    <row r="188" spans="93:93" x14ac:dyDescent="0.3">
      <c r="CO188" s="15"/>
    </row>
    <row r="189" spans="93:93" x14ac:dyDescent="0.3">
      <c r="CO189" s="15"/>
    </row>
    <row r="190" spans="93:93" x14ac:dyDescent="0.3">
      <c r="CO190" s="15"/>
    </row>
    <row r="191" spans="93:93" x14ac:dyDescent="0.3">
      <c r="CO191" s="15"/>
    </row>
    <row r="192" spans="93:93" x14ac:dyDescent="0.3">
      <c r="CO192" s="15"/>
    </row>
    <row r="193" spans="93:93" x14ac:dyDescent="0.3">
      <c r="CO193" s="15"/>
    </row>
    <row r="194" spans="93:93" x14ac:dyDescent="0.3">
      <c r="CO194" s="15"/>
    </row>
    <row r="195" spans="93:93" x14ac:dyDescent="0.3">
      <c r="CO195" s="15"/>
    </row>
    <row r="196" spans="93:93" x14ac:dyDescent="0.3">
      <c r="CO196" s="15"/>
    </row>
    <row r="197" spans="93:93" x14ac:dyDescent="0.3">
      <c r="CO197" s="15"/>
    </row>
    <row r="198" spans="93:93" x14ac:dyDescent="0.3">
      <c r="CO198" s="15"/>
    </row>
    <row r="199" spans="93:93" x14ac:dyDescent="0.3">
      <c r="CO199" s="15"/>
    </row>
    <row r="200" spans="93:93" x14ac:dyDescent="0.3">
      <c r="CO200" s="15"/>
    </row>
    <row r="201" spans="93:93" x14ac:dyDescent="0.3">
      <c r="CO201" s="15"/>
    </row>
    <row r="202" spans="93:93" x14ac:dyDescent="0.3">
      <c r="CO202" s="15"/>
    </row>
    <row r="203" spans="93:93" x14ac:dyDescent="0.3">
      <c r="CO203" s="15"/>
    </row>
    <row r="204" spans="93:93" x14ac:dyDescent="0.3">
      <c r="CO204" s="15"/>
    </row>
    <row r="205" spans="93:93" x14ac:dyDescent="0.3">
      <c r="CO205" s="15"/>
    </row>
    <row r="206" spans="93:93" x14ac:dyDescent="0.3">
      <c r="CO206" s="15"/>
    </row>
    <row r="207" spans="93:93" x14ac:dyDescent="0.3">
      <c r="CO207" s="15"/>
    </row>
    <row r="208" spans="93:93" x14ac:dyDescent="0.3">
      <c r="CO208" s="15"/>
    </row>
    <row r="209" spans="93:93" x14ac:dyDescent="0.3">
      <c r="CO209" s="15"/>
    </row>
    <row r="210" spans="93:93" x14ac:dyDescent="0.3">
      <c r="CO210" s="15"/>
    </row>
    <row r="211" spans="93:93" x14ac:dyDescent="0.3">
      <c r="CO211" s="15"/>
    </row>
    <row r="212" spans="93:93" x14ac:dyDescent="0.3">
      <c r="CO212" s="15"/>
    </row>
    <row r="213" spans="93:93" x14ac:dyDescent="0.3">
      <c r="CO213" s="15"/>
    </row>
    <row r="214" spans="93:93" x14ac:dyDescent="0.3">
      <c r="CO214" s="15"/>
    </row>
    <row r="215" spans="93:93" x14ac:dyDescent="0.3">
      <c r="CO215" s="15"/>
    </row>
    <row r="216" spans="93:93" x14ac:dyDescent="0.3">
      <c r="CO216" s="15"/>
    </row>
    <row r="217" spans="93:93" x14ac:dyDescent="0.3">
      <c r="CO217" s="15"/>
    </row>
    <row r="218" spans="93:93" x14ac:dyDescent="0.3">
      <c r="CO218" s="15"/>
    </row>
    <row r="219" spans="93:93" x14ac:dyDescent="0.3">
      <c r="CO219" s="15"/>
    </row>
    <row r="220" spans="93:93" x14ac:dyDescent="0.3">
      <c r="CO220" s="15"/>
    </row>
    <row r="221" spans="93:93" x14ac:dyDescent="0.3">
      <c r="CO221" s="15"/>
    </row>
    <row r="222" spans="93:93" x14ac:dyDescent="0.3">
      <c r="CO222" s="15"/>
    </row>
    <row r="223" spans="93:93" x14ac:dyDescent="0.3">
      <c r="CO223" s="15"/>
    </row>
    <row r="224" spans="93:93" x14ac:dyDescent="0.3">
      <c r="CO224" s="15"/>
    </row>
    <row r="225" spans="93:93" x14ac:dyDescent="0.3">
      <c r="CO225" s="15"/>
    </row>
    <row r="226" spans="93:93" x14ac:dyDescent="0.3">
      <c r="CO226" s="15"/>
    </row>
    <row r="227" spans="93:93" x14ac:dyDescent="0.3">
      <c r="CO227" s="15"/>
    </row>
    <row r="228" spans="93:93" x14ac:dyDescent="0.3">
      <c r="CO228" s="15"/>
    </row>
    <row r="229" spans="93:93" x14ac:dyDescent="0.3">
      <c r="CO229" s="15"/>
    </row>
    <row r="230" spans="93:93" x14ac:dyDescent="0.3">
      <c r="CO230" s="15"/>
    </row>
    <row r="231" spans="93:93" x14ac:dyDescent="0.3">
      <c r="CO231" s="15"/>
    </row>
    <row r="232" spans="93:93" x14ac:dyDescent="0.3">
      <c r="CO232" s="15"/>
    </row>
    <row r="233" spans="93:93" x14ac:dyDescent="0.3">
      <c r="CO233" s="15"/>
    </row>
    <row r="234" spans="93:93" x14ac:dyDescent="0.3">
      <c r="CO234" s="15"/>
    </row>
    <row r="235" spans="93:93" x14ac:dyDescent="0.3">
      <c r="CO235" s="15"/>
    </row>
    <row r="236" spans="93:93" x14ac:dyDescent="0.3">
      <c r="CO236" s="15"/>
    </row>
    <row r="237" spans="93:93" x14ac:dyDescent="0.3">
      <c r="CO237" s="15"/>
    </row>
    <row r="238" spans="93:93" x14ac:dyDescent="0.3">
      <c r="CO238" s="15"/>
    </row>
    <row r="239" spans="93:93" x14ac:dyDescent="0.3">
      <c r="CO239" s="15"/>
    </row>
    <row r="240" spans="93:93" x14ac:dyDescent="0.3">
      <c r="CO240" s="15"/>
    </row>
    <row r="241" spans="93:93" x14ac:dyDescent="0.3">
      <c r="CO241" s="15"/>
    </row>
    <row r="242" spans="93:93" x14ac:dyDescent="0.3">
      <c r="CO242" s="15"/>
    </row>
    <row r="243" spans="93:93" x14ac:dyDescent="0.3">
      <c r="CO243" s="15"/>
    </row>
    <row r="244" spans="93:93" x14ac:dyDescent="0.3">
      <c r="CO244" s="15"/>
    </row>
    <row r="245" spans="93:93" x14ac:dyDescent="0.3">
      <c r="CO245" s="15"/>
    </row>
    <row r="246" spans="93:93" x14ac:dyDescent="0.3">
      <c r="CO246" s="15"/>
    </row>
    <row r="247" spans="93:93" x14ac:dyDescent="0.3">
      <c r="CO247" s="15"/>
    </row>
    <row r="248" spans="93:93" x14ac:dyDescent="0.3">
      <c r="CO248" s="15"/>
    </row>
    <row r="249" spans="93:93" x14ac:dyDescent="0.3">
      <c r="CO249" s="15"/>
    </row>
    <row r="250" spans="93:93" x14ac:dyDescent="0.3">
      <c r="CO250" s="15"/>
    </row>
    <row r="251" spans="93:93" x14ac:dyDescent="0.3">
      <c r="CO251" s="15"/>
    </row>
    <row r="252" spans="93:93" x14ac:dyDescent="0.3">
      <c r="CO252" s="15"/>
    </row>
    <row r="253" spans="93:93" x14ac:dyDescent="0.3">
      <c r="CO253" s="15"/>
    </row>
    <row r="254" spans="93:93" x14ac:dyDescent="0.3">
      <c r="CO254" s="15"/>
    </row>
    <row r="255" spans="93:93" x14ac:dyDescent="0.3">
      <c r="CO255" s="15"/>
    </row>
    <row r="256" spans="93:93" x14ac:dyDescent="0.3">
      <c r="CO256" s="15"/>
    </row>
    <row r="257" spans="93:93" x14ac:dyDescent="0.3">
      <c r="CO257" s="15"/>
    </row>
    <row r="258" spans="93:93" x14ac:dyDescent="0.3">
      <c r="CO258" s="15"/>
    </row>
    <row r="259" spans="93:93" x14ac:dyDescent="0.3">
      <c r="CO259" s="15"/>
    </row>
    <row r="260" spans="93:93" x14ac:dyDescent="0.3">
      <c r="CO260" s="15"/>
    </row>
    <row r="261" spans="93:93" x14ac:dyDescent="0.3">
      <c r="CO261" s="15"/>
    </row>
    <row r="262" spans="93:93" x14ac:dyDescent="0.3">
      <c r="CO262" s="15"/>
    </row>
    <row r="263" spans="93:93" x14ac:dyDescent="0.3">
      <c r="CO263" s="15"/>
    </row>
    <row r="264" spans="93:93" x14ac:dyDescent="0.3">
      <c r="CO264" s="15"/>
    </row>
    <row r="265" spans="93:93" x14ac:dyDescent="0.3">
      <c r="CO265" s="15"/>
    </row>
    <row r="266" spans="93:93" x14ac:dyDescent="0.3">
      <c r="CO266" s="15"/>
    </row>
    <row r="267" spans="93:93" x14ac:dyDescent="0.3">
      <c r="CO267" s="15"/>
    </row>
    <row r="268" spans="93:93" x14ac:dyDescent="0.3">
      <c r="CO268" s="15"/>
    </row>
    <row r="269" spans="93:93" x14ac:dyDescent="0.3">
      <c r="CO269" s="15"/>
    </row>
    <row r="270" spans="93:93" x14ac:dyDescent="0.3">
      <c r="CO270" s="15"/>
    </row>
    <row r="271" spans="93:93" x14ac:dyDescent="0.3">
      <c r="CO271" s="15"/>
    </row>
    <row r="272" spans="93:93" x14ac:dyDescent="0.3">
      <c r="CO272" s="15"/>
    </row>
    <row r="273" spans="93:93" x14ac:dyDescent="0.3">
      <c r="CO273" s="15"/>
    </row>
    <row r="274" spans="93:93" x14ac:dyDescent="0.3">
      <c r="CO274" s="15"/>
    </row>
    <row r="275" spans="93:93" x14ac:dyDescent="0.3">
      <c r="CO275" s="15"/>
    </row>
    <row r="276" spans="93:93" x14ac:dyDescent="0.3">
      <c r="CO276" s="15"/>
    </row>
    <row r="277" spans="93:93" x14ac:dyDescent="0.3">
      <c r="CO277" s="15"/>
    </row>
    <row r="278" spans="93:93" x14ac:dyDescent="0.3">
      <c r="CO278" s="15"/>
    </row>
    <row r="279" spans="93:93" x14ac:dyDescent="0.3">
      <c r="CO279" s="15"/>
    </row>
    <row r="280" spans="93:93" x14ac:dyDescent="0.3">
      <c r="CO280" s="15"/>
    </row>
    <row r="281" spans="93:93" x14ac:dyDescent="0.3">
      <c r="CO281" s="15"/>
    </row>
    <row r="282" spans="93:93" x14ac:dyDescent="0.3">
      <c r="CO282" s="15"/>
    </row>
    <row r="283" spans="93:93" x14ac:dyDescent="0.3">
      <c r="CO283" s="15"/>
    </row>
    <row r="284" spans="93:93" x14ac:dyDescent="0.3">
      <c r="CO284" s="15"/>
    </row>
    <row r="285" spans="93:93" x14ac:dyDescent="0.3">
      <c r="CO285" s="15"/>
    </row>
    <row r="286" spans="93:93" x14ac:dyDescent="0.3">
      <c r="CO286" s="15"/>
    </row>
    <row r="287" spans="93:93" x14ac:dyDescent="0.3">
      <c r="CO287" s="15"/>
    </row>
    <row r="288" spans="93:93" x14ac:dyDescent="0.3">
      <c r="CO288" s="15"/>
    </row>
    <row r="289" spans="93:93" x14ac:dyDescent="0.3">
      <c r="CO289" s="15"/>
    </row>
    <row r="290" spans="93:93" x14ac:dyDescent="0.3">
      <c r="CO290" s="15"/>
    </row>
    <row r="291" spans="93:93" x14ac:dyDescent="0.3">
      <c r="CO291" s="15"/>
    </row>
    <row r="292" spans="93:93" x14ac:dyDescent="0.3">
      <c r="CO292" s="15"/>
    </row>
    <row r="293" spans="93:93" x14ac:dyDescent="0.3">
      <c r="CO293" s="15"/>
    </row>
    <row r="294" spans="93:93" x14ac:dyDescent="0.3">
      <c r="CO294" s="15"/>
    </row>
    <row r="295" spans="93:93" x14ac:dyDescent="0.3">
      <c r="CO295" s="15"/>
    </row>
    <row r="296" spans="93:93" x14ac:dyDescent="0.3">
      <c r="CO296" s="15"/>
    </row>
    <row r="297" spans="93:93" x14ac:dyDescent="0.3">
      <c r="CO297" s="15"/>
    </row>
    <row r="298" spans="93:93" x14ac:dyDescent="0.3">
      <c r="CO298" s="15"/>
    </row>
    <row r="299" spans="93:93" x14ac:dyDescent="0.3">
      <c r="CO299" s="15"/>
    </row>
    <row r="300" spans="93:93" x14ac:dyDescent="0.3">
      <c r="CO300" s="15"/>
    </row>
    <row r="301" spans="93:93" x14ac:dyDescent="0.3">
      <c r="CO301" s="15"/>
    </row>
    <row r="302" spans="93:93" x14ac:dyDescent="0.3">
      <c r="CO302" s="15"/>
    </row>
    <row r="303" spans="93:93" x14ac:dyDescent="0.3">
      <c r="CO303" s="15"/>
    </row>
    <row r="304" spans="93:93" x14ac:dyDescent="0.3">
      <c r="CO304" s="15"/>
    </row>
    <row r="305" spans="93:93" x14ac:dyDescent="0.3">
      <c r="CO305" s="15"/>
    </row>
    <row r="306" spans="93:93" x14ac:dyDescent="0.3">
      <c r="CO306" s="15"/>
    </row>
    <row r="307" spans="93:93" x14ac:dyDescent="0.3">
      <c r="CO307" s="15"/>
    </row>
    <row r="308" spans="93:93" x14ac:dyDescent="0.3">
      <c r="CO308" s="15"/>
    </row>
    <row r="309" spans="93:93" x14ac:dyDescent="0.3">
      <c r="CO309" s="15"/>
    </row>
    <row r="310" spans="93:93" x14ac:dyDescent="0.3">
      <c r="CO310" s="15"/>
    </row>
    <row r="311" spans="93:93" x14ac:dyDescent="0.3">
      <c r="CO311" s="15"/>
    </row>
    <row r="312" spans="93:93" x14ac:dyDescent="0.3">
      <c r="CO312" s="15"/>
    </row>
    <row r="313" spans="93:93" x14ac:dyDescent="0.3">
      <c r="CO313" s="15"/>
    </row>
    <row r="314" spans="93:93" x14ac:dyDescent="0.3">
      <c r="CO314" s="15"/>
    </row>
    <row r="315" spans="93:93" x14ac:dyDescent="0.3">
      <c r="CO315" s="15"/>
    </row>
    <row r="316" spans="93:93" x14ac:dyDescent="0.3">
      <c r="CO316" s="15"/>
    </row>
    <row r="317" spans="93:93" x14ac:dyDescent="0.3">
      <c r="CO317" s="15"/>
    </row>
    <row r="318" spans="93:93" x14ac:dyDescent="0.3">
      <c r="CO318" s="15"/>
    </row>
    <row r="319" spans="93:93" x14ac:dyDescent="0.3">
      <c r="CO319" s="15"/>
    </row>
    <row r="320" spans="93:93" x14ac:dyDescent="0.3">
      <c r="CO320" s="15"/>
    </row>
    <row r="321" spans="93:93" x14ac:dyDescent="0.3">
      <c r="CO321" s="15"/>
    </row>
    <row r="322" spans="93:93" x14ac:dyDescent="0.3">
      <c r="CO322" s="15"/>
    </row>
    <row r="323" spans="93:93" x14ac:dyDescent="0.3">
      <c r="CO323" s="15"/>
    </row>
    <row r="324" spans="93:93" x14ac:dyDescent="0.3">
      <c r="CO324" s="15"/>
    </row>
    <row r="325" spans="93:93" x14ac:dyDescent="0.3">
      <c r="CO325" s="15"/>
    </row>
    <row r="326" spans="93:93" x14ac:dyDescent="0.3">
      <c r="CO326" s="15"/>
    </row>
    <row r="327" spans="93:93" x14ac:dyDescent="0.3">
      <c r="CO327" s="15"/>
    </row>
    <row r="328" spans="93:93" x14ac:dyDescent="0.3">
      <c r="CO328" s="15"/>
    </row>
    <row r="329" spans="93:93" x14ac:dyDescent="0.3">
      <c r="CO329" s="15"/>
    </row>
    <row r="330" spans="93:93" x14ac:dyDescent="0.3">
      <c r="CO330" s="15"/>
    </row>
    <row r="331" spans="93:93" x14ac:dyDescent="0.3">
      <c r="CO331" s="15"/>
    </row>
    <row r="332" spans="93:93" x14ac:dyDescent="0.3">
      <c r="CO332" s="15"/>
    </row>
    <row r="333" spans="93:93" x14ac:dyDescent="0.3">
      <c r="CO333" s="15"/>
    </row>
    <row r="334" spans="93:93" x14ac:dyDescent="0.3">
      <c r="CO334" s="15"/>
    </row>
    <row r="335" spans="93:93" x14ac:dyDescent="0.3">
      <c r="CO335" s="15"/>
    </row>
    <row r="336" spans="93:93" x14ac:dyDescent="0.3">
      <c r="CO336" s="15"/>
    </row>
    <row r="337" spans="93:93" x14ac:dyDescent="0.3">
      <c r="CO337" s="15"/>
    </row>
    <row r="338" spans="93:93" x14ac:dyDescent="0.3">
      <c r="CO338" s="15"/>
    </row>
    <row r="339" spans="93:93" x14ac:dyDescent="0.3">
      <c r="CO339" s="15"/>
    </row>
    <row r="340" spans="93:93" x14ac:dyDescent="0.3">
      <c r="CO340" s="15"/>
    </row>
    <row r="341" spans="93:93" x14ac:dyDescent="0.3">
      <c r="CO341" s="15"/>
    </row>
    <row r="342" spans="93:93" x14ac:dyDescent="0.3">
      <c r="CO342" s="15"/>
    </row>
    <row r="343" spans="93:93" x14ac:dyDescent="0.3">
      <c r="CO343" s="15"/>
    </row>
    <row r="344" spans="93:93" x14ac:dyDescent="0.3">
      <c r="CO344" s="15"/>
    </row>
    <row r="345" spans="93:93" x14ac:dyDescent="0.3">
      <c r="CO345" s="15"/>
    </row>
    <row r="346" spans="93:93" x14ac:dyDescent="0.3">
      <c r="CO346" s="15"/>
    </row>
    <row r="347" spans="93:93" x14ac:dyDescent="0.3">
      <c r="CO347" s="15"/>
    </row>
    <row r="348" spans="93:93" x14ac:dyDescent="0.3">
      <c r="CO348" s="15"/>
    </row>
    <row r="349" spans="93:93" x14ac:dyDescent="0.3">
      <c r="CO349" s="15"/>
    </row>
    <row r="350" spans="93:93" x14ac:dyDescent="0.3">
      <c r="CO350" s="15"/>
    </row>
    <row r="351" spans="93:93" x14ac:dyDescent="0.3">
      <c r="CO351" s="15"/>
    </row>
    <row r="352" spans="93:93" x14ac:dyDescent="0.3">
      <c r="CO352" s="15"/>
    </row>
    <row r="353" spans="93:93" x14ac:dyDescent="0.3">
      <c r="CO353" s="15"/>
    </row>
    <row r="354" spans="93:93" x14ac:dyDescent="0.3">
      <c r="CO354" s="15"/>
    </row>
    <row r="355" spans="93:93" x14ac:dyDescent="0.3">
      <c r="CO355" s="15"/>
    </row>
    <row r="356" spans="93:93" x14ac:dyDescent="0.3">
      <c r="CO356" s="15"/>
    </row>
    <row r="357" spans="93:93" x14ac:dyDescent="0.3">
      <c r="CO357" s="15"/>
    </row>
    <row r="358" spans="93:93" x14ac:dyDescent="0.3">
      <c r="CO358" s="15"/>
    </row>
    <row r="359" spans="93:93" x14ac:dyDescent="0.3">
      <c r="CO359" s="15"/>
    </row>
    <row r="360" spans="93:93" x14ac:dyDescent="0.3">
      <c r="CO360" s="15"/>
    </row>
    <row r="361" spans="93:93" x14ac:dyDescent="0.3">
      <c r="CO361" s="15"/>
    </row>
    <row r="362" spans="93:93" x14ac:dyDescent="0.3">
      <c r="CO362" s="15"/>
    </row>
    <row r="363" spans="93:93" x14ac:dyDescent="0.3">
      <c r="CO363" s="15"/>
    </row>
    <row r="364" spans="93:93" x14ac:dyDescent="0.3">
      <c r="CO364" s="15"/>
    </row>
    <row r="365" spans="93:93" x14ac:dyDescent="0.3">
      <c r="CO365" s="15"/>
    </row>
    <row r="366" spans="93:93" x14ac:dyDescent="0.3">
      <c r="CO366" s="15"/>
    </row>
    <row r="367" spans="93:93" x14ac:dyDescent="0.3">
      <c r="CO367" s="15"/>
    </row>
    <row r="368" spans="93:93" x14ac:dyDescent="0.3">
      <c r="CO368" s="15"/>
    </row>
    <row r="369" spans="93:93" x14ac:dyDescent="0.3">
      <c r="CO369" s="15"/>
    </row>
    <row r="370" spans="93:93" x14ac:dyDescent="0.3">
      <c r="CO370" s="15"/>
    </row>
    <row r="371" spans="93:93" x14ac:dyDescent="0.3">
      <c r="CO371" s="15"/>
    </row>
    <row r="372" spans="93:93" x14ac:dyDescent="0.3">
      <c r="CO372" s="15"/>
    </row>
    <row r="373" spans="93:93" x14ac:dyDescent="0.3">
      <c r="CO373" s="15"/>
    </row>
    <row r="374" spans="93:93" x14ac:dyDescent="0.3">
      <c r="CO374" s="15"/>
    </row>
    <row r="375" spans="93:93" x14ac:dyDescent="0.3">
      <c r="CO375" s="15"/>
    </row>
    <row r="376" spans="93:93" x14ac:dyDescent="0.3">
      <c r="CO376" s="15"/>
    </row>
    <row r="377" spans="93:93" x14ac:dyDescent="0.3">
      <c r="CO377" s="15"/>
    </row>
    <row r="378" spans="93:93" x14ac:dyDescent="0.3">
      <c r="CO378" s="15"/>
    </row>
    <row r="379" spans="93:93" x14ac:dyDescent="0.3">
      <c r="CO379" s="15"/>
    </row>
    <row r="380" spans="93:93" x14ac:dyDescent="0.3">
      <c r="CO380" s="15"/>
    </row>
    <row r="381" spans="93:93" x14ac:dyDescent="0.3">
      <c r="CO381" s="15"/>
    </row>
    <row r="382" spans="93:93" x14ac:dyDescent="0.3">
      <c r="CO382" s="15"/>
    </row>
    <row r="383" spans="93:93" x14ac:dyDescent="0.3">
      <c r="CO383" s="15"/>
    </row>
    <row r="384" spans="93:93" x14ac:dyDescent="0.3">
      <c r="CO384" s="15"/>
    </row>
    <row r="385" spans="93:93" x14ac:dyDescent="0.3">
      <c r="CO385" s="15"/>
    </row>
    <row r="386" spans="93:93" x14ac:dyDescent="0.3">
      <c r="CO386" s="15"/>
    </row>
    <row r="387" spans="93:93" x14ac:dyDescent="0.3">
      <c r="CO387" s="15"/>
    </row>
    <row r="388" spans="93:93" x14ac:dyDescent="0.3">
      <c r="CO388" s="15"/>
    </row>
    <row r="389" spans="93:93" x14ac:dyDescent="0.3">
      <c r="CO389" s="15"/>
    </row>
    <row r="390" spans="93:93" x14ac:dyDescent="0.3">
      <c r="CO390" s="15"/>
    </row>
    <row r="391" spans="93:93" x14ac:dyDescent="0.3">
      <c r="CO391" s="15"/>
    </row>
    <row r="392" spans="93:93" x14ac:dyDescent="0.3">
      <c r="CO392" s="15"/>
    </row>
    <row r="393" spans="93:93" x14ac:dyDescent="0.3">
      <c r="CO393" s="15"/>
    </row>
    <row r="394" spans="93:93" x14ac:dyDescent="0.3">
      <c r="CO394" s="15"/>
    </row>
    <row r="395" spans="93:93" x14ac:dyDescent="0.3">
      <c r="CO395" s="15"/>
    </row>
    <row r="396" spans="93:93" x14ac:dyDescent="0.3">
      <c r="CO396" s="15"/>
    </row>
    <row r="397" spans="93:93" x14ac:dyDescent="0.3">
      <c r="CO397" s="15"/>
    </row>
    <row r="398" spans="93:93" x14ac:dyDescent="0.3">
      <c r="CO398" s="15"/>
    </row>
    <row r="399" spans="93:93" x14ac:dyDescent="0.3">
      <c r="CO399" s="15"/>
    </row>
    <row r="400" spans="93:93" x14ac:dyDescent="0.3">
      <c r="CO400" s="15"/>
    </row>
    <row r="401" spans="93:93" x14ac:dyDescent="0.3">
      <c r="CO401" s="15"/>
    </row>
    <row r="402" spans="93:93" x14ac:dyDescent="0.3">
      <c r="CO402" s="15"/>
    </row>
    <row r="403" spans="93:93" x14ac:dyDescent="0.3">
      <c r="CO403" s="15"/>
    </row>
    <row r="404" spans="93:93" x14ac:dyDescent="0.3">
      <c r="CO404" s="15"/>
    </row>
    <row r="405" spans="93:93" x14ac:dyDescent="0.3">
      <c r="CO405" s="15"/>
    </row>
    <row r="406" spans="93:93" x14ac:dyDescent="0.3">
      <c r="CO406" s="15"/>
    </row>
    <row r="407" spans="93:93" x14ac:dyDescent="0.3">
      <c r="CO407" s="15"/>
    </row>
    <row r="408" spans="93:93" x14ac:dyDescent="0.3">
      <c r="CO408" s="15"/>
    </row>
    <row r="409" spans="93:93" x14ac:dyDescent="0.3">
      <c r="CO409" s="15"/>
    </row>
    <row r="410" spans="93:93" x14ac:dyDescent="0.3">
      <c r="CO410" s="15"/>
    </row>
    <row r="411" spans="93:93" x14ac:dyDescent="0.3">
      <c r="CO411" s="15"/>
    </row>
    <row r="412" spans="93:93" x14ac:dyDescent="0.3">
      <c r="CO412" s="15"/>
    </row>
    <row r="413" spans="93:93" x14ac:dyDescent="0.3">
      <c r="CO413" s="15"/>
    </row>
    <row r="414" spans="93:93" x14ac:dyDescent="0.3">
      <c r="CO414" s="15"/>
    </row>
    <row r="415" spans="93:93" x14ac:dyDescent="0.3">
      <c r="CO415" s="15"/>
    </row>
    <row r="416" spans="93:93" x14ac:dyDescent="0.3">
      <c r="CO416" s="15"/>
    </row>
    <row r="417" spans="93:93" x14ac:dyDescent="0.3">
      <c r="CO417" s="15"/>
    </row>
    <row r="418" spans="93:93" x14ac:dyDescent="0.3">
      <c r="CO418" s="15"/>
    </row>
    <row r="419" spans="93:93" x14ac:dyDescent="0.3">
      <c r="CO419" s="15"/>
    </row>
    <row r="420" spans="93:93" x14ac:dyDescent="0.3">
      <c r="CO420" s="15"/>
    </row>
    <row r="421" spans="93:93" x14ac:dyDescent="0.3">
      <c r="CO421" s="15"/>
    </row>
    <row r="422" spans="93:93" x14ac:dyDescent="0.3">
      <c r="CO422" s="15"/>
    </row>
    <row r="423" spans="93:93" x14ac:dyDescent="0.3">
      <c r="CO423" s="15"/>
    </row>
    <row r="424" spans="93:93" x14ac:dyDescent="0.3">
      <c r="CO424" s="15"/>
    </row>
    <row r="425" spans="93:93" x14ac:dyDescent="0.3">
      <c r="CO425" s="15"/>
    </row>
    <row r="426" spans="93:93" x14ac:dyDescent="0.3">
      <c r="CO426" s="15"/>
    </row>
    <row r="427" spans="93:93" x14ac:dyDescent="0.3">
      <c r="CO427" s="15"/>
    </row>
    <row r="428" spans="93:93" x14ac:dyDescent="0.3">
      <c r="CO428" s="15"/>
    </row>
    <row r="429" spans="93:93" x14ac:dyDescent="0.3">
      <c r="CO429" s="15"/>
    </row>
    <row r="430" spans="93:93" x14ac:dyDescent="0.3">
      <c r="CO430" s="15"/>
    </row>
    <row r="431" spans="93:93" x14ac:dyDescent="0.3">
      <c r="CO431" s="15"/>
    </row>
    <row r="432" spans="93:93" x14ac:dyDescent="0.3">
      <c r="CO432" s="15"/>
    </row>
    <row r="433" spans="93:93" x14ac:dyDescent="0.3">
      <c r="CO433" s="15"/>
    </row>
    <row r="434" spans="93:93" x14ac:dyDescent="0.3">
      <c r="CO434" s="15"/>
    </row>
    <row r="435" spans="93:93" x14ac:dyDescent="0.3">
      <c r="CO435" s="15"/>
    </row>
    <row r="436" spans="93:93" x14ac:dyDescent="0.3">
      <c r="CO436" s="15"/>
    </row>
    <row r="437" spans="93:93" x14ac:dyDescent="0.3">
      <c r="CO437" s="15"/>
    </row>
    <row r="438" spans="93:93" x14ac:dyDescent="0.3">
      <c r="CO438" s="15"/>
    </row>
    <row r="439" spans="93:93" x14ac:dyDescent="0.3">
      <c r="CO439" s="15"/>
    </row>
    <row r="440" spans="93:93" x14ac:dyDescent="0.3">
      <c r="CO440" s="15"/>
    </row>
    <row r="441" spans="93:93" x14ac:dyDescent="0.3">
      <c r="CO441" s="15"/>
    </row>
    <row r="442" spans="93:93" x14ac:dyDescent="0.3">
      <c r="CO442" s="15"/>
    </row>
    <row r="443" spans="93:93" x14ac:dyDescent="0.3">
      <c r="CO443" s="15"/>
    </row>
    <row r="444" spans="93:93" x14ac:dyDescent="0.3">
      <c r="CO444" s="15"/>
    </row>
    <row r="445" spans="93:93" x14ac:dyDescent="0.3">
      <c r="CO445" s="15"/>
    </row>
    <row r="446" spans="93:93" x14ac:dyDescent="0.3">
      <c r="CO446" s="15"/>
    </row>
    <row r="447" spans="93:93" x14ac:dyDescent="0.3">
      <c r="CO447" s="15"/>
    </row>
    <row r="448" spans="93:93" x14ac:dyDescent="0.3">
      <c r="CO448" s="15"/>
    </row>
    <row r="449" spans="93:93" x14ac:dyDescent="0.3">
      <c r="CO449" s="15"/>
    </row>
    <row r="450" spans="93:93" x14ac:dyDescent="0.3">
      <c r="CO450" s="15"/>
    </row>
    <row r="451" spans="93:93" x14ac:dyDescent="0.3">
      <c r="CO451" s="15"/>
    </row>
    <row r="452" spans="93:93" x14ac:dyDescent="0.3">
      <c r="CO452" s="15"/>
    </row>
    <row r="453" spans="93:93" x14ac:dyDescent="0.3">
      <c r="CO453" s="15"/>
    </row>
    <row r="454" spans="93:93" x14ac:dyDescent="0.3">
      <c r="CO454" s="15"/>
    </row>
    <row r="455" spans="93:93" x14ac:dyDescent="0.3">
      <c r="CO455" s="15"/>
    </row>
    <row r="456" spans="93:93" x14ac:dyDescent="0.3">
      <c r="CO456" s="15"/>
    </row>
    <row r="457" spans="93:93" x14ac:dyDescent="0.3">
      <c r="CO457" s="15"/>
    </row>
    <row r="458" spans="93:93" x14ac:dyDescent="0.3">
      <c r="CO458" s="15"/>
    </row>
    <row r="459" spans="93:93" x14ac:dyDescent="0.3">
      <c r="CO459" s="15"/>
    </row>
    <row r="460" spans="93:93" x14ac:dyDescent="0.3">
      <c r="CO460" s="15"/>
    </row>
    <row r="461" spans="93:93" x14ac:dyDescent="0.3">
      <c r="CO461" s="15"/>
    </row>
    <row r="462" spans="93:93" x14ac:dyDescent="0.3">
      <c r="CO462" s="15"/>
    </row>
    <row r="463" spans="93:93" x14ac:dyDescent="0.3">
      <c r="CO463" s="15"/>
    </row>
    <row r="464" spans="93:93" x14ac:dyDescent="0.3">
      <c r="CO464" s="15"/>
    </row>
    <row r="465" spans="93:93" x14ac:dyDescent="0.3">
      <c r="CO465" s="15"/>
    </row>
    <row r="466" spans="93:93" x14ac:dyDescent="0.3">
      <c r="CO466" s="15"/>
    </row>
    <row r="467" spans="93:93" x14ac:dyDescent="0.3">
      <c r="CO467" s="15"/>
    </row>
    <row r="468" spans="93:93" x14ac:dyDescent="0.3">
      <c r="CO468" s="15"/>
    </row>
    <row r="469" spans="93:93" x14ac:dyDescent="0.3">
      <c r="CO469" s="15"/>
    </row>
    <row r="470" spans="93:93" x14ac:dyDescent="0.3">
      <c r="CO470" s="15"/>
    </row>
    <row r="471" spans="93:93" x14ac:dyDescent="0.3">
      <c r="CO471" s="15"/>
    </row>
    <row r="472" spans="93:93" x14ac:dyDescent="0.3">
      <c r="CO472" s="15"/>
    </row>
    <row r="473" spans="93:93" x14ac:dyDescent="0.3">
      <c r="CO473" s="15"/>
    </row>
    <row r="474" spans="93:93" x14ac:dyDescent="0.3">
      <c r="CO474" s="15"/>
    </row>
    <row r="475" spans="93:93" x14ac:dyDescent="0.3">
      <c r="CO475" s="15"/>
    </row>
    <row r="476" spans="93:93" x14ac:dyDescent="0.3">
      <c r="CO476" s="15"/>
    </row>
    <row r="477" spans="93:93" x14ac:dyDescent="0.3">
      <c r="CO477" s="15"/>
    </row>
    <row r="478" spans="93:93" x14ac:dyDescent="0.3">
      <c r="CO478" s="15"/>
    </row>
    <row r="479" spans="93:93" x14ac:dyDescent="0.3">
      <c r="CO479" s="15"/>
    </row>
    <row r="480" spans="93:93" x14ac:dyDescent="0.3">
      <c r="CO480" s="15"/>
    </row>
    <row r="481" spans="93:93" x14ac:dyDescent="0.3">
      <c r="CO481" s="15"/>
    </row>
    <row r="482" spans="93:93" x14ac:dyDescent="0.3">
      <c r="CO482" s="15"/>
    </row>
    <row r="483" spans="93:93" x14ac:dyDescent="0.3">
      <c r="CO483" s="15"/>
    </row>
    <row r="484" spans="93:93" x14ac:dyDescent="0.3">
      <c r="CO484" s="15"/>
    </row>
    <row r="485" spans="93:93" x14ac:dyDescent="0.3">
      <c r="CO485" s="15"/>
    </row>
    <row r="486" spans="93:93" x14ac:dyDescent="0.3">
      <c r="CO486" s="15"/>
    </row>
    <row r="487" spans="93:93" x14ac:dyDescent="0.3">
      <c r="CO487" s="15"/>
    </row>
    <row r="488" spans="93:93" x14ac:dyDescent="0.3">
      <c r="CO488" s="15"/>
    </row>
    <row r="489" spans="93:93" x14ac:dyDescent="0.3">
      <c r="CO489" s="15"/>
    </row>
    <row r="490" spans="93:93" x14ac:dyDescent="0.3">
      <c r="CO490" s="15"/>
    </row>
    <row r="491" spans="93:93" x14ac:dyDescent="0.3">
      <c r="CO491" s="15"/>
    </row>
    <row r="492" spans="93:93" x14ac:dyDescent="0.3">
      <c r="CO492" s="15"/>
    </row>
    <row r="493" spans="93:93" x14ac:dyDescent="0.3">
      <c r="CO493" s="15"/>
    </row>
    <row r="494" spans="93:93" x14ac:dyDescent="0.3">
      <c r="CO494" s="15"/>
    </row>
    <row r="495" spans="93:93" x14ac:dyDescent="0.3">
      <c r="CO495" s="15"/>
    </row>
    <row r="496" spans="93:93" x14ac:dyDescent="0.3">
      <c r="CO496" s="15"/>
    </row>
    <row r="497" spans="93:93" x14ac:dyDescent="0.3">
      <c r="CO497" s="15"/>
    </row>
    <row r="498" spans="93:93" x14ac:dyDescent="0.3">
      <c r="CO498" s="15"/>
    </row>
    <row r="499" spans="93:93" x14ac:dyDescent="0.3">
      <c r="CO499" s="15"/>
    </row>
    <row r="500" spans="93:93" x14ac:dyDescent="0.3">
      <c r="CO500" s="15"/>
    </row>
    <row r="501" spans="93:93" x14ac:dyDescent="0.3">
      <c r="CO501" s="15"/>
    </row>
    <row r="502" spans="93:93" x14ac:dyDescent="0.3">
      <c r="CO502" s="15"/>
    </row>
    <row r="503" spans="93:93" x14ac:dyDescent="0.3">
      <c r="CO503" s="15"/>
    </row>
    <row r="504" spans="93:93" x14ac:dyDescent="0.3">
      <c r="CO504" s="15"/>
    </row>
    <row r="505" spans="93:93" x14ac:dyDescent="0.3">
      <c r="CO505" s="15"/>
    </row>
    <row r="506" spans="93:93" x14ac:dyDescent="0.3">
      <c r="CO506" s="15"/>
    </row>
    <row r="507" spans="93:93" x14ac:dyDescent="0.3">
      <c r="CO507" s="15"/>
    </row>
    <row r="508" spans="93:93" x14ac:dyDescent="0.3">
      <c r="CO508" s="15"/>
    </row>
    <row r="509" spans="93:93" x14ac:dyDescent="0.3">
      <c r="CO509" s="15"/>
    </row>
    <row r="510" spans="93:93" x14ac:dyDescent="0.3">
      <c r="CO510" s="15"/>
    </row>
    <row r="511" spans="93:93" x14ac:dyDescent="0.3">
      <c r="CO511" s="15"/>
    </row>
    <row r="512" spans="93:93" x14ac:dyDescent="0.3">
      <c r="CO512" s="15"/>
    </row>
    <row r="513" spans="93:93" x14ac:dyDescent="0.3">
      <c r="CO513" s="15"/>
    </row>
    <row r="514" spans="93:93" x14ac:dyDescent="0.3">
      <c r="CO514" s="15"/>
    </row>
    <row r="515" spans="93:93" x14ac:dyDescent="0.3">
      <c r="CO515" s="15"/>
    </row>
    <row r="516" spans="93:93" x14ac:dyDescent="0.3">
      <c r="CO516" s="15"/>
    </row>
    <row r="517" spans="93:93" x14ac:dyDescent="0.3">
      <c r="CO517" s="15"/>
    </row>
    <row r="518" spans="93:93" x14ac:dyDescent="0.3">
      <c r="CO518" s="15"/>
    </row>
    <row r="519" spans="93:93" x14ac:dyDescent="0.3">
      <c r="CO519" s="15"/>
    </row>
    <row r="520" spans="93:93" x14ac:dyDescent="0.3">
      <c r="CO520" s="15"/>
    </row>
    <row r="521" spans="93:93" x14ac:dyDescent="0.3">
      <c r="CO521" s="15"/>
    </row>
    <row r="522" spans="93:93" x14ac:dyDescent="0.3">
      <c r="CO522" s="15"/>
    </row>
    <row r="523" spans="93:93" x14ac:dyDescent="0.3">
      <c r="CO523" s="15"/>
    </row>
    <row r="524" spans="93:93" x14ac:dyDescent="0.3">
      <c r="CO524" s="15"/>
    </row>
    <row r="525" spans="93:93" x14ac:dyDescent="0.3">
      <c r="CO525" s="15"/>
    </row>
    <row r="526" spans="93:93" x14ac:dyDescent="0.3">
      <c r="CO526" s="15"/>
    </row>
    <row r="527" spans="93:93" x14ac:dyDescent="0.3">
      <c r="CO527" s="15"/>
    </row>
    <row r="528" spans="93:93" x14ac:dyDescent="0.3">
      <c r="CO528" s="15"/>
    </row>
    <row r="529" spans="93:93" x14ac:dyDescent="0.3">
      <c r="CO529" s="15"/>
    </row>
    <row r="530" spans="93:93" x14ac:dyDescent="0.3">
      <c r="CO530" s="15"/>
    </row>
    <row r="531" spans="93:93" x14ac:dyDescent="0.3">
      <c r="CO531" s="15"/>
    </row>
    <row r="532" spans="93:93" x14ac:dyDescent="0.3">
      <c r="CO532" s="15"/>
    </row>
    <row r="533" spans="93:93" x14ac:dyDescent="0.3">
      <c r="CO533" s="15"/>
    </row>
    <row r="534" spans="93:93" x14ac:dyDescent="0.3">
      <c r="CO534" s="15"/>
    </row>
    <row r="535" spans="93:93" x14ac:dyDescent="0.3">
      <c r="CO535" s="15"/>
    </row>
    <row r="536" spans="93:93" x14ac:dyDescent="0.3">
      <c r="CO536" s="15"/>
    </row>
    <row r="537" spans="93:93" x14ac:dyDescent="0.3">
      <c r="CO537" s="15"/>
    </row>
    <row r="538" spans="93:93" x14ac:dyDescent="0.3">
      <c r="CO538" s="15"/>
    </row>
    <row r="539" spans="93:93" x14ac:dyDescent="0.3">
      <c r="CO539" s="15"/>
    </row>
    <row r="540" spans="93:93" x14ac:dyDescent="0.3">
      <c r="CO540" s="15"/>
    </row>
    <row r="541" spans="93:93" x14ac:dyDescent="0.3">
      <c r="CO541" s="15"/>
    </row>
    <row r="542" spans="93:93" x14ac:dyDescent="0.3">
      <c r="CO542" s="15"/>
    </row>
    <row r="543" spans="93:93" x14ac:dyDescent="0.3">
      <c r="CO543" s="15"/>
    </row>
    <row r="544" spans="93:93" x14ac:dyDescent="0.3">
      <c r="CO544" s="15"/>
    </row>
    <row r="545" spans="93:93" x14ac:dyDescent="0.3">
      <c r="CO545" s="15"/>
    </row>
    <row r="546" spans="93:93" x14ac:dyDescent="0.3">
      <c r="CO546" s="15"/>
    </row>
    <row r="547" spans="93:93" x14ac:dyDescent="0.3">
      <c r="CO547" s="15"/>
    </row>
    <row r="548" spans="93:93" x14ac:dyDescent="0.3">
      <c r="CO548" s="15"/>
    </row>
    <row r="549" spans="93:93" x14ac:dyDescent="0.3">
      <c r="CO549" s="15"/>
    </row>
    <row r="550" spans="93:93" x14ac:dyDescent="0.3">
      <c r="CO550" s="15"/>
    </row>
    <row r="551" spans="93:93" x14ac:dyDescent="0.3">
      <c r="CO551" s="15"/>
    </row>
    <row r="552" spans="93:93" x14ac:dyDescent="0.3">
      <c r="CO552" s="15"/>
    </row>
    <row r="553" spans="93:93" x14ac:dyDescent="0.3">
      <c r="CO553" s="15"/>
    </row>
    <row r="554" spans="93:93" x14ac:dyDescent="0.3">
      <c r="CO554" s="15"/>
    </row>
    <row r="555" spans="93:93" x14ac:dyDescent="0.3">
      <c r="CO555" s="15"/>
    </row>
    <row r="556" spans="93:93" x14ac:dyDescent="0.3">
      <c r="CO556" s="15"/>
    </row>
    <row r="557" spans="93:93" x14ac:dyDescent="0.3">
      <c r="CO557" s="15"/>
    </row>
    <row r="558" spans="93:93" x14ac:dyDescent="0.3">
      <c r="CO558" s="15"/>
    </row>
    <row r="559" spans="93:93" x14ac:dyDescent="0.3">
      <c r="CO559" s="15"/>
    </row>
    <row r="560" spans="93:93" x14ac:dyDescent="0.3">
      <c r="CO560" s="15"/>
    </row>
    <row r="561" spans="93:93" x14ac:dyDescent="0.3">
      <c r="CO561" s="15"/>
    </row>
    <row r="562" spans="93:93" x14ac:dyDescent="0.3">
      <c r="CO562" s="15"/>
    </row>
    <row r="563" spans="93:93" x14ac:dyDescent="0.3">
      <c r="CO563" s="15"/>
    </row>
    <row r="564" spans="93:93" x14ac:dyDescent="0.3">
      <c r="CO564" s="15"/>
    </row>
    <row r="565" spans="93:93" x14ac:dyDescent="0.3">
      <c r="CO565" s="15"/>
    </row>
    <row r="566" spans="93:93" x14ac:dyDescent="0.3">
      <c r="CO566" s="15"/>
    </row>
    <row r="567" spans="93:93" x14ac:dyDescent="0.3">
      <c r="CO567" s="15"/>
    </row>
    <row r="568" spans="93:93" x14ac:dyDescent="0.3">
      <c r="CO568" s="15"/>
    </row>
    <row r="569" spans="93:93" x14ac:dyDescent="0.3">
      <c r="CO569" s="15"/>
    </row>
    <row r="570" spans="93:93" x14ac:dyDescent="0.3">
      <c r="CO570" s="15"/>
    </row>
    <row r="571" spans="93:93" x14ac:dyDescent="0.3">
      <c r="CO571" s="15"/>
    </row>
    <row r="572" spans="93:93" x14ac:dyDescent="0.3">
      <c r="CO572" s="15"/>
    </row>
    <row r="573" spans="93:93" x14ac:dyDescent="0.3">
      <c r="CO573" s="15"/>
    </row>
    <row r="574" spans="93:93" x14ac:dyDescent="0.3">
      <c r="CO574" s="15"/>
    </row>
    <row r="575" spans="93:93" x14ac:dyDescent="0.3">
      <c r="CO575" s="15"/>
    </row>
    <row r="576" spans="93:93" x14ac:dyDescent="0.3">
      <c r="CO576" s="15"/>
    </row>
    <row r="577" spans="93:93" x14ac:dyDescent="0.3">
      <c r="CO577" s="15"/>
    </row>
    <row r="578" spans="93:93" x14ac:dyDescent="0.3">
      <c r="CO578" s="15"/>
    </row>
    <row r="579" spans="93:93" x14ac:dyDescent="0.3">
      <c r="CO579" s="15"/>
    </row>
    <row r="580" spans="93:93" x14ac:dyDescent="0.3">
      <c r="CO580" s="15"/>
    </row>
    <row r="581" spans="93:93" x14ac:dyDescent="0.3">
      <c r="CO581" s="15"/>
    </row>
    <row r="582" spans="93:93" x14ac:dyDescent="0.3">
      <c r="CO582" s="15"/>
    </row>
    <row r="583" spans="93:93" x14ac:dyDescent="0.3">
      <c r="CO583" s="15"/>
    </row>
    <row r="584" spans="93:93" x14ac:dyDescent="0.3">
      <c r="CO584" s="15"/>
    </row>
    <row r="585" spans="93:93" x14ac:dyDescent="0.3">
      <c r="CO585" s="15"/>
    </row>
    <row r="586" spans="93:93" x14ac:dyDescent="0.3">
      <c r="CO586" s="15"/>
    </row>
    <row r="587" spans="93:93" x14ac:dyDescent="0.3">
      <c r="CO587" s="15"/>
    </row>
    <row r="588" spans="93:93" x14ac:dyDescent="0.3">
      <c r="CO588" s="15"/>
    </row>
    <row r="589" spans="93:93" x14ac:dyDescent="0.3">
      <c r="CO589" s="15"/>
    </row>
    <row r="590" spans="93:93" x14ac:dyDescent="0.3">
      <c r="CO590" s="15"/>
    </row>
    <row r="591" spans="93:93" x14ac:dyDescent="0.3">
      <c r="CO591" s="15"/>
    </row>
    <row r="592" spans="93:93" x14ac:dyDescent="0.3">
      <c r="CO592" s="15"/>
    </row>
    <row r="593" spans="93:93" x14ac:dyDescent="0.3">
      <c r="CO593" s="15"/>
    </row>
    <row r="594" spans="93:93" x14ac:dyDescent="0.3">
      <c r="CO594" s="15"/>
    </row>
    <row r="595" spans="93:93" x14ac:dyDescent="0.3">
      <c r="CO595" s="15"/>
    </row>
    <row r="596" spans="93:93" x14ac:dyDescent="0.3">
      <c r="CO596" s="15"/>
    </row>
    <row r="597" spans="93:93" x14ac:dyDescent="0.3">
      <c r="CO597" s="15"/>
    </row>
    <row r="598" spans="93:93" x14ac:dyDescent="0.3">
      <c r="CO598" s="15"/>
    </row>
    <row r="599" spans="93:93" x14ac:dyDescent="0.3">
      <c r="CO599" s="15"/>
    </row>
    <row r="600" spans="93:93" x14ac:dyDescent="0.3">
      <c r="CO600" s="15"/>
    </row>
    <row r="601" spans="93:93" x14ac:dyDescent="0.3">
      <c r="CO601" s="15"/>
    </row>
    <row r="602" spans="93:93" x14ac:dyDescent="0.3">
      <c r="CO602" s="15"/>
    </row>
    <row r="603" spans="93:93" x14ac:dyDescent="0.3">
      <c r="CO603" s="15"/>
    </row>
    <row r="604" spans="93:93" x14ac:dyDescent="0.3">
      <c r="CO604" s="15"/>
    </row>
    <row r="605" spans="93:93" x14ac:dyDescent="0.3">
      <c r="CO605" s="15"/>
    </row>
    <row r="606" spans="93:93" x14ac:dyDescent="0.3">
      <c r="CO606" s="15"/>
    </row>
    <row r="607" spans="93:93" x14ac:dyDescent="0.3">
      <c r="CO607" s="15"/>
    </row>
    <row r="608" spans="93:93" x14ac:dyDescent="0.3">
      <c r="CO608" s="15"/>
    </row>
    <row r="609" spans="93:93" x14ac:dyDescent="0.3">
      <c r="CO609" s="15"/>
    </row>
    <row r="610" spans="93:93" x14ac:dyDescent="0.3">
      <c r="CO610" s="15"/>
    </row>
    <row r="611" spans="93:93" x14ac:dyDescent="0.3">
      <c r="CO611" s="15"/>
    </row>
    <row r="612" spans="93:93" x14ac:dyDescent="0.3">
      <c r="CO612" s="15"/>
    </row>
    <row r="613" spans="93:93" x14ac:dyDescent="0.3">
      <c r="CO613" s="15"/>
    </row>
    <row r="614" spans="93:93" x14ac:dyDescent="0.3">
      <c r="CO614" s="15"/>
    </row>
    <row r="615" spans="93:93" x14ac:dyDescent="0.3">
      <c r="CO615" s="15"/>
    </row>
    <row r="616" spans="93:93" x14ac:dyDescent="0.3">
      <c r="CO616" s="15"/>
    </row>
    <row r="617" spans="93:93" x14ac:dyDescent="0.3">
      <c r="CO617" s="15"/>
    </row>
    <row r="618" spans="93:93" x14ac:dyDescent="0.3">
      <c r="CO618" s="15"/>
    </row>
    <row r="619" spans="93:93" x14ac:dyDescent="0.3">
      <c r="CO619" s="15"/>
    </row>
    <row r="620" spans="93:93" x14ac:dyDescent="0.3">
      <c r="CO620" s="15"/>
    </row>
    <row r="621" spans="93:93" x14ac:dyDescent="0.3">
      <c r="CO621" s="15"/>
    </row>
    <row r="622" spans="93:93" x14ac:dyDescent="0.3">
      <c r="CO622" s="15"/>
    </row>
    <row r="623" spans="93:93" x14ac:dyDescent="0.3">
      <c r="CO623" s="15"/>
    </row>
    <row r="624" spans="93:93" x14ac:dyDescent="0.3">
      <c r="CO624" s="15"/>
    </row>
    <row r="625" spans="93:93" x14ac:dyDescent="0.3">
      <c r="CO625" s="15"/>
    </row>
    <row r="626" spans="93:93" x14ac:dyDescent="0.3">
      <c r="CO626" s="15"/>
    </row>
    <row r="627" spans="93:93" x14ac:dyDescent="0.3">
      <c r="CO627" s="15"/>
    </row>
    <row r="628" spans="93:93" x14ac:dyDescent="0.3">
      <c r="CO628" s="15"/>
    </row>
    <row r="629" spans="93:93" x14ac:dyDescent="0.3">
      <c r="CO629" s="15"/>
    </row>
    <row r="630" spans="93:93" x14ac:dyDescent="0.3">
      <c r="CO630" s="15"/>
    </row>
    <row r="631" spans="93:93" x14ac:dyDescent="0.3">
      <c r="CO631" s="15"/>
    </row>
    <row r="632" spans="93:93" x14ac:dyDescent="0.3">
      <c r="CO632" s="15"/>
    </row>
    <row r="633" spans="93:93" x14ac:dyDescent="0.3">
      <c r="CO633" s="15"/>
    </row>
    <row r="634" spans="93:93" x14ac:dyDescent="0.3">
      <c r="CO634" s="15"/>
    </row>
    <row r="635" spans="93:93" x14ac:dyDescent="0.3">
      <c r="CO635" s="15"/>
    </row>
    <row r="636" spans="93:93" x14ac:dyDescent="0.3">
      <c r="CO636" s="15"/>
    </row>
    <row r="637" spans="93:93" x14ac:dyDescent="0.3">
      <c r="CO637" s="15"/>
    </row>
    <row r="638" spans="93:93" x14ac:dyDescent="0.3">
      <c r="CO638" s="15"/>
    </row>
    <row r="639" spans="93:93" x14ac:dyDescent="0.3">
      <c r="CO639" s="15"/>
    </row>
    <row r="640" spans="93:93" x14ac:dyDescent="0.3">
      <c r="CO640" s="15"/>
    </row>
    <row r="641" spans="93:93" x14ac:dyDescent="0.3">
      <c r="CO641" s="15"/>
    </row>
    <row r="642" spans="93:93" x14ac:dyDescent="0.3">
      <c r="CO642" s="15"/>
    </row>
    <row r="643" spans="93:93" x14ac:dyDescent="0.3">
      <c r="CO643" s="15"/>
    </row>
    <row r="644" spans="93:93" x14ac:dyDescent="0.3">
      <c r="CO644" s="15"/>
    </row>
    <row r="645" spans="93:93" x14ac:dyDescent="0.3">
      <c r="CO645" s="15"/>
    </row>
    <row r="646" spans="93:93" x14ac:dyDescent="0.3">
      <c r="CO646" s="15"/>
    </row>
    <row r="647" spans="93:93" x14ac:dyDescent="0.3">
      <c r="CO647" s="15"/>
    </row>
    <row r="648" spans="93:93" x14ac:dyDescent="0.3">
      <c r="CO648" s="15"/>
    </row>
    <row r="649" spans="93:93" x14ac:dyDescent="0.3">
      <c r="CO649" s="15"/>
    </row>
    <row r="650" spans="93:93" x14ac:dyDescent="0.3">
      <c r="CO650" s="15"/>
    </row>
    <row r="651" spans="93:93" x14ac:dyDescent="0.3">
      <c r="CO651" s="15"/>
    </row>
    <row r="652" spans="93:93" x14ac:dyDescent="0.3">
      <c r="CO652" s="15"/>
    </row>
    <row r="653" spans="93:93" x14ac:dyDescent="0.3">
      <c r="CO653" s="15"/>
    </row>
    <row r="654" spans="93:93" x14ac:dyDescent="0.3">
      <c r="CO654" s="15"/>
    </row>
    <row r="655" spans="93:93" x14ac:dyDescent="0.3">
      <c r="CO655" s="15"/>
    </row>
    <row r="656" spans="93:93" x14ac:dyDescent="0.3">
      <c r="CO656" s="15"/>
    </row>
    <row r="657" spans="93:93" x14ac:dyDescent="0.3">
      <c r="CO657" s="15"/>
    </row>
    <row r="658" spans="93:93" x14ac:dyDescent="0.3">
      <c r="CO658" s="15"/>
    </row>
    <row r="659" spans="93:93" x14ac:dyDescent="0.3">
      <c r="CO659" s="15"/>
    </row>
    <row r="660" spans="93:93" x14ac:dyDescent="0.3">
      <c r="CO660" s="15"/>
    </row>
    <row r="661" spans="93:93" x14ac:dyDescent="0.3">
      <c r="CO661" s="15"/>
    </row>
    <row r="662" spans="93:93" x14ac:dyDescent="0.3">
      <c r="CO662" s="15"/>
    </row>
    <row r="663" spans="93:93" x14ac:dyDescent="0.3">
      <c r="CO663" s="15"/>
    </row>
    <row r="664" spans="93:93" x14ac:dyDescent="0.3">
      <c r="CO664" s="15"/>
    </row>
    <row r="665" spans="93:93" x14ac:dyDescent="0.3">
      <c r="CO665" s="15"/>
    </row>
    <row r="666" spans="93:93" x14ac:dyDescent="0.3">
      <c r="CO666" s="15"/>
    </row>
    <row r="667" spans="93:93" x14ac:dyDescent="0.3">
      <c r="CO667" s="15"/>
    </row>
    <row r="668" spans="93:93" x14ac:dyDescent="0.3">
      <c r="CO668" s="15"/>
    </row>
    <row r="669" spans="93:93" x14ac:dyDescent="0.3">
      <c r="CO669" s="15"/>
    </row>
    <row r="670" spans="93:93" x14ac:dyDescent="0.3">
      <c r="CO670" s="15"/>
    </row>
    <row r="671" spans="93:93" x14ac:dyDescent="0.3">
      <c r="CO671" s="15"/>
    </row>
    <row r="672" spans="93:93" x14ac:dyDescent="0.3">
      <c r="CO672" s="15"/>
    </row>
    <row r="673" spans="93:93" x14ac:dyDescent="0.3">
      <c r="CO673" s="15"/>
    </row>
    <row r="674" spans="93:93" x14ac:dyDescent="0.3">
      <c r="CO674" s="15"/>
    </row>
    <row r="675" spans="93:93" x14ac:dyDescent="0.3">
      <c r="CO675" s="15"/>
    </row>
    <row r="676" spans="93:93" x14ac:dyDescent="0.3">
      <c r="CO676" s="15"/>
    </row>
    <row r="677" spans="93:93" x14ac:dyDescent="0.3">
      <c r="CO677" s="15"/>
    </row>
    <row r="678" spans="93:93" x14ac:dyDescent="0.3">
      <c r="CO678" s="15"/>
    </row>
    <row r="679" spans="93:93" x14ac:dyDescent="0.3">
      <c r="CO679" s="15"/>
    </row>
    <row r="680" spans="93:93" x14ac:dyDescent="0.3">
      <c r="CO680" s="15"/>
    </row>
    <row r="681" spans="93:93" x14ac:dyDescent="0.3">
      <c r="CO681" s="15"/>
    </row>
    <row r="682" spans="93:93" x14ac:dyDescent="0.3">
      <c r="CO682" s="15"/>
    </row>
    <row r="683" spans="93:93" x14ac:dyDescent="0.3">
      <c r="CO683" s="15"/>
    </row>
    <row r="684" spans="93:93" x14ac:dyDescent="0.3">
      <c r="CO684" s="15"/>
    </row>
    <row r="685" spans="93:93" x14ac:dyDescent="0.3">
      <c r="CO685" s="15"/>
    </row>
    <row r="686" spans="93:93" x14ac:dyDescent="0.3">
      <c r="CO686" s="15"/>
    </row>
    <row r="687" spans="93:93" x14ac:dyDescent="0.3">
      <c r="CO687" s="15"/>
    </row>
    <row r="688" spans="93:93" x14ac:dyDescent="0.3">
      <c r="CO688" s="15"/>
    </row>
    <row r="689" spans="93:93" x14ac:dyDescent="0.3">
      <c r="CO689" s="15"/>
    </row>
    <row r="690" spans="93:93" x14ac:dyDescent="0.3">
      <c r="CO690" s="15"/>
    </row>
    <row r="691" spans="93:93" x14ac:dyDescent="0.3">
      <c r="CO691" s="15"/>
    </row>
    <row r="692" spans="93:93" x14ac:dyDescent="0.3">
      <c r="CO692" s="15"/>
    </row>
    <row r="693" spans="93:93" x14ac:dyDescent="0.3">
      <c r="CO693" s="15"/>
    </row>
    <row r="694" spans="93:93" x14ac:dyDescent="0.3">
      <c r="CO694" s="15"/>
    </row>
    <row r="695" spans="93:93" x14ac:dyDescent="0.3">
      <c r="CO695" s="15"/>
    </row>
    <row r="696" spans="93:93" x14ac:dyDescent="0.3">
      <c r="CO696" s="15"/>
    </row>
    <row r="697" spans="93:93" x14ac:dyDescent="0.3">
      <c r="CO697" s="15"/>
    </row>
    <row r="698" spans="93:93" x14ac:dyDescent="0.3">
      <c r="CO698" s="15"/>
    </row>
    <row r="699" spans="93:93" x14ac:dyDescent="0.3">
      <c r="CO699" s="15"/>
    </row>
    <row r="700" spans="93:93" x14ac:dyDescent="0.3">
      <c r="CO700" s="15"/>
    </row>
    <row r="701" spans="93:93" x14ac:dyDescent="0.3">
      <c r="CO701" s="15"/>
    </row>
    <row r="702" spans="93:93" x14ac:dyDescent="0.3">
      <c r="CO702" s="15"/>
    </row>
    <row r="703" spans="93:93" x14ac:dyDescent="0.3">
      <c r="CO703" s="15"/>
    </row>
    <row r="704" spans="93:93" x14ac:dyDescent="0.3">
      <c r="CO704" s="15"/>
    </row>
    <row r="705" spans="93:93" x14ac:dyDescent="0.3">
      <c r="CO705" s="15"/>
    </row>
    <row r="706" spans="93:93" x14ac:dyDescent="0.3">
      <c r="CO706" s="15"/>
    </row>
    <row r="707" spans="93:93" x14ac:dyDescent="0.3">
      <c r="CO707" s="15"/>
    </row>
    <row r="708" spans="93:93" x14ac:dyDescent="0.3">
      <c r="CO708" s="15"/>
    </row>
    <row r="709" spans="93:93" x14ac:dyDescent="0.3">
      <c r="CO709" s="15"/>
    </row>
    <row r="710" spans="93:93" x14ac:dyDescent="0.3">
      <c r="CO710" s="15"/>
    </row>
    <row r="711" spans="93:93" x14ac:dyDescent="0.3">
      <c r="CO711" s="15"/>
    </row>
    <row r="712" spans="93:93" x14ac:dyDescent="0.3">
      <c r="CO712" s="15"/>
    </row>
    <row r="713" spans="93:93" x14ac:dyDescent="0.3">
      <c r="CO713" s="15"/>
    </row>
    <row r="714" spans="93:93" x14ac:dyDescent="0.3">
      <c r="CO714" s="15"/>
    </row>
    <row r="715" spans="93:93" x14ac:dyDescent="0.3">
      <c r="CO715" s="15"/>
    </row>
    <row r="716" spans="93:93" x14ac:dyDescent="0.3">
      <c r="CO716" s="15"/>
    </row>
    <row r="717" spans="93:93" x14ac:dyDescent="0.3">
      <c r="CO717" s="15"/>
    </row>
    <row r="718" spans="93:93" x14ac:dyDescent="0.3">
      <c r="CO718" s="15"/>
    </row>
    <row r="719" spans="93:93" x14ac:dyDescent="0.3">
      <c r="CO719" s="15"/>
    </row>
    <row r="720" spans="93:93" x14ac:dyDescent="0.3">
      <c r="CO720" s="15"/>
    </row>
    <row r="721" spans="93:93" x14ac:dyDescent="0.3">
      <c r="CO721" s="15"/>
    </row>
    <row r="722" spans="93:93" x14ac:dyDescent="0.3">
      <c r="CO722" s="15"/>
    </row>
    <row r="723" spans="93:93" x14ac:dyDescent="0.3">
      <c r="CO723" s="15"/>
    </row>
    <row r="724" spans="93:93" x14ac:dyDescent="0.3">
      <c r="CO724" s="15"/>
    </row>
    <row r="725" spans="93:93" x14ac:dyDescent="0.3">
      <c r="CO725" s="15"/>
    </row>
    <row r="726" spans="93:93" x14ac:dyDescent="0.3">
      <c r="CO726" s="15"/>
    </row>
    <row r="727" spans="93:93" x14ac:dyDescent="0.3">
      <c r="CO727" s="15"/>
    </row>
    <row r="728" spans="93:93" x14ac:dyDescent="0.3">
      <c r="CO728" s="15"/>
    </row>
    <row r="729" spans="93:93" x14ac:dyDescent="0.3">
      <c r="CO729" s="15"/>
    </row>
    <row r="730" spans="93:93" x14ac:dyDescent="0.3">
      <c r="CO730" s="15"/>
    </row>
    <row r="731" spans="93:93" x14ac:dyDescent="0.3">
      <c r="CO731" s="15"/>
    </row>
    <row r="732" spans="93:93" x14ac:dyDescent="0.3">
      <c r="CO732" s="15"/>
    </row>
    <row r="733" spans="93:93" x14ac:dyDescent="0.3">
      <c r="CO733" s="15"/>
    </row>
    <row r="734" spans="93:93" x14ac:dyDescent="0.3">
      <c r="CO734" s="15"/>
    </row>
    <row r="735" spans="93:93" x14ac:dyDescent="0.3">
      <c r="CO735" s="15"/>
    </row>
    <row r="736" spans="93:93" x14ac:dyDescent="0.3">
      <c r="CO736" s="15"/>
    </row>
    <row r="737" spans="93:93" x14ac:dyDescent="0.3">
      <c r="CO737" s="15"/>
    </row>
    <row r="738" spans="93:93" x14ac:dyDescent="0.3">
      <c r="CO738" s="15"/>
    </row>
    <row r="739" spans="93:93" x14ac:dyDescent="0.3">
      <c r="CO739" s="15"/>
    </row>
    <row r="740" spans="93:93" x14ac:dyDescent="0.3">
      <c r="CO740" s="15"/>
    </row>
    <row r="741" spans="93:93" x14ac:dyDescent="0.3">
      <c r="CO741" s="15"/>
    </row>
    <row r="742" spans="93:93" x14ac:dyDescent="0.3">
      <c r="CO742" s="15"/>
    </row>
    <row r="743" spans="93:93" x14ac:dyDescent="0.3">
      <c r="CO743" s="15"/>
    </row>
    <row r="744" spans="93:93" x14ac:dyDescent="0.3">
      <c r="CO744" s="15"/>
    </row>
    <row r="745" spans="93:93" x14ac:dyDescent="0.3">
      <c r="CO745" s="15"/>
    </row>
    <row r="746" spans="93:93" x14ac:dyDescent="0.3">
      <c r="CO746" s="15"/>
    </row>
    <row r="747" spans="93:93" x14ac:dyDescent="0.3">
      <c r="CO747" s="15"/>
    </row>
    <row r="748" spans="93:93" x14ac:dyDescent="0.3">
      <c r="CO748" s="15"/>
    </row>
    <row r="749" spans="93:93" x14ac:dyDescent="0.3">
      <c r="CO749" s="15"/>
    </row>
    <row r="750" spans="93:93" x14ac:dyDescent="0.3">
      <c r="CO750" s="15"/>
    </row>
    <row r="751" spans="93:93" x14ac:dyDescent="0.3">
      <c r="CO751" s="15"/>
    </row>
    <row r="752" spans="93:93" x14ac:dyDescent="0.3">
      <c r="CO752" s="15"/>
    </row>
    <row r="753" spans="93:93" x14ac:dyDescent="0.3">
      <c r="CO753" s="15"/>
    </row>
    <row r="754" spans="93:93" x14ac:dyDescent="0.3">
      <c r="CO754" s="15"/>
    </row>
    <row r="755" spans="93:93" x14ac:dyDescent="0.3">
      <c r="CO755" s="15"/>
    </row>
    <row r="756" spans="93:93" x14ac:dyDescent="0.3">
      <c r="CO756" s="15"/>
    </row>
    <row r="757" spans="93:93" x14ac:dyDescent="0.3">
      <c r="CO757" s="15"/>
    </row>
    <row r="758" spans="93:93" x14ac:dyDescent="0.3">
      <c r="CO758" s="15"/>
    </row>
    <row r="759" spans="93:93" x14ac:dyDescent="0.3">
      <c r="CO759" s="15"/>
    </row>
    <row r="760" spans="93:93" x14ac:dyDescent="0.3">
      <c r="CO760" s="15"/>
    </row>
    <row r="761" spans="93:93" x14ac:dyDescent="0.3">
      <c r="CO761" s="15"/>
    </row>
    <row r="762" spans="93:93" x14ac:dyDescent="0.3">
      <c r="CO762" s="15"/>
    </row>
    <row r="763" spans="93:93" x14ac:dyDescent="0.3">
      <c r="CO763" s="15"/>
    </row>
    <row r="764" spans="93:93" x14ac:dyDescent="0.3">
      <c r="CO764" s="15"/>
    </row>
    <row r="765" spans="93:93" x14ac:dyDescent="0.3">
      <c r="CO765" s="15"/>
    </row>
    <row r="766" spans="93:93" x14ac:dyDescent="0.3">
      <c r="CO766" s="15"/>
    </row>
    <row r="767" spans="93:93" x14ac:dyDescent="0.3">
      <c r="CO767" s="15"/>
    </row>
    <row r="768" spans="93:93" x14ac:dyDescent="0.3">
      <c r="CO768" s="15"/>
    </row>
    <row r="769" spans="93:93" x14ac:dyDescent="0.3">
      <c r="CO769" s="15"/>
    </row>
    <row r="770" spans="93:93" x14ac:dyDescent="0.3">
      <c r="CO770" s="15"/>
    </row>
    <row r="771" spans="93:93" x14ac:dyDescent="0.3">
      <c r="CO771" s="15"/>
    </row>
    <row r="772" spans="93:93" x14ac:dyDescent="0.3">
      <c r="CO772" s="15"/>
    </row>
    <row r="773" spans="93:93" x14ac:dyDescent="0.3">
      <c r="CO773" s="15"/>
    </row>
    <row r="774" spans="93:93" x14ac:dyDescent="0.3">
      <c r="CO774" s="15"/>
    </row>
    <row r="775" spans="93:93" x14ac:dyDescent="0.3">
      <c r="CO775" s="15"/>
    </row>
    <row r="776" spans="93:93" x14ac:dyDescent="0.3">
      <c r="CO776" s="15"/>
    </row>
    <row r="777" spans="93:93" x14ac:dyDescent="0.3">
      <c r="CO777" s="15"/>
    </row>
    <row r="778" spans="93:93" x14ac:dyDescent="0.3">
      <c r="CO778" s="15"/>
    </row>
    <row r="779" spans="93:93" x14ac:dyDescent="0.3">
      <c r="CO779" s="15"/>
    </row>
    <row r="780" spans="93:93" x14ac:dyDescent="0.3">
      <c r="CO780" s="15"/>
    </row>
    <row r="781" spans="93:93" x14ac:dyDescent="0.3">
      <c r="CO781" s="15"/>
    </row>
    <row r="782" spans="93:93" x14ac:dyDescent="0.3">
      <c r="CO782" s="15"/>
    </row>
    <row r="783" spans="93:93" x14ac:dyDescent="0.3">
      <c r="CO783" s="15"/>
    </row>
    <row r="784" spans="93:93" x14ac:dyDescent="0.3">
      <c r="CO784" s="15"/>
    </row>
    <row r="785" spans="93:93" x14ac:dyDescent="0.3">
      <c r="CO785" s="15"/>
    </row>
    <row r="786" spans="93:93" x14ac:dyDescent="0.3">
      <c r="CO786" s="15"/>
    </row>
    <row r="787" spans="93:93" x14ac:dyDescent="0.3">
      <c r="CO787" s="15"/>
    </row>
    <row r="788" spans="93:93" x14ac:dyDescent="0.3">
      <c r="CO788" s="15"/>
    </row>
    <row r="789" spans="93:93" x14ac:dyDescent="0.3">
      <c r="CO789" s="15"/>
    </row>
    <row r="790" spans="93:93" x14ac:dyDescent="0.3">
      <c r="CO790" s="15"/>
    </row>
    <row r="791" spans="93:93" x14ac:dyDescent="0.3">
      <c r="CO791" s="15"/>
    </row>
    <row r="792" spans="93:93" x14ac:dyDescent="0.3">
      <c r="CO792" s="15"/>
    </row>
    <row r="793" spans="93:93" x14ac:dyDescent="0.3">
      <c r="CO793" s="15"/>
    </row>
    <row r="794" spans="93:93" x14ac:dyDescent="0.3">
      <c r="CO794" s="15"/>
    </row>
    <row r="795" spans="93:93" x14ac:dyDescent="0.3">
      <c r="CO795" s="15"/>
    </row>
    <row r="796" spans="93:93" x14ac:dyDescent="0.3">
      <c r="CO796" s="15"/>
    </row>
    <row r="797" spans="93:93" x14ac:dyDescent="0.3">
      <c r="CO797" s="15"/>
    </row>
    <row r="798" spans="93:93" x14ac:dyDescent="0.3">
      <c r="CO798" s="15"/>
    </row>
    <row r="799" spans="93:93" x14ac:dyDescent="0.3">
      <c r="CO799" s="15"/>
    </row>
    <row r="800" spans="93:93" x14ac:dyDescent="0.3">
      <c r="CO800" s="15"/>
    </row>
    <row r="801" spans="93:93" x14ac:dyDescent="0.3">
      <c r="CO801" s="15"/>
    </row>
    <row r="802" spans="93:93" x14ac:dyDescent="0.3">
      <c r="CO802" s="15"/>
    </row>
    <row r="803" spans="93:93" x14ac:dyDescent="0.3">
      <c r="CO803" s="15"/>
    </row>
    <row r="804" spans="93:93" x14ac:dyDescent="0.3">
      <c r="CO804" s="15"/>
    </row>
    <row r="805" spans="93:93" x14ac:dyDescent="0.3">
      <c r="CO805" s="15"/>
    </row>
    <row r="806" spans="93:93" x14ac:dyDescent="0.3">
      <c r="CO806" s="15"/>
    </row>
    <row r="807" spans="93:93" x14ac:dyDescent="0.3">
      <c r="CO807" s="15"/>
    </row>
    <row r="808" spans="93:93" x14ac:dyDescent="0.3">
      <c r="CO808" s="15"/>
    </row>
    <row r="809" spans="93:93" x14ac:dyDescent="0.3">
      <c r="CO809" s="15"/>
    </row>
    <row r="810" spans="93:93" x14ac:dyDescent="0.3">
      <c r="CO810" s="15"/>
    </row>
    <row r="811" spans="93:93" x14ac:dyDescent="0.3">
      <c r="CO811" s="15"/>
    </row>
    <row r="812" spans="93:93" x14ac:dyDescent="0.3">
      <c r="CO812" s="15"/>
    </row>
    <row r="813" spans="93:93" x14ac:dyDescent="0.3">
      <c r="CO813" s="15"/>
    </row>
    <row r="814" spans="93:93" x14ac:dyDescent="0.3">
      <c r="CO814" s="15"/>
    </row>
    <row r="815" spans="93:93" x14ac:dyDescent="0.3">
      <c r="CO815" s="15"/>
    </row>
    <row r="816" spans="93:93" x14ac:dyDescent="0.3">
      <c r="CO816" s="15"/>
    </row>
    <row r="817" spans="93:93" x14ac:dyDescent="0.3">
      <c r="CO817" s="15"/>
    </row>
    <row r="818" spans="93:93" x14ac:dyDescent="0.3">
      <c r="CO818" s="15"/>
    </row>
    <row r="819" spans="93:93" x14ac:dyDescent="0.3">
      <c r="CO819" s="15"/>
    </row>
    <row r="820" spans="93:93" x14ac:dyDescent="0.3">
      <c r="CO820" s="15"/>
    </row>
    <row r="821" spans="93:93" x14ac:dyDescent="0.3">
      <c r="CO821" s="15"/>
    </row>
    <row r="822" spans="93:93" x14ac:dyDescent="0.3">
      <c r="CO822" s="15"/>
    </row>
    <row r="823" spans="93:93" x14ac:dyDescent="0.3">
      <c r="CO823" s="15"/>
    </row>
    <row r="824" spans="93:93" x14ac:dyDescent="0.3">
      <c r="CO824" s="15"/>
    </row>
    <row r="825" spans="93:93" x14ac:dyDescent="0.3">
      <c r="CO825" s="15"/>
    </row>
    <row r="826" spans="93:93" x14ac:dyDescent="0.3">
      <c r="CO826" s="15"/>
    </row>
    <row r="827" spans="93:93" x14ac:dyDescent="0.3">
      <c r="CO827" s="15"/>
    </row>
    <row r="828" spans="93:93" x14ac:dyDescent="0.3">
      <c r="CO828" s="15"/>
    </row>
    <row r="829" spans="93:93" x14ac:dyDescent="0.3">
      <c r="CO829" s="15"/>
    </row>
    <row r="830" spans="93:93" x14ac:dyDescent="0.3">
      <c r="CO830" s="15"/>
    </row>
    <row r="831" spans="93:93" x14ac:dyDescent="0.3">
      <c r="CO831" s="15"/>
    </row>
    <row r="832" spans="93:93" x14ac:dyDescent="0.3">
      <c r="CO832" s="15"/>
    </row>
    <row r="833" spans="93:93" x14ac:dyDescent="0.3">
      <c r="CO833" s="15"/>
    </row>
    <row r="834" spans="93:93" x14ac:dyDescent="0.3">
      <c r="CO834" s="15"/>
    </row>
    <row r="835" spans="93:93" x14ac:dyDescent="0.3">
      <c r="CO835" s="15"/>
    </row>
    <row r="836" spans="93:93" x14ac:dyDescent="0.3">
      <c r="CO836" s="15"/>
    </row>
    <row r="837" spans="93:93" x14ac:dyDescent="0.3">
      <c r="CO837" s="15"/>
    </row>
    <row r="838" spans="93:93" x14ac:dyDescent="0.3">
      <c r="CO838" s="15"/>
    </row>
    <row r="839" spans="93:93" x14ac:dyDescent="0.3">
      <c r="CO839" s="15"/>
    </row>
    <row r="840" spans="93:93" x14ac:dyDescent="0.3">
      <c r="CO840" s="15"/>
    </row>
    <row r="841" spans="93:93" x14ac:dyDescent="0.3">
      <c r="CO841" s="15"/>
    </row>
    <row r="842" spans="93:93" x14ac:dyDescent="0.3">
      <c r="CO842" s="15"/>
    </row>
    <row r="843" spans="93:93" x14ac:dyDescent="0.3">
      <c r="CO843" s="15"/>
    </row>
    <row r="844" spans="93:93" x14ac:dyDescent="0.3">
      <c r="CO844" s="15"/>
    </row>
    <row r="845" spans="93:93" x14ac:dyDescent="0.3">
      <c r="CO845" s="15"/>
    </row>
    <row r="846" spans="93:93" x14ac:dyDescent="0.3">
      <c r="CO846" s="15"/>
    </row>
    <row r="847" spans="93:93" x14ac:dyDescent="0.3">
      <c r="CO847" s="15"/>
    </row>
    <row r="848" spans="93:93" x14ac:dyDescent="0.3">
      <c r="CO848" s="15"/>
    </row>
    <row r="849" spans="93:93" x14ac:dyDescent="0.3">
      <c r="CO849" s="15"/>
    </row>
    <row r="850" spans="93:93" x14ac:dyDescent="0.3">
      <c r="CO850" s="15"/>
    </row>
    <row r="851" spans="93:93" x14ac:dyDescent="0.3">
      <c r="CO851" s="15"/>
    </row>
    <row r="852" spans="93:93" x14ac:dyDescent="0.3">
      <c r="CO852" s="15"/>
    </row>
    <row r="853" spans="93:93" x14ac:dyDescent="0.3">
      <c r="CO853" s="15"/>
    </row>
    <row r="854" spans="93:93" x14ac:dyDescent="0.3">
      <c r="CO854" s="15"/>
    </row>
    <row r="855" spans="93:93" x14ac:dyDescent="0.3">
      <c r="CO855" s="15"/>
    </row>
    <row r="856" spans="93:93" x14ac:dyDescent="0.3">
      <c r="CO856" s="15"/>
    </row>
    <row r="857" spans="93:93" x14ac:dyDescent="0.3">
      <c r="CO857" s="15"/>
    </row>
    <row r="858" spans="93:93" x14ac:dyDescent="0.3">
      <c r="CO858" s="15"/>
    </row>
    <row r="859" spans="93:93" x14ac:dyDescent="0.3">
      <c r="CO859" s="15"/>
    </row>
    <row r="860" spans="93:93" x14ac:dyDescent="0.3">
      <c r="CO860" s="15"/>
    </row>
    <row r="861" spans="93:93" x14ac:dyDescent="0.3">
      <c r="CO861" s="15"/>
    </row>
    <row r="862" spans="93:93" x14ac:dyDescent="0.3">
      <c r="CO862" s="15"/>
    </row>
    <row r="863" spans="93:93" x14ac:dyDescent="0.3">
      <c r="CO863" s="15"/>
    </row>
    <row r="864" spans="93:93" x14ac:dyDescent="0.3">
      <c r="CO864" s="15"/>
    </row>
    <row r="865" spans="93:93" x14ac:dyDescent="0.3">
      <c r="CO865" s="15"/>
    </row>
    <row r="866" spans="93:93" x14ac:dyDescent="0.3">
      <c r="CO866" s="15"/>
    </row>
    <row r="867" spans="93:93" x14ac:dyDescent="0.3">
      <c r="CO867" s="15"/>
    </row>
    <row r="868" spans="93:93" x14ac:dyDescent="0.3">
      <c r="CO868" s="15"/>
    </row>
    <row r="869" spans="93:93" x14ac:dyDescent="0.3">
      <c r="CO869" s="15"/>
    </row>
    <row r="870" spans="93:93" x14ac:dyDescent="0.3">
      <c r="CO870" s="15"/>
    </row>
    <row r="871" spans="93:93" x14ac:dyDescent="0.3">
      <c r="CO871" s="15"/>
    </row>
    <row r="872" spans="93:93" x14ac:dyDescent="0.3">
      <c r="CO872" s="15"/>
    </row>
    <row r="873" spans="93:93" x14ac:dyDescent="0.3">
      <c r="CO873" s="15"/>
    </row>
    <row r="874" spans="93:93" x14ac:dyDescent="0.3">
      <c r="CO874" s="15"/>
    </row>
    <row r="875" spans="93:93" x14ac:dyDescent="0.3">
      <c r="CO875" s="15"/>
    </row>
    <row r="876" spans="93:93" x14ac:dyDescent="0.3">
      <c r="CO876" s="15"/>
    </row>
    <row r="877" spans="93:93" x14ac:dyDescent="0.3">
      <c r="CO877" s="15"/>
    </row>
    <row r="878" spans="93:93" x14ac:dyDescent="0.3">
      <c r="CO878" s="15"/>
    </row>
    <row r="879" spans="93:93" x14ac:dyDescent="0.3">
      <c r="CO879" s="15"/>
    </row>
    <row r="880" spans="93:93" x14ac:dyDescent="0.3">
      <c r="CO880" s="15"/>
    </row>
    <row r="881" spans="93:93" x14ac:dyDescent="0.3">
      <c r="CO881" s="15"/>
    </row>
    <row r="882" spans="93:93" x14ac:dyDescent="0.3">
      <c r="CO882" s="15"/>
    </row>
    <row r="883" spans="93:93" x14ac:dyDescent="0.3">
      <c r="CO883" s="15"/>
    </row>
    <row r="884" spans="93:93" x14ac:dyDescent="0.3">
      <c r="CO884" s="15"/>
    </row>
    <row r="885" spans="93:93" x14ac:dyDescent="0.3">
      <c r="CO885" s="15"/>
    </row>
    <row r="886" spans="93:93" x14ac:dyDescent="0.3">
      <c r="CO886" s="15"/>
    </row>
    <row r="887" spans="93:93" x14ac:dyDescent="0.3">
      <c r="CO887" s="15"/>
    </row>
    <row r="888" spans="93:93" x14ac:dyDescent="0.3">
      <c r="CO888" s="15"/>
    </row>
    <row r="889" spans="93:93" x14ac:dyDescent="0.3">
      <c r="CO889" s="15"/>
    </row>
    <row r="890" spans="93:93" x14ac:dyDescent="0.3">
      <c r="CO890" s="15"/>
    </row>
    <row r="891" spans="93:93" x14ac:dyDescent="0.3">
      <c r="CO891" s="15"/>
    </row>
    <row r="892" spans="93:93" x14ac:dyDescent="0.3">
      <c r="CO892" s="15"/>
    </row>
    <row r="893" spans="93:93" x14ac:dyDescent="0.3">
      <c r="CO893" s="15"/>
    </row>
    <row r="894" spans="93:93" x14ac:dyDescent="0.3">
      <c r="CO894" s="15"/>
    </row>
    <row r="895" spans="93:93" x14ac:dyDescent="0.3">
      <c r="CO895" s="15"/>
    </row>
    <row r="896" spans="93:93" x14ac:dyDescent="0.3">
      <c r="CO896" s="15"/>
    </row>
    <row r="897" spans="93:93" x14ac:dyDescent="0.3">
      <c r="CO897" s="15"/>
    </row>
    <row r="898" spans="93:93" x14ac:dyDescent="0.3">
      <c r="CO898" s="15"/>
    </row>
    <row r="899" spans="93:93" x14ac:dyDescent="0.3">
      <c r="CO899" s="15"/>
    </row>
    <row r="900" spans="93:93" x14ac:dyDescent="0.3">
      <c r="CO900" s="15"/>
    </row>
    <row r="901" spans="93:93" x14ac:dyDescent="0.3">
      <c r="CO901" s="15"/>
    </row>
    <row r="902" spans="93:93" x14ac:dyDescent="0.3">
      <c r="CO902" s="15"/>
    </row>
    <row r="903" spans="93:93" x14ac:dyDescent="0.3">
      <c r="CO903" s="15"/>
    </row>
    <row r="904" spans="93:93" x14ac:dyDescent="0.3">
      <c r="CO904" s="15"/>
    </row>
    <row r="905" spans="93:93" x14ac:dyDescent="0.3">
      <c r="CO905" s="15"/>
    </row>
    <row r="906" spans="93:93" x14ac:dyDescent="0.3">
      <c r="CO906" s="15"/>
    </row>
    <row r="907" spans="93:93" x14ac:dyDescent="0.3">
      <c r="CO907" s="15"/>
    </row>
    <row r="908" spans="93:93" x14ac:dyDescent="0.3">
      <c r="CO908" s="15"/>
    </row>
    <row r="909" spans="93:93" x14ac:dyDescent="0.3">
      <c r="CO909" s="15"/>
    </row>
    <row r="910" spans="93:93" x14ac:dyDescent="0.3">
      <c r="CO910" s="15"/>
    </row>
    <row r="911" spans="93:93" x14ac:dyDescent="0.3">
      <c r="CO911" s="15"/>
    </row>
    <row r="912" spans="93:93" x14ac:dyDescent="0.3">
      <c r="CO912" s="15"/>
    </row>
    <row r="913" spans="93:93" x14ac:dyDescent="0.3">
      <c r="CO913" s="15"/>
    </row>
    <row r="914" spans="93:93" x14ac:dyDescent="0.3">
      <c r="CO914" s="15"/>
    </row>
    <row r="915" spans="93:93" x14ac:dyDescent="0.3">
      <c r="CO915" s="15"/>
    </row>
    <row r="916" spans="93:93" x14ac:dyDescent="0.3">
      <c r="CO916" s="15"/>
    </row>
    <row r="917" spans="93:93" x14ac:dyDescent="0.3">
      <c r="CO917" s="15"/>
    </row>
    <row r="918" spans="93:93" x14ac:dyDescent="0.3">
      <c r="CO918" s="15"/>
    </row>
    <row r="919" spans="93:93" x14ac:dyDescent="0.3">
      <c r="CO919" s="15"/>
    </row>
    <row r="920" spans="93:93" x14ac:dyDescent="0.3">
      <c r="CO920" s="15"/>
    </row>
    <row r="921" spans="93:93" x14ac:dyDescent="0.3">
      <c r="CO921" s="15"/>
    </row>
    <row r="922" spans="93:93" x14ac:dyDescent="0.3">
      <c r="CO922" s="15"/>
    </row>
    <row r="923" spans="93:93" x14ac:dyDescent="0.3">
      <c r="CO923" s="15"/>
    </row>
    <row r="924" spans="93:93" x14ac:dyDescent="0.3">
      <c r="CO924" s="15"/>
    </row>
    <row r="925" spans="93:93" x14ac:dyDescent="0.3">
      <c r="CO925" s="15"/>
    </row>
    <row r="926" spans="93:93" x14ac:dyDescent="0.3">
      <c r="CO926" s="15"/>
    </row>
    <row r="927" spans="93:93" x14ac:dyDescent="0.3">
      <c r="CO927" s="15"/>
    </row>
    <row r="928" spans="93:93" x14ac:dyDescent="0.3">
      <c r="CO928" s="15"/>
    </row>
    <row r="929" spans="93:93" x14ac:dyDescent="0.3">
      <c r="CO929" s="15"/>
    </row>
    <row r="930" spans="93:93" x14ac:dyDescent="0.3">
      <c r="CO930" s="15"/>
    </row>
    <row r="931" spans="93:93" x14ac:dyDescent="0.3">
      <c r="CO931" s="15"/>
    </row>
    <row r="932" spans="93:93" x14ac:dyDescent="0.3">
      <c r="CO932" s="15"/>
    </row>
    <row r="933" spans="93:93" x14ac:dyDescent="0.3">
      <c r="CO933" s="15"/>
    </row>
    <row r="934" spans="93:93" x14ac:dyDescent="0.3">
      <c r="CO934" s="15"/>
    </row>
    <row r="935" spans="93:93" x14ac:dyDescent="0.3">
      <c r="CO935" s="15"/>
    </row>
    <row r="936" spans="93:93" x14ac:dyDescent="0.3">
      <c r="CO936" s="15"/>
    </row>
    <row r="937" spans="93:93" x14ac:dyDescent="0.3">
      <c r="CO937" s="15"/>
    </row>
    <row r="938" spans="93:93" x14ac:dyDescent="0.3">
      <c r="CO938" s="15"/>
    </row>
    <row r="939" spans="93:93" x14ac:dyDescent="0.3">
      <c r="CO939" s="15"/>
    </row>
    <row r="940" spans="93:93" x14ac:dyDescent="0.3">
      <c r="CO940" s="15"/>
    </row>
    <row r="941" spans="93:93" x14ac:dyDescent="0.3">
      <c r="CO941" s="15"/>
    </row>
    <row r="942" spans="93:93" x14ac:dyDescent="0.3">
      <c r="CO942" s="15"/>
    </row>
    <row r="943" spans="93:93" x14ac:dyDescent="0.3">
      <c r="CO943" s="15"/>
    </row>
    <row r="944" spans="93:93" x14ac:dyDescent="0.3">
      <c r="CO944" s="15"/>
    </row>
    <row r="945" spans="93:93" x14ac:dyDescent="0.3">
      <c r="CO945" s="15"/>
    </row>
    <row r="946" spans="93:93" x14ac:dyDescent="0.3">
      <c r="CO946" s="15"/>
    </row>
    <row r="947" spans="93:93" x14ac:dyDescent="0.3">
      <c r="CO947" s="15"/>
    </row>
    <row r="948" spans="93:93" x14ac:dyDescent="0.3">
      <c r="CO948" s="15"/>
    </row>
    <row r="949" spans="93:93" x14ac:dyDescent="0.3">
      <c r="CO949" s="15"/>
    </row>
    <row r="950" spans="93:93" x14ac:dyDescent="0.3">
      <c r="CO950" s="15"/>
    </row>
    <row r="951" spans="93:93" x14ac:dyDescent="0.3">
      <c r="CO951" s="15"/>
    </row>
    <row r="952" spans="93:93" x14ac:dyDescent="0.3">
      <c r="CO952" s="15"/>
    </row>
    <row r="953" spans="93:93" x14ac:dyDescent="0.3">
      <c r="CO953" s="15"/>
    </row>
    <row r="954" spans="93:93" x14ac:dyDescent="0.3">
      <c r="CO954" s="15"/>
    </row>
    <row r="955" spans="93:93" x14ac:dyDescent="0.3">
      <c r="CO955" s="15"/>
    </row>
    <row r="956" spans="93:93" x14ac:dyDescent="0.3">
      <c r="CO956" s="15"/>
    </row>
    <row r="957" spans="93:93" x14ac:dyDescent="0.3">
      <c r="CO957" s="15"/>
    </row>
    <row r="958" spans="93:93" x14ac:dyDescent="0.3">
      <c r="CO958" s="15"/>
    </row>
    <row r="959" spans="93:93" x14ac:dyDescent="0.3">
      <c r="CO959" s="15"/>
    </row>
    <row r="960" spans="93:93" x14ac:dyDescent="0.3">
      <c r="CO960" s="15"/>
    </row>
    <row r="961" spans="93:93" x14ac:dyDescent="0.3">
      <c r="CO961" s="15"/>
    </row>
    <row r="962" spans="93:93" x14ac:dyDescent="0.3">
      <c r="CO962" s="15"/>
    </row>
    <row r="963" spans="93:93" x14ac:dyDescent="0.3">
      <c r="CO963" s="15"/>
    </row>
    <row r="964" spans="93:93" x14ac:dyDescent="0.3">
      <c r="CO964" s="15"/>
    </row>
    <row r="965" spans="93:93" x14ac:dyDescent="0.3">
      <c r="CO965" s="15"/>
    </row>
    <row r="966" spans="93:93" x14ac:dyDescent="0.3">
      <c r="CO966" s="15"/>
    </row>
    <row r="967" spans="93:93" x14ac:dyDescent="0.3">
      <c r="CO967" s="15"/>
    </row>
    <row r="968" spans="93:93" x14ac:dyDescent="0.3">
      <c r="CO968" s="15"/>
    </row>
    <row r="969" spans="93:93" x14ac:dyDescent="0.3">
      <c r="CO969" s="15"/>
    </row>
    <row r="970" spans="93:93" x14ac:dyDescent="0.3">
      <c r="CO970" s="15"/>
    </row>
    <row r="971" spans="93:93" x14ac:dyDescent="0.3">
      <c r="CO971" s="15"/>
    </row>
    <row r="972" spans="93:93" x14ac:dyDescent="0.3">
      <c r="CO972" s="15"/>
    </row>
    <row r="973" spans="93:93" x14ac:dyDescent="0.3">
      <c r="CO973" s="15"/>
    </row>
    <row r="974" spans="93:93" x14ac:dyDescent="0.3">
      <c r="CO974" s="15"/>
    </row>
    <row r="975" spans="93:93" x14ac:dyDescent="0.3">
      <c r="CO975" s="15"/>
    </row>
    <row r="976" spans="93:93" x14ac:dyDescent="0.3">
      <c r="CO976" s="15"/>
    </row>
    <row r="977" spans="93:93" x14ac:dyDescent="0.3">
      <c r="CO977" s="15"/>
    </row>
    <row r="978" spans="93:93" x14ac:dyDescent="0.3">
      <c r="CO978" s="15"/>
    </row>
    <row r="979" spans="93:93" x14ac:dyDescent="0.3">
      <c r="CO979" s="15"/>
    </row>
    <row r="980" spans="93:93" x14ac:dyDescent="0.3">
      <c r="CO980" s="15"/>
    </row>
    <row r="981" spans="93:93" x14ac:dyDescent="0.3">
      <c r="CO981" s="15"/>
    </row>
    <row r="982" spans="93:93" x14ac:dyDescent="0.3">
      <c r="CO982" s="15"/>
    </row>
    <row r="983" spans="93:93" x14ac:dyDescent="0.3">
      <c r="CO983" s="15"/>
    </row>
    <row r="984" spans="93:93" x14ac:dyDescent="0.3">
      <c r="CO984" s="15"/>
    </row>
    <row r="985" spans="93:93" x14ac:dyDescent="0.3">
      <c r="CO985" s="15"/>
    </row>
    <row r="986" spans="93:93" x14ac:dyDescent="0.3">
      <c r="CO986" s="15"/>
    </row>
    <row r="987" spans="93:93" x14ac:dyDescent="0.3">
      <c r="CO987" s="15"/>
    </row>
    <row r="988" spans="93:93" x14ac:dyDescent="0.3">
      <c r="CO988" s="15"/>
    </row>
    <row r="989" spans="93:93" x14ac:dyDescent="0.3">
      <c r="CO989" s="15"/>
    </row>
    <row r="990" spans="93:93" x14ac:dyDescent="0.3">
      <c r="CO990" s="15"/>
    </row>
    <row r="991" spans="93:93" x14ac:dyDescent="0.3">
      <c r="CO991" s="15"/>
    </row>
    <row r="992" spans="93:93" x14ac:dyDescent="0.3">
      <c r="CO992" s="15"/>
    </row>
    <row r="993" spans="93:93" x14ac:dyDescent="0.3">
      <c r="CO993" s="15"/>
    </row>
    <row r="994" spans="93:93" x14ac:dyDescent="0.3">
      <c r="CO994" s="15"/>
    </row>
    <row r="995" spans="93:93" x14ac:dyDescent="0.3">
      <c r="CO995" s="15"/>
    </row>
    <row r="996" spans="93:93" x14ac:dyDescent="0.3">
      <c r="CO996" s="15"/>
    </row>
    <row r="997" spans="93:93" x14ac:dyDescent="0.3">
      <c r="CO997" s="15"/>
    </row>
    <row r="998" spans="93:93" x14ac:dyDescent="0.3">
      <c r="CO998" s="15"/>
    </row>
    <row r="999" spans="93:93" x14ac:dyDescent="0.3">
      <c r="CO999" s="15"/>
    </row>
    <row r="1000" spans="93:93" x14ac:dyDescent="0.3">
      <c r="CO1000" s="15"/>
    </row>
    <row r="1001" spans="93:93" x14ac:dyDescent="0.3">
      <c r="CO1001" s="15"/>
    </row>
    <row r="1002" spans="93:93" x14ac:dyDescent="0.3">
      <c r="CO1002" s="15"/>
    </row>
    <row r="1003" spans="93:93" x14ac:dyDescent="0.3">
      <c r="CO1003" s="15"/>
    </row>
    <row r="1004" spans="93:93" x14ac:dyDescent="0.3">
      <c r="CO1004" s="15"/>
    </row>
    <row r="1005" spans="93:93" x14ac:dyDescent="0.3">
      <c r="CO1005" s="15"/>
    </row>
    <row r="1006" spans="93:93" x14ac:dyDescent="0.3">
      <c r="CO1006" s="15"/>
    </row>
    <row r="1007" spans="93:93" x14ac:dyDescent="0.3">
      <c r="CO1007" s="15"/>
    </row>
    <row r="1008" spans="93:93" x14ac:dyDescent="0.3">
      <c r="CO1008" s="15"/>
    </row>
    <row r="1009" spans="93:93" x14ac:dyDescent="0.3">
      <c r="CO1009" s="15"/>
    </row>
    <row r="1010" spans="93:93" x14ac:dyDescent="0.3">
      <c r="CO1010" s="15"/>
    </row>
    <row r="1011" spans="93:93" x14ac:dyDescent="0.3">
      <c r="CO1011" s="15"/>
    </row>
    <row r="1012" spans="93:93" x14ac:dyDescent="0.3">
      <c r="CO1012" s="15"/>
    </row>
    <row r="1013" spans="93:93" x14ac:dyDescent="0.3">
      <c r="CO1013" s="15"/>
    </row>
    <row r="1014" spans="93:93" x14ac:dyDescent="0.3">
      <c r="CO1014" s="15"/>
    </row>
    <row r="1015" spans="93:93" x14ac:dyDescent="0.3">
      <c r="CO1015" s="15"/>
    </row>
    <row r="1016" spans="93:93" x14ac:dyDescent="0.3">
      <c r="CO1016" s="15"/>
    </row>
    <row r="1017" spans="93:93" x14ac:dyDescent="0.3">
      <c r="CO1017" s="15"/>
    </row>
    <row r="1018" spans="93:93" x14ac:dyDescent="0.3">
      <c r="CO1018" s="15"/>
    </row>
    <row r="1019" spans="93:93" x14ac:dyDescent="0.3">
      <c r="CO1019" s="15"/>
    </row>
    <row r="1020" spans="93:93" x14ac:dyDescent="0.3">
      <c r="CO1020" s="15"/>
    </row>
    <row r="1021" spans="93:93" x14ac:dyDescent="0.3">
      <c r="CO1021" s="15"/>
    </row>
    <row r="1022" spans="93:93" x14ac:dyDescent="0.3">
      <c r="CO1022" s="15"/>
    </row>
    <row r="1023" spans="93:93" x14ac:dyDescent="0.3">
      <c r="CO1023" s="15"/>
    </row>
    <row r="1024" spans="93:93" x14ac:dyDescent="0.3">
      <c r="CO1024" s="15"/>
    </row>
    <row r="1025" spans="93:93" x14ac:dyDescent="0.3">
      <c r="CO1025" s="15"/>
    </row>
    <row r="1026" spans="93:93" x14ac:dyDescent="0.3">
      <c r="CO1026" s="15"/>
    </row>
    <row r="1027" spans="93:93" x14ac:dyDescent="0.3">
      <c r="CO1027" s="15"/>
    </row>
    <row r="1028" spans="93:93" x14ac:dyDescent="0.3">
      <c r="CO1028" s="15"/>
    </row>
    <row r="1029" spans="93:93" x14ac:dyDescent="0.3">
      <c r="CO1029" s="15"/>
    </row>
    <row r="1030" spans="93:93" x14ac:dyDescent="0.3">
      <c r="CO1030" s="15"/>
    </row>
    <row r="1031" spans="93:93" x14ac:dyDescent="0.3">
      <c r="CO1031" s="15"/>
    </row>
    <row r="1032" spans="93:93" x14ac:dyDescent="0.3">
      <c r="CO1032" s="15"/>
    </row>
    <row r="1033" spans="93:93" x14ac:dyDescent="0.3">
      <c r="CO1033" s="15"/>
    </row>
    <row r="1034" spans="93:93" x14ac:dyDescent="0.3">
      <c r="CO1034" s="15"/>
    </row>
    <row r="1035" spans="93:93" x14ac:dyDescent="0.3">
      <c r="CO1035" s="15"/>
    </row>
    <row r="1036" spans="93:93" x14ac:dyDescent="0.3">
      <c r="CO1036" s="15"/>
    </row>
    <row r="1037" spans="93:93" x14ac:dyDescent="0.3">
      <c r="CO1037" s="15"/>
    </row>
    <row r="1038" spans="93:93" x14ac:dyDescent="0.3">
      <c r="CO1038" s="15"/>
    </row>
    <row r="1039" spans="93:93" x14ac:dyDescent="0.3">
      <c r="CO1039" s="15"/>
    </row>
    <row r="1040" spans="93:93" x14ac:dyDescent="0.3">
      <c r="CO1040" s="15"/>
    </row>
    <row r="1041" spans="93:93" x14ac:dyDescent="0.3">
      <c r="CO1041" s="15"/>
    </row>
    <row r="1042" spans="93:93" x14ac:dyDescent="0.3">
      <c r="CO1042" s="15"/>
    </row>
    <row r="1043" spans="93:93" x14ac:dyDescent="0.3">
      <c r="CO1043" s="15"/>
    </row>
    <row r="1044" spans="93:93" x14ac:dyDescent="0.3">
      <c r="CO1044" s="15"/>
    </row>
    <row r="1045" spans="93:93" x14ac:dyDescent="0.3">
      <c r="CO1045" s="15"/>
    </row>
    <row r="1046" spans="93:93" x14ac:dyDescent="0.3">
      <c r="CO1046" s="15"/>
    </row>
    <row r="1047" spans="93:93" x14ac:dyDescent="0.3">
      <c r="CO1047" s="15"/>
    </row>
    <row r="1048" spans="93:93" x14ac:dyDescent="0.3">
      <c r="CO1048" s="15"/>
    </row>
    <row r="1049" spans="93:93" x14ac:dyDescent="0.3">
      <c r="CO1049" s="15"/>
    </row>
    <row r="1050" spans="93:93" x14ac:dyDescent="0.3">
      <c r="CO1050" s="15"/>
    </row>
    <row r="1051" spans="93:93" x14ac:dyDescent="0.3">
      <c r="CO1051" s="15"/>
    </row>
    <row r="1052" spans="93:93" x14ac:dyDescent="0.3">
      <c r="CO1052" s="15"/>
    </row>
    <row r="1053" spans="93:93" x14ac:dyDescent="0.3">
      <c r="CO1053" s="15"/>
    </row>
    <row r="1054" spans="93:93" x14ac:dyDescent="0.3">
      <c r="CO1054" s="15"/>
    </row>
    <row r="1055" spans="93:93" x14ac:dyDescent="0.3">
      <c r="CO1055" s="15"/>
    </row>
    <row r="1056" spans="93:93" x14ac:dyDescent="0.3">
      <c r="CO1056" s="15"/>
    </row>
    <row r="1057" spans="93:93" x14ac:dyDescent="0.3">
      <c r="CO1057" s="15"/>
    </row>
    <row r="1058" spans="93:93" x14ac:dyDescent="0.3">
      <c r="CO1058" s="15"/>
    </row>
    <row r="1059" spans="93:93" x14ac:dyDescent="0.3">
      <c r="CO1059" s="15"/>
    </row>
    <row r="1060" spans="93:93" x14ac:dyDescent="0.3">
      <c r="CO1060" s="15"/>
    </row>
    <row r="1061" spans="93:93" x14ac:dyDescent="0.3">
      <c r="CO1061" s="15"/>
    </row>
    <row r="1062" spans="93:93" x14ac:dyDescent="0.3">
      <c r="CO1062" s="15"/>
    </row>
    <row r="1063" spans="93:93" x14ac:dyDescent="0.3">
      <c r="CO1063" s="15"/>
    </row>
    <row r="1064" spans="93:93" x14ac:dyDescent="0.3">
      <c r="CO1064" s="15"/>
    </row>
    <row r="1065" spans="93:93" x14ac:dyDescent="0.3">
      <c r="CO1065" s="15"/>
    </row>
    <row r="1066" spans="93:93" x14ac:dyDescent="0.3">
      <c r="CO1066" s="15"/>
    </row>
    <row r="1067" spans="93:93" x14ac:dyDescent="0.3">
      <c r="CO1067" s="15"/>
    </row>
    <row r="1068" spans="93:93" x14ac:dyDescent="0.3">
      <c r="CO1068" s="15"/>
    </row>
    <row r="1069" spans="93:93" x14ac:dyDescent="0.3">
      <c r="CO1069" s="15"/>
    </row>
    <row r="1070" spans="93:93" x14ac:dyDescent="0.3">
      <c r="CO1070" s="15"/>
    </row>
    <row r="1071" spans="93:93" x14ac:dyDescent="0.3">
      <c r="CO1071" s="15"/>
    </row>
    <row r="1072" spans="93:93" x14ac:dyDescent="0.3">
      <c r="CO1072" s="15"/>
    </row>
    <row r="1073" spans="93:93" x14ac:dyDescent="0.3">
      <c r="CO1073" s="15"/>
    </row>
    <row r="1074" spans="93:93" x14ac:dyDescent="0.3">
      <c r="CO1074" s="15"/>
    </row>
    <row r="1075" spans="93:93" x14ac:dyDescent="0.3">
      <c r="CO1075" s="15"/>
    </row>
    <row r="1076" spans="93:93" x14ac:dyDescent="0.3">
      <c r="CO1076" s="15"/>
    </row>
    <row r="1077" spans="93:93" x14ac:dyDescent="0.3">
      <c r="CO1077" s="15"/>
    </row>
    <row r="1078" spans="93:93" x14ac:dyDescent="0.3">
      <c r="CO1078" s="15"/>
    </row>
    <row r="1079" spans="93:93" x14ac:dyDescent="0.3">
      <c r="CO1079" s="15"/>
    </row>
    <row r="1080" spans="93:93" x14ac:dyDescent="0.3">
      <c r="CO1080" s="15"/>
    </row>
    <row r="1081" spans="93:93" x14ac:dyDescent="0.3">
      <c r="CO1081" s="15"/>
    </row>
    <row r="1082" spans="93:93" x14ac:dyDescent="0.3">
      <c r="CO1082" s="15"/>
    </row>
    <row r="1083" spans="93:93" x14ac:dyDescent="0.3">
      <c r="CO1083" s="15"/>
    </row>
    <row r="1084" spans="93:93" x14ac:dyDescent="0.3">
      <c r="CO1084" s="15"/>
    </row>
    <row r="1085" spans="93:93" x14ac:dyDescent="0.3">
      <c r="CO1085" s="15"/>
    </row>
    <row r="1086" spans="93:93" x14ac:dyDescent="0.3">
      <c r="CO1086" s="15"/>
    </row>
    <row r="1087" spans="93:93" x14ac:dyDescent="0.3">
      <c r="CO1087" s="15"/>
    </row>
    <row r="1088" spans="93:93" x14ac:dyDescent="0.3">
      <c r="CO1088" s="15"/>
    </row>
    <row r="1089" spans="93:93" x14ac:dyDescent="0.3">
      <c r="CO1089" s="15"/>
    </row>
    <row r="1090" spans="93:93" x14ac:dyDescent="0.3">
      <c r="CO1090" s="15"/>
    </row>
    <row r="1091" spans="93:93" x14ac:dyDescent="0.3">
      <c r="CO1091" s="15"/>
    </row>
    <row r="1092" spans="93:93" x14ac:dyDescent="0.3">
      <c r="CO1092" s="15"/>
    </row>
    <row r="1093" spans="93:93" x14ac:dyDescent="0.3">
      <c r="CO1093" s="15"/>
    </row>
    <row r="1094" spans="93:93" x14ac:dyDescent="0.3">
      <c r="CO1094" s="15"/>
    </row>
    <row r="1095" spans="93:93" x14ac:dyDescent="0.3">
      <c r="CO1095" s="15"/>
    </row>
    <row r="1096" spans="93:93" x14ac:dyDescent="0.3">
      <c r="CO1096" s="15"/>
    </row>
    <row r="1097" spans="93:93" x14ac:dyDescent="0.3">
      <c r="CO1097" s="15"/>
    </row>
    <row r="1098" spans="93:93" x14ac:dyDescent="0.3">
      <c r="CO1098" s="15"/>
    </row>
    <row r="1099" spans="93:93" x14ac:dyDescent="0.3">
      <c r="CO1099" s="15"/>
    </row>
    <row r="1100" spans="93:93" x14ac:dyDescent="0.3">
      <c r="CO1100" s="15"/>
    </row>
    <row r="1101" spans="93:93" x14ac:dyDescent="0.3">
      <c r="CO1101" s="15"/>
    </row>
    <row r="1102" spans="93:93" x14ac:dyDescent="0.3">
      <c r="CO1102" s="15"/>
    </row>
    <row r="1103" spans="93:93" x14ac:dyDescent="0.3">
      <c r="CO1103" s="15"/>
    </row>
    <row r="1104" spans="93:93" x14ac:dyDescent="0.3">
      <c r="CO1104" s="15"/>
    </row>
    <row r="1105" spans="93:93" x14ac:dyDescent="0.3">
      <c r="CO1105" s="15"/>
    </row>
    <row r="1106" spans="93:93" x14ac:dyDescent="0.3">
      <c r="CO1106" s="15"/>
    </row>
    <row r="1107" spans="93:93" x14ac:dyDescent="0.3">
      <c r="CO1107" s="15"/>
    </row>
    <row r="1108" spans="93:93" x14ac:dyDescent="0.3">
      <c r="CO1108" s="15"/>
    </row>
    <row r="1109" spans="93:93" x14ac:dyDescent="0.3">
      <c r="CO1109" s="15"/>
    </row>
    <row r="1110" spans="93:93" x14ac:dyDescent="0.3">
      <c r="CO1110" s="15"/>
    </row>
    <row r="1111" spans="93:93" x14ac:dyDescent="0.3">
      <c r="CO1111" s="15"/>
    </row>
    <row r="1112" spans="93:93" x14ac:dyDescent="0.3">
      <c r="CO1112" s="15"/>
    </row>
    <row r="1113" spans="93:93" x14ac:dyDescent="0.3">
      <c r="CO1113" s="15"/>
    </row>
    <row r="1114" spans="93:93" x14ac:dyDescent="0.3">
      <c r="CO1114" s="15"/>
    </row>
    <row r="1115" spans="93:93" x14ac:dyDescent="0.3">
      <c r="CO1115" s="15"/>
    </row>
    <row r="1116" spans="93:93" x14ac:dyDescent="0.3">
      <c r="CO1116" s="15"/>
    </row>
    <row r="1117" spans="93:93" x14ac:dyDescent="0.3">
      <c r="CO1117" s="15"/>
    </row>
    <row r="1118" spans="93:93" x14ac:dyDescent="0.3">
      <c r="CO1118" s="15"/>
    </row>
    <row r="1119" spans="93:93" x14ac:dyDescent="0.3">
      <c r="CO1119" s="15"/>
    </row>
    <row r="1120" spans="93:93" x14ac:dyDescent="0.3">
      <c r="CO1120" s="15"/>
    </row>
    <row r="1121" spans="93:93" x14ac:dyDescent="0.3">
      <c r="CO1121" s="15"/>
    </row>
    <row r="1122" spans="93:93" x14ac:dyDescent="0.3">
      <c r="CO1122" s="15"/>
    </row>
    <row r="1123" spans="93:93" x14ac:dyDescent="0.3">
      <c r="CO1123" s="15"/>
    </row>
    <row r="1124" spans="93:93" x14ac:dyDescent="0.3">
      <c r="CO1124" s="15"/>
    </row>
    <row r="1125" spans="93:93" x14ac:dyDescent="0.3">
      <c r="CO1125" s="15"/>
    </row>
    <row r="1126" spans="93:93" x14ac:dyDescent="0.3">
      <c r="CO1126" s="15"/>
    </row>
    <row r="1127" spans="93:93" x14ac:dyDescent="0.3">
      <c r="CO1127" s="15"/>
    </row>
    <row r="1128" spans="93:93" x14ac:dyDescent="0.3">
      <c r="CO1128" s="15"/>
    </row>
    <row r="1129" spans="93:93" x14ac:dyDescent="0.3">
      <c r="CO1129" s="15"/>
    </row>
    <row r="1130" spans="93:93" x14ac:dyDescent="0.3">
      <c r="CO1130" s="15"/>
    </row>
    <row r="1131" spans="93:93" x14ac:dyDescent="0.3">
      <c r="CO1131" s="15"/>
    </row>
    <row r="1132" spans="93:93" x14ac:dyDescent="0.3">
      <c r="CO1132" s="15"/>
    </row>
    <row r="1133" spans="93:93" x14ac:dyDescent="0.3">
      <c r="CO1133" s="15"/>
    </row>
    <row r="1134" spans="93:93" x14ac:dyDescent="0.3">
      <c r="CO1134" s="15"/>
    </row>
    <row r="1135" spans="93:93" x14ac:dyDescent="0.3">
      <c r="CO1135" s="15"/>
    </row>
    <row r="1136" spans="93:93" x14ac:dyDescent="0.3">
      <c r="CO1136" s="15"/>
    </row>
    <row r="1137" spans="93:93" x14ac:dyDescent="0.3">
      <c r="CO1137" s="15"/>
    </row>
    <row r="1138" spans="93:93" x14ac:dyDescent="0.3">
      <c r="CO1138" s="15"/>
    </row>
    <row r="1139" spans="93:93" x14ac:dyDescent="0.3">
      <c r="CO1139" s="15"/>
    </row>
    <row r="1140" spans="93:93" x14ac:dyDescent="0.3">
      <c r="CO1140" s="15"/>
    </row>
    <row r="1141" spans="93:93" x14ac:dyDescent="0.3">
      <c r="CO1141" s="15"/>
    </row>
    <row r="1142" spans="93:93" x14ac:dyDescent="0.3">
      <c r="CO1142" s="15"/>
    </row>
    <row r="1143" spans="93:93" x14ac:dyDescent="0.3">
      <c r="CO1143" s="15"/>
    </row>
    <row r="1144" spans="93:93" x14ac:dyDescent="0.3">
      <c r="CO1144" s="15"/>
    </row>
    <row r="1145" spans="93:93" x14ac:dyDescent="0.3">
      <c r="CO1145" s="15"/>
    </row>
    <row r="1146" spans="93:93" x14ac:dyDescent="0.3">
      <c r="CO1146" s="15"/>
    </row>
    <row r="1147" spans="93:93" x14ac:dyDescent="0.3">
      <c r="CO1147" s="15"/>
    </row>
    <row r="1148" spans="93:93" x14ac:dyDescent="0.3">
      <c r="CO1148" s="15"/>
    </row>
    <row r="1149" spans="93:93" x14ac:dyDescent="0.3">
      <c r="CO1149" s="15"/>
    </row>
    <row r="1150" spans="93:93" x14ac:dyDescent="0.3">
      <c r="CO1150" s="15"/>
    </row>
    <row r="1151" spans="93:93" x14ac:dyDescent="0.3">
      <c r="CO1151" s="15"/>
    </row>
    <row r="1152" spans="93:93" x14ac:dyDescent="0.3">
      <c r="CO1152" s="15"/>
    </row>
    <row r="1153" spans="93:93" x14ac:dyDescent="0.3">
      <c r="CO1153" s="15"/>
    </row>
    <row r="1154" spans="93:93" x14ac:dyDescent="0.3">
      <c r="CO1154" s="15"/>
    </row>
    <row r="1155" spans="93:93" x14ac:dyDescent="0.3">
      <c r="CO1155" s="15"/>
    </row>
    <row r="1156" spans="93:93" x14ac:dyDescent="0.3">
      <c r="CO1156" s="15"/>
    </row>
    <row r="1157" spans="93:93" x14ac:dyDescent="0.3">
      <c r="CO1157" s="15"/>
    </row>
    <row r="1158" spans="93:93" x14ac:dyDescent="0.3">
      <c r="CO1158" s="15"/>
    </row>
    <row r="1159" spans="93:93" x14ac:dyDescent="0.3">
      <c r="CO1159" s="15"/>
    </row>
    <row r="1160" spans="93:93" x14ac:dyDescent="0.3">
      <c r="CO1160" s="15"/>
    </row>
    <row r="1161" spans="93:93" x14ac:dyDescent="0.3">
      <c r="CO1161" s="15"/>
    </row>
    <row r="1162" spans="93:93" x14ac:dyDescent="0.3">
      <c r="CO1162" s="15"/>
    </row>
    <row r="1163" spans="93:93" x14ac:dyDescent="0.3">
      <c r="CO1163" s="15"/>
    </row>
    <row r="1164" spans="93:93" x14ac:dyDescent="0.3">
      <c r="CO1164" s="15"/>
    </row>
    <row r="1165" spans="93:93" x14ac:dyDescent="0.3">
      <c r="CO1165" s="15"/>
    </row>
    <row r="1166" spans="93:93" x14ac:dyDescent="0.3">
      <c r="CO1166" s="15"/>
    </row>
    <row r="1167" spans="93:93" x14ac:dyDescent="0.3">
      <c r="CO1167" s="15"/>
    </row>
    <row r="1168" spans="93:93" x14ac:dyDescent="0.3">
      <c r="CO1168" s="15"/>
    </row>
    <row r="1169" spans="93:93" x14ac:dyDescent="0.3">
      <c r="CO1169" s="15"/>
    </row>
    <row r="1170" spans="93:93" x14ac:dyDescent="0.3">
      <c r="CO1170" s="15"/>
    </row>
    <row r="1171" spans="93:93" x14ac:dyDescent="0.3">
      <c r="CO1171" s="15"/>
    </row>
    <row r="1172" spans="93:93" x14ac:dyDescent="0.3">
      <c r="CO1172" s="15"/>
    </row>
    <row r="1173" spans="93:93" x14ac:dyDescent="0.3">
      <c r="CO1173" s="15"/>
    </row>
    <row r="1174" spans="93:93" x14ac:dyDescent="0.3">
      <c r="CO1174" s="15"/>
    </row>
    <row r="1175" spans="93:93" x14ac:dyDescent="0.3">
      <c r="CO1175" s="15"/>
    </row>
    <row r="1176" spans="93:93" x14ac:dyDescent="0.3">
      <c r="CO1176" s="15"/>
    </row>
    <row r="1177" spans="93:93" x14ac:dyDescent="0.3">
      <c r="CO1177" s="15"/>
    </row>
    <row r="1178" spans="93:93" x14ac:dyDescent="0.3">
      <c r="CO1178" s="15"/>
    </row>
    <row r="1179" spans="93:93" x14ac:dyDescent="0.3">
      <c r="CO1179" s="15"/>
    </row>
    <row r="1180" spans="93:93" x14ac:dyDescent="0.3">
      <c r="CO1180" s="15"/>
    </row>
    <row r="1181" spans="93:93" x14ac:dyDescent="0.3">
      <c r="CO1181" s="15"/>
    </row>
    <row r="1182" spans="93:93" x14ac:dyDescent="0.3">
      <c r="CO1182" s="15"/>
    </row>
    <row r="1183" spans="93:93" x14ac:dyDescent="0.3">
      <c r="CO1183" s="15"/>
    </row>
    <row r="1184" spans="93:93" x14ac:dyDescent="0.3">
      <c r="CO1184" s="15"/>
    </row>
    <row r="1185" spans="93:93" x14ac:dyDescent="0.3">
      <c r="CO1185" s="15"/>
    </row>
    <row r="1186" spans="93:93" x14ac:dyDescent="0.3">
      <c r="CO1186" s="15"/>
    </row>
    <row r="1187" spans="93:93" x14ac:dyDescent="0.3">
      <c r="CO1187" s="15"/>
    </row>
    <row r="1188" spans="93:93" x14ac:dyDescent="0.3">
      <c r="CO1188" s="15"/>
    </row>
    <row r="1189" spans="93:93" x14ac:dyDescent="0.3">
      <c r="CO1189" s="15"/>
    </row>
    <row r="1190" spans="93:93" x14ac:dyDescent="0.3">
      <c r="CO1190" s="15"/>
    </row>
    <row r="1191" spans="93:93" x14ac:dyDescent="0.3">
      <c r="CO1191" s="15"/>
    </row>
    <row r="1192" spans="93:93" x14ac:dyDescent="0.3">
      <c r="CO1192" s="15"/>
    </row>
    <row r="1193" spans="93:93" x14ac:dyDescent="0.3">
      <c r="CO1193" s="15"/>
    </row>
    <row r="1194" spans="93:93" x14ac:dyDescent="0.3">
      <c r="CO1194" s="15"/>
    </row>
    <row r="1195" spans="93:93" x14ac:dyDescent="0.3">
      <c r="CO1195" s="15"/>
    </row>
    <row r="1196" spans="93:93" x14ac:dyDescent="0.3">
      <c r="CO1196" s="15"/>
    </row>
    <row r="1197" spans="93:93" x14ac:dyDescent="0.3">
      <c r="CO1197" s="15"/>
    </row>
    <row r="1198" spans="93:93" x14ac:dyDescent="0.3">
      <c r="CO1198" s="15"/>
    </row>
    <row r="1199" spans="93:93" x14ac:dyDescent="0.3">
      <c r="CO1199" s="15"/>
    </row>
    <row r="1200" spans="93:93" x14ac:dyDescent="0.3">
      <c r="CO1200" s="15"/>
    </row>
    <row r="1201" spans="93:93" x14ac:dyDescent="0.3">
      <c r="CO1201" s="15"/>
    </row>
    <row r="1202" spans="93:93" x14ac:dyDescent="0.3">
      <c r="CO1202" s="15"/>
    </row>
    <row r="1203" spans="93:93" x14ac:dyDescent="0.3">
      <c r="CO1203" s="15"/>
    </row>
    <row r="1204" spans="93:93" x14ac:dyDescent="0.3">
      <c r="CO1204" s="15"/>
    </row>
    <row r="1205" spans="93:93" x14ac:dyDescent="0.3">
      <c r="CO1205" s="15"/>
    </row>
    <row r="1206" spans="93:93" x14ac:dyDescent="0.3">
      <c r="CO1206" s="15"/>
    </row>
    <row r="1207" spans="93:93" x14ac:dyDescent="0.3">
      <c r="CO1207" s="15"/>
    </row>
    <row r="1208" spans="93:93" x14ac:dyDescent="0.3">
      <c r="CO1208" s="15"/>
    </row>
    <row r="1209" spans="93:93" x14ac:dyDescent="0.3">
      <c r="CO1209" s="15"/>
    </row>
    <row r="1210" spans="93:93" x14ac:dyDescent="0.3">
      <c r="CO1210" s="15"/>
    </row>
    <row r="1211" spans="93:93" x14ac:dyDescent="0.3">
      <c r="CO1211" s="15"/>
    </row>
    <row r="1212" spans="93:93" x14ac:dyDescent="0.3">
      <c r="CO1212" s="15"/>
    </row>
    <row r="1213" spans="93:93" x14ac:dyDescent="0.3">
      <c r="CO1213" s="15"/>
    </row>
    <row r="1214" spans="93:93" x14ac:dyDescent="0.3">
      <c r="CO1214" s="15"/>
    </row>
    <row r="1215" spans="93:93" x14ac:dyDescent="0.3">
      <c r="CO1215" s="15"/>
    </row>
    <row r="1216" spans="93:93" x14ac:dyDescent="0.3">
      <c r="CO1216" s="15"/>
    </row>
    <row r="1217" spans="93:93" x14ac:dyDescent="0.3">
      <c r="CO1217" s="15"/>
    </row>
    <row r="1218" spans="93:93" x14ac:dyDescent="0.3">
      <c r="CO1218" s="15"/>
    </row>
    <row r="1219" spans="93:93" x14ac:dyDescent="0.3">
      <c r="CO1219" s="15"/>
    </row>
    <row r="1220" spans="93:93" x14ac:dyDescent="0.3">
      <c r="CO1220" s="15"/>
    </row>
    <row r="1221" spans="93:93" x14ac:dyDescent="0.3">
      <c r="CO1221" s="15"/>
    </row>
    <row r="1222" spans="93:93" x14ac:dyDescent="0.3">
      <c r="CO1222" s="15"/>
    </row>
    <row r="1223" spans="93:93" x14ac:dyDescent="0.3">
      <c r="CO1223" s="15"/>
    </row>
    <row r="1224" spans="93:93" x14ac:dyDescent="0.3">
      <c r="CO1224" s="15"/>
    </row>
    <row r="1225" spans="93:93" x14ac:dyDescent="0.3">
      <c r="CO1225" s="15"/>
    </row>
    <row r="1226" spans="93:93" x14ac:dyDescent="0.3">
      <c r="CO1226" s="15"/>
    </row>
    <row r="1227" spans="93:93" x14ac:dyDescent="0.3">
      <c r="CO1227" s="15"/>
    </row>
    <row r="1228" spans="93:93" x14ac:dyDescent="0.3">
      <c r="CO1228" s="15"/>
    </row>
    <row r="1229" spans="93:93" x14ac:dyDescent="0.3">
      <c r="CO1229" s="15"/>
    </row>
    <row r="1230" spans="93:93" x14ac:dyDescent="0.3">
      <c r="CO1230" s="15"/>
    </row>
    <row r="1231" spans="93:93" x14ac:dyDescent="0.3">
      <c r="CO1231" s="15"/>
    </row>
    <row r="1232" spans="93:93" x14ac:dyDescent="0.3">
      <c r="CO1232" s="15"/>
    </row>
    <row r="1233" spans="93:93" x14ac:dyDescent="0.3">
      <c r="CO1233" s="15"/>
    </row>
    <row r="1234" spans="93:93" x14ac:dyDescent="0.3">
      <c r="CO1234" s="15"/>
    </row>
    <row r="1235" spans="93:93" x14ac:dyDescent="0.3">
      <c r="CO1235" s="15"/>
    </row>
    <row r="1236" spans="93:93" x14ac:dyDescent="0.3">
      <c r="CO1236" s="15"/>
    </row>
    <row r="1237" spans="93:93" x14ac:dyDescent="0.3">
      <c r="CO1237" s="15"/>
    </row>
    <row r="1238" spans="93:93" x14ac:dyDescent="0.3">
      <c r="CO1238" s="15"/>
    </row>
    <row r="1239" spans="93:93" x14ac:dyDescent="0.3">
      <c r="CO1239" s="15"/>
    </row>
    <row r="1240" spans="93:93" x14ac:dyDescent="0.3">
      <c r="CO1240" s="15"/>
    </row>
    <row r="1241" spans="93:93" x14ac:dyDescent="0.3">
      <c r="CO1241" s="15"/>
    </row>
    <row r="1242" spans="93:93" x14ac:dyDescent="0.3">
      <c r="CO1242" s="15"/>
    </row>
    <row r="1243" spans="93:93" x14ac:dyDescent="0.3">
      <c r="CO1243" s="15"/>
    </row>
    <row r="1244" spans="93:93" x14ac:dyDescent="0.3">
      <c r="CO1244" s="15"/>
    </row>
    <row r="1245" spans="93:93" x14ac:dyDescent="0.3">
      <c r="CO1245" s="15"/>
    </row>
    <row r="1246" spans="93:93" x14ac:dyDescent="0.3">
      <c r="CO1246" s="15"/>
    </row>
    <row r="1247" spans="93:93" x14ac:dyDescent="0.3">
      <c r="CO1247" s="15"/>
    </row>
    <row r="1248" spans="93:93" x14ac:dyDescent="0.3">
      <c r="CO1248" s="15"/>
    </row>
    <row r="1249" spans="93:93" x14ac:dyDescent="0.3">
      <c r="CO1249" s="15"/>
    </row>
    <row r="1250" spans="93:93" x14ac:dyDescent="0.3">
      <c r="CO1250" s="15"/>
    </row>
    <row r="1251" spans="93:93" x14ac:dyDescent="0.3">
      <c r="CO1251" s="15"/>
    </row>
    <row r="1252" spans="93:93" x14ac:dyDescent="0.3">
      <c r="CO1252" s="15"/>
    </row>
    <row r="1253" spans="93:93" x14ac:dyDescent="0.3">
      <c r="CO1253" s="15"/>
    </row>
    <row r="1254" spans="93:93" x14ac:dyDescent="0.3">
      <c r="CO1254" s="15"/>
    </row>
    <row r="1255" spans="93:93" x14ac:dyDescent="0.3">
      <c r="CO1255" s="15"/>
    </row>
    <row r="1256" spans="93:93" x14ac:dyDescent="0.3">
      <c r="CO1256" s="15"/>
    </row>
    <row r="1257" spans="93:93" x14ac:dyDescent="0.3">
      <c r="CO1257" s="15"/>
    </row>
    <row r="1258" spans="93:93" x14ac:dyDescent="0.3">
      <c r="CO1258" s="15"/>
    </row>
    <row r="1259" spans="93:93" x14ac:dyDescent="0.3">
      <c r="CO1259" s="15"/>
    </row>
    <row r="1260" spans="93:93" x14ac:dyDescent="0.3">
      <c r="CO1260" s="15"/>
    </row>
    <row r="1261" spans="93:93" x14ac:dyDescent="0.3">
      <c r="CO1261" s="15"/>
    </row>
    <row r="1262" spans="93:93" x14ac:dyDescent="0.3">
      <c r="CO1262" s="15"/>
    </row>
    <row r="1263" spans="93:93" x14ac:dyDescent="0.3">
      <c r="CO1263" s="15"/>
    </row>
    <row r="1264" spans="93:93" x14ac:dyDescent="0.3">
      <c r="CO1264" s="15"/>
    </row>
    <row r="1265" spans="93:93" x14ac:dyDescent="0.3">
      <c r="CO1265" s="15"/>
    </row>
    <row r="1266" spans="93:93" x14ac:dyDescent="0.3">
      <c r="CO1266" s="15"/>
    </row>
    <row r="1267" spans="93:93" x14ac:dyDescent="0.3">
      <c r="CO1267" s="15"/>
    </row>
    <row r="1268" spans="93:93" x14ac:dyDescent="0.3">
      <c r="CO1268" s="15"/>
    </row>
    <row r="1269" spans="93:93" x14ac:dyDescent="0.3">
      <c r="CO1269" s="15"/>
    </row>
    <row r="1270" spans="93:93" x14ac:dyDescent="0.3">
      <c r="CO1270" s="15"/>
    </row>
    <row r="1271" spans="93:93" x14ac:dyDescent="0.3">
      <c r="CO1271" s="15"/>
    </row>
    <row r="1272" spans="93:93" x14ac:dyDescent="0.3">
      <c r="CO1272" s="15"/>
    </row>
    <row r="1273" spans="93:93" x14ac:dyDescent="0.3">
      <c r="CO1273" s="15"/>
    </row>
    <row r="1274" spans="93:93" x14ac:dyDescent="0.3">
      <c r="CO1274" s="15"/>
    </row>
    <row r="1275" spans="93:93" x14ac:dyDescent="0.3">
      <c r="CO1275" s="15"/>
    </row>
    <row r="1276" spans="93:93" x14ac:dyDescent="0.3">
      <c r="CO1276" s="15"/>
    </row>
    <row r="1277" spans="93:93" x14ac:dyDescent="0.3">
      <c r="CO1277" s="15"/>
    </row>
    <row r="1278" spans="93:93" x14ac:dyDescent="0.3">
      <c r="CO1278" s="15"/>
    </row>
    <row r="1279" spans="93:93" x14ac:dyDescent="0.3">
      <c r="CO1279" s="15"/>
    </row>
    <row r="1280" spans="93:93" x14ac:dyDescent="0.3">
      <c r="CO1280" s="15"/>
    </row>
    <row r="1281" spans="93:93" x14ac:dyDescent="0.3">
      <c r="CO1281" s="15"/>
    </row>
    <row r="1282" spans="93:93" x14ac:dyDescent="0.3">
      <c r="CO1282" s="15"/>
    </row>
    <row r="1283" spans="93:93" x14ac:dyDescent="0.3">
      <c r="CO1283" s="15"/>
    </row>
    <row r="1284" spans="93:93" x14ac:dyDescent="0.3">
      <c r="CO1284" s="15"/>
    </row>
    <row r="1285" spans="93:93" x14ac:dyDescent="0.3">
      <c r="CO1285" s="15"/>
    </row>
    <row r="1286" spans="93:93" x14ac:dyDescent="0.3">
      <c r="CO1286" s="15"/>
    </row>
    <row r="1287" spans="93:93" x14ac:dyDescent="0.3">
      <c r="CO1287" s="15"/>
    </row>
    <row r="1288" spans="93:93" x14ac:dyDescent="0.3">
      <c r="CO1288" s="15"/>
    </row>
    <row r="1289" spans="93:93" x14ac:dyDescent="0.3">
      <c r="CO1289" s="15"/>
    </row>
    <row r="1290" spans="93:93" x14ac:dyDescent="0.3">
      <c r="CO1290" s="15"/>
    </row>
    <row r="1291" spans="93:93" x14ac:dyDescent="0.3">
      <c r="CO1291" s="15"/>
    </row>
    <row r="1292" spans="93:93" x14ac:dyDescent="0.3">
      <c r="CO1292" s="15"/>
    </row>
    <row r="1293" spans="93:93" x14ac:dyDescent="0.3">
      <c r="CO1293" s="15"/>
    </row>
    <row r="1294" spans="93:93" x14ac:dyDescent="0.3">
      <c r="CO1294" s="15"/>
    </row>
    <row r="1295" spans="93:93" x14ac:dyDescent="0.3">
      <c r="CO1295" s="15"/>
    </row>
    <row r="1296" spans="93:93" x14ac:dyDescent="0.3">
      <c r="CO1296" s="15"/>
    </row>
    <row r="1297" spans="93:93" x14ac:dyDescent="0.3">
      <c r="CO1297" s="15"/>
    </row>
    <row r="1298" spans="93:93" x14ac:dyDescent="0.3">
      <c r="CO1298" s="15"/>
    </row>
    <row r="1299" spans="93:93" x14ac:dyDescent="0.3">
      <c r="CO1299" s="15"/>
    </row>
    <row r="1300" spans="93:93" x14ac:dyDescent="0.3">
      <c r="CO1300" s="15"/>
    </row>
    <row r="1301" spans="93:93" x14ac:dyDescent="0.3">
      <c r="CO1301" s="15"/>
    </row>
    <row r="1302" spans="93:93" x14ac:dyDescent="0.3">
      <c r="CO1302" s="15"/>
    </row>
    <row r="1303" spans="93:93" x14ac:dyDescent="0.3">
      <c r="CO1303" s="15"/>
    </row>
    <row r="1304" spans="93:93" x14ac:dyDescent="0.3">
      <c r="CO1304" s="15"/>
    </row>
    <row r="1305" spans="93:93" x14ac:dyDescent="0.3">
      <c r="CO1305" s="15"/>
    </row>
    <row r="1306" spans="93:93" x14ac:dyDescent="0.3">
      <c r="CO1306" s="15"/>
    </row>
    <row r="1307" spans="93:93" x14ac:dyDescent="0.3">
      <c r="CO1307" s="15"/>
    </row>
    <row r="1308" spans="93:93" x14ac:dyDescent="0.3">
      <c r="CO1308" s="15"/>
    </row>
    <row r="1309" spans="93:93" x14ac:dyDescent="0.3">
      <c r="CO1309" s="15"/>
    </row>
    <row r="1310" spans="93:93" x14ac:dyDescent="0.3">
      <c r="CO1310" s="15"/>
    </row>
    <row r="1311" spans="93:93" x14ac:dyDescent="0.3">
      <c r="CO1311" s="15"/>
    </row>
    <row r="1312" spans="93:93" x14ac:dyDescent="0.3">
      <c r="CO1312" s="15"/>
    </row>
    <row r="1313" spans="93:93" x14ac:dyDescent="0.3">
      <c r="CO1313" s="15"/>
    </row>
    <row r="1314" spans="93:93" x14ac:dyDescent="0.3">
      <c r="CO1314" s="15"/>
    </row>
    <row r="1315" spans="93:93" x14ac:dyDescent="0.3">
      <c r="CO1315" s="15"/>
    </row>
    <row r="1316" spans="93:93" x14ac:dyDescent="0.3">
      <c r="CO1316" s="15"/>
    </row>
    <row r="1317" spans="93:93" x14ac:dyDescent="0.3">
      <c r="CO1317" s="15"/>
    </row>
    <row r="1318" spans="93:93" x14ac:dyDescent="0.3">
      <c r="CO1318" s="15"/>
    </row>
    <row r="1319" spans="93:93" x14ac:dyDescent="0.3">
      <c r="CO1319" s="15"/>
    </row>
    <row r="1320" spans="93:93" x14ac:dyDescent="0.3">
      <c r="CO1320" s="15"/>
    </row>
    <row r="1321" spans="93:93" x14ac:dyDescent="0.3">
      <c r="CO1321" s="15"/>
    </row>
    <row r="1322" spans="93:93" x14ac:dyDescent="0.3">
      <c r="CO1322" s="15"/>
    </row>
    <row r="1323" spans="93:93" x14ac:dyDescent="0.3">
      <c r="CO1323" s="15"/>
    </row>
    <row r="1324" spans="93:93" x14ac:dyDescent="0.3">
      <c r="CO1324" s="15"/>
    </row>
    <row r="1325" spans="93:93" x14ac:dyDescent="0.3">
      <c r="CO1325" s="15"/>
    </row>
    <row r="1326" spans="93:93" x14ac:dyDescent="0.3">
      <c r="CO1326" s="15"/>
    </row>
    <row r="1327" spans="93:93" x14ac:dyDescent="0.3">
      <c r="CO1327" s="15"/>
    </row>
    <row r="1328" spans="93:93" x14ac:dyDescent="0.3">
      <c r="CO1328" s="15"/>
    </row>
    <row r="1329" spans="93:93" x14ac:dyDescent="0.3">
      <c r="CO1329" s="15"/>
    </row>
    <row r="1330" spans="93:93" x14ac:dyDescent="0.3">
      <c r="CO1330" s="15"/>
    </row>
    <row r="1331" spans="93:93" x14ac:dyDescent="0.3">
      <c r="CO1331" s="15"/>
    </row>
    <row r="1332" spans="93:93" x14ac:dyDescent="0.3">
      <c r="CO1332" s="15"/>
    </row>
    <row r="1333" spans="93:93" x14ac:dyDescent="0.3">
      <c r="CO1333" s="15"/>
    </row>
    <row r="1334" spans="93:93" x14ac:dyDescent="0.3">
      <c r="CO1334" s="15"/>
    </row>
    <row r="1335" spans="93:93" x14ac:dyDescent="0.3">
      <c r="CO1335" s="15"/>
    </row>
    <row r="1336" spans="93:93" x14ac:dyDescent="0.3">
      <c r="CO1336" s="15"/>
    </row>
    <row r="1337" spans="93:93" x14ac:dyDescent="0.3">
      <c r="CO1337" s="15"/>
    </row>
    <row r="1338" spans="93:93" x14ac:dyDescent="0.3">
      <c r="CO1338" s="15"/>
    </row>
    <row r="1339" spans="93:93" x14ac:dyDescent="0.3">
      <c r="CO1339" s="15"/>
    </row>
    <row r="1340" spans="93:93" x14ac:dyDescent="0.3">
      <c r="CO1340" s="15"/>
    </row>
    <row r="1341" spans="93:93" x14ac:dyDescent="0.3">
      <c r="CO1341" s="15"/>
    </row>
    <row r="1342" spans="93:93" x14ac:dyDescent="0.3">
      <c r="CO1342" s="15"/>
    </row>
    <row r="1343" spans="93:93" x14ac:dyDescent="0.3">
      <c r="CO1343" s="15"/>
    </row>
    <row r="1344" spans="93:93" x14ac:dyDescent="0.3">
      <c r="CO1344" s="15"/>
    </row>
    <row r="1345" spans="93:93" x14ac:dyDescent="0.3">
      <c r="CO1345" s="15"/>
    </row>
    <row r="1346" spans="93:93" x14ac:dyDescent="0.3">
      <c r="CO1346" s="15"/>
    </row>
    <row r="1347" spans="93:93" x14ac:dyDescent="0.3">
      <c r="CO1347" s="15"/>
    </row>
    <row r="1348" spans="93:93" x14ac:dyDescent="0.3">
      <c r="CO1348" s="15"/>
    </row>
    <row r="1349" spans="93:93" x14ac:dyDescent="0.3">
      <c r="CO1349" s="15"/>
    </row>
    <row r="1350" spans="93:93" x14ac:dyDescent="0.3">
      <c r="CO1350" s="15"/>
    </row>
    <row r="1351" spans="93:93" x14ac:dyDescent="0.3">
      <c r="CO1351" s="15"/>
    </row>
    <row r="1352" spans="93:93" x14ac:dyDescent="0.3">
      <c r="CO1352" s="15"/>
    </row>
    <row r="1353" spans="93:93" x14ac:dyDescent="0.3">
      <c r="CO1353" s="15"/>
    </row>
    <row r="1354" spans="93:93" x14ac:dyDescent="0.3">
      <c r="CO1354" s="15"/>
    </row>
    <row r="1355" spans="93:93" x14ac:dyDescent="0.3">
      <c r="CO1355" s="15"/>
    </row>
    <row r="1356" spans="93:93" x14ac:dyDescent="0.3">
      <c r="CO1356" s="15"/>
    </row>
    <row r="1357" spans="93:93" x14ac:dyDescent="0.3">
      <c r="CO1357" s="15"/>
    </row>
    <row r="1358" spans="93:93" x14ac:dyDescent="0.3">
      <c r="CO1358" s="15"/>
    </row>
    <row r="1359" spans="93:93" x14ac:dyDescent="0.3">
      <c r="CO1359" s="15"/>
    </row>
    <row r="1360" spans="93:93" x14ac:dyDescent="0.3">
      <c r="CO1360" s="15"/>
    </row>
    <row r="1361" spans="93:93" x14ac:dyDescent="0.3">
      <c r="CO1361" s="15"/>
    </row>
    <row r="1362" spans="93:93" x14ac:dyDescent="0.3">
      <c r="CO1362" s="15"/>
    </row>
    <row r="1363" spans="93:93" x14ac:dyDescent="0.3">
      <c r="CO1363" s="15"/>
    </row>
    <row r="1364" spans="93:93" x14ac:dyDescent="0.3">
      <c r="CO1364" s="15"/>
    </row>
    <row r="1365" spans="93:93" x14ac:dyDescent="0.3">
      <c r="CO1365" s="15"/>
    </row>
    <row r="1366" spans="93:93" x14ac:dyDescent="0.3">
      <c r="CO1366" s="15"/>
    </row>
    <row r="1367" spans="93:93" x14ac:dyDescent="0.3">
      <c r="CO1367" s="15"/>
    </row>
    <row r="1368" spans="93:93" x14ac:dyDescent="0.3">
      <c r="CO1368" s="15"/>
    </row>
    <row r="1369" spans="93:93" x14ac:dyDescent="0.3">
      <c r="CO1369" s="15"/>
    </row>
    <row r="1370" spans="93:93" x14ac:dyDescent="0.3">
      <c r="CO1370" s="15"/>
    </row>
    <row r="1371" spans="93:93" x14ac:dyDescent="0.3">
      <c r="CO1371" s="15"/>
    </row>
    <row r="1372" spans="93:93" x14ac:dyDescent="0.3">
      <c r="CO1372" s="15"/>
    </row>
    <row r="1373" spans="93:93" x14ac:dyDescent="0.3">
      <c r="CO1373" s="15"/>
    </row>
    <row r="1374" spans="93:93" x14ac:dyDescent="0.3">
      <c r="CO1374" s="15"/>
    </row>
    <row r="1375" spans="93:93" x14ac:dyDescent="0.3">
      <c r="CO1375" s="15"/>
    </row>
    <row r="1376" spans="93:93" x14ac:dyDescent="0.3">
      <c r="CO1376" s="15"/>
    </row>
    <row r="1377" spans="93:93" x14ac:dyDescent="0.3">
      <c r="CO1377" s="15"/>
    </row>
    <row r="1378" spans="93:93" x14ac:dyDescent="0.3">
      <c r="CO1378" s="15"/>
    </row>
    <row r="1379" spans="93:93" x14ac:dyDescent="0.3">
      <c r="CO1379" s="15"/>
    </row>
    <row r="1380" spans="93:93" x14ac:dyDescent="0.3">
      <c r="CO1380" s="15"/>
    </row>
    <row r="1381" spans="93:93" x14ac:dyDescent="0.3">
      <c r="CO1381" s="15"/>
    </row>
    <row r="1382" spans="93:93" x14ac:dyDescent="0.3">
      <c r="CO1382" s="15"/>
    </row>
    <row r="1383" spans="93:93" x14ac:dyDescent="0.3">
      <c r="CO1383" s="15"/>
    </row>
    <row r="1384" spans="93:93" x14ac:dyDescent="0.3">
      <c r="CO1384" s="15"/>
    </row>
    <row r="1385" spans="93:93" x14ac:dyDescent="0.3">
      <c r="CO1385" s="15"/>
    </row>
    <row r="1386" spans="93:93" x14ac:dyDescent="0.3">
      <c r="CO1386" s="15"/>
    </row>
    <row r="1387" spans="93:93" x14ac:dyDescent="0.3">
      <c r="CO1387" s="15"/>
    </row>
    <row r="1388" spans="93:93" x14ac:dyDescent="0.3">
      <c r="CO1388" s="15"/>
    </row>
    <row r="1389" spans="93:93" x14ac:dyDescent="0.3">
      <c r="CO1389" s="15"/>
    </row>
    <row r="1390" spans="93:93" x14ac:dyDescent="0.3">
      <c r="CO1390" s="15"/>
    </row>
    <row r="1391" spans="93:93" x14ac:dyDescent="0.3">
      <c r="CO1391" s="15"/>
    </row>
    <row r="1392" spans="93:93" x14ac:dyDescent="0.3">
      <c r="CO1392" s="15"/>
    </row>
    <row r="1393" spans="93:93" x14ac:dyDescent="0.3">
      <c r="CO1393" s="15"/>
    </row>
    <row r="1394" spans="93:93" x14ac:dyDescent="0.3">
      <c r="CO1394" s="15"/>
    </row>
    <row r="1395" spans="93:93" x14ac:dyDescent="0.3">
      <c r="CO1395" s="15"/>
    </row>
    <row r="1396" spans="93:93" x14ac:dyDescent="0.3">
      <c r="CO1396" s="15"/>
    </row>
    <row r="1397" spans="93:93" x14ac:dyDescent="0.3">
      <c r="CO1397" s="15"/>
    </row>
    <row r="1398" spans="93:93" x14ac:dyDescent="0.3">
      <c r="CO1398" s="15"/>
    </row>
    <row r="1399" spans="93:93" x14ac:dyDescent="0.3">
      <c r="CO1399" s="15"/>
    </row>
    <row r="1400" spans="93:93" x14ac:dyDescent="0.3">
      <c r="CO1400" s="15"/>
    </row>
    <row r="1401" spans="93:93" x14ac:dyDescent="0.3">
      <c r="CO1401" s="15"/>
    </row>
    <row r="1402" spans="93:93" x14ac:dyDescent="0.3">
      <c r="CO1402" s="15"/>
    </row>
    <row r="1403" spans="93:93" x14ac:dyDescent="0.3">
      <c r="CO1403" s="15"/>
    </row>
    <row r="1404" spans="93:93" x14ac:dyDescent="0.3">
      <c r="CO1404" s="15"/>
    </row>
    <row r="1405" spans="93:93" x14ac:dyDescent="0.3">
      <c r="CO1405" s="15"/>
    </row>
    <row r="1406" spans="93:93" x14ac:dyDescent="0.3">
      <c r="CO1406" s="15"/>
    </row>
    <row r="1407" spans="93:93" x14ac:dyDescent="0.3">
      <c r="CO1407" s="15"/>
    </row>
    <row r="1408" spans="93:93" x14ac:dyDescent="0.3">
      <c r="CO1408" s="15"/>
    </row>
    <row r="1409" spans="93:93" x14ac:dyDescent="0.3">
      <c r="CO1409" s="15"/>
    </row>
    <row r="1410" spans="93:93" x14ac:dyDescent="0.3">
      <c r="CO1410" s="15"/>
    </row>
    <row r="1411" spans="93:93" x14ac:dyDescent="0.3">
      <c r="CO1411" s="15"/>
    </row>
    <row r="1412" spans="93:93" x14ac:dyDescent="0.3">
      <c r="CO1412" s="15"/>
    </row>
    <row r="1413" spans="93:93" x14ac:dyDescent="0.3">
      <c r="CO1413" s="15"/>
    </row>
    <row r="1414" spans="93:93" x14ac:dyDescent="0.3">
      <c r="CO1414" s="15"/>
    </row>
    <row r="1415" spans="93:93" x14ac:dyDescent="0.3">
      <c r="CO1415" s="15"/>
    </row>
    <row r="1416" spans="93:93" x14ac:dyDescent="0.3">
      <c r="CO1416" s="15"/>
    </row>
    <row r="1417" spans="93:93" x14ac:dyDescent="0.3">
      <c r="CO1417" s="15"/>
    </row>
    <row r="1418" spans="93:93" x14ac:dyDescent="0.3">
      <c r="CO1418" s="15"/>
    </row>
    <row r="1419" spans="93:93" x14ac:dyDescent="0.3">
      <c r="CO1419" s="15"/>
    </row>
    <row r="1420" spans="93:93" x14ac:dyDescent="0.3">
      <c r="CO1420" s="15"/>
    </row>
    <row r="1421" spans="93:93" x14ac:dyDescent="0.3">
      <c r="CO1421" s="15"/>
    </row>
    <row r="1422" spans="93:93" x14ac:dyDescent="0.3">
      <c r="CO1422" s="15"/>
    </row>
    <row r="1423" spans="93:93" x14ac:dyDescent="0.3">
      <c r="CO1423" s="15"/>
    </row>
    <row r="1424" spans="93:93" x14ac:dyDescent="0.3">
      <c r="CO1424" s="15"/>
    </row>
    <row r="1425" spans="93:93" x14ac:dyDescent="0.3">
      <c r="CO1425" s="15"/>
    </row>
    <row r="1426" spans="93:93" x14ac:dyDescent="0.3">
      <c r="CO1426" s="15"/>
    </row>
    <row r="1427" spans="93:93" x14ac:dyDescent="0.3">
      <c r="CO1427" s="15"/>
    </row>
    <row r="1428" spans="93:93" x14ac:dyDescent="0.3">
      <c r="CO1428" s="15"/>
    </row>
    <row r="1429" spans="93:93" x14ac:dyDescent="0.3">
      <c r="CO1429" s="15"/>
    </row>
    <row r="1430" spans="93:93" x14ac:dyDescent="0.3">
      <c r="CO1430" s="15"/>
    </row>
    <row r="1431" spans="93:93" x14ac:dyDescent="0.3">
      <c r="CO1431" s="15"/>
    </row>
    <row r="1432" spans="93:93" x14ac:dyDescent="0.3">
      <c r="CO1432" s="15"/>
    </row>
    <row r="1433" spans="93:93" x14ac:dyDescent="0.3">
      <c r="CO1433" s="15"/>
    </row>
    <row r="1434" spans="93:93" x14ac:dyDescent="0.3">
      <c r="CO1434" s="15"/>
    </row>
    <row r="1435" spans="93:93" x14ac:dyDescent="0.3">
      <c r="CO1435" s="15"/>
    </row>
    <row r="1436" spans="93:93" x14ac:dyDescent="0.3">
      <c r="CO1436" s="15"/>
    </row>
    <row r="1437" spans="93:93" x14ac:dyDescent="0.3">
      <c r="CO1437" s="15"/>
    </row>
    <row r="1438" spans="93:93" x14ac:dyDescent="0.3">
      <c r="CO1438" s="15"/>
    </row>
    <row r="1439" spans="93:93" x14ac:dyDescent="0.3">
      <c r="CO1439" s="15"/>
    </row>
    <row r="1440" spans="93:93" x14ac:dyDescent="0.3">
      <c r="CO1440" s="15"/>
    </row>
    <row r="1441" spans="93:93" x14ac:dyDescent="0.3">
      <c r="CO1441" s="15"/>
    </row>
    <row r="1442" spans="93:93" x14ac:dyDescent="0.3">
      <c r="CO1442" s="15"/>
    </row>
    <row r="1443" spans="93:93" x14ac:dyDescent="0.3">
      <c r="CO1443" s="15"/>
    </row>
    <row r="1444" spans="93:93" x14ac:dyDescent="0.3">
      <c r="CO1444" s="15"/>
    </row>
    <row r="1445" spans="93:93" x14ac:dyDescent="0.3">
      <c r="CO1445" s="15"/>
    </row>
    <row r="1446" spans="93:93" x14ac:dyDescent="0.3">
      <c r="CO1446" s="15"/>
    </row>
    <row r="1447" spans="93:93" x14ac:dyDescent="0.3">
      <c r="CO1447" s="15"/>
    </row>
    <row r="1448" spans="93:93" x14ac:dyDescent="0.3">
      <c r="CO1448" s="15"/>
    </row>
    <row r="1449" spans="93:93" x14ac:dyDescent="0.3">
      <c r="CO1449" s="15"/>
    </row>
    <row r="1450" spans="93:93" x14ac:dyDescent="0.3">
      <c r="CO1450" s="15"/>
    </row>
    <row r="1451" spans="93:93" x14ac:dyDescent="0.3">
      <c r="CO1451" s="15"/>
    </row>
    <row r="1452" spans="93:93" x14ac:dyDescent="0.3">
      <c r="CO1452" s="15"/>
    </row>
    <row r="1453" spans="93:93" x14ac:dyDescent="0.3">
      <c r="CO1453" s="15"/>
    </row>
    <row r="1454" spans="93:93" x14ac:dyDescent="0.3">
      <c r="CO1454" s="15"/>
    </row>
    <row r="1455" spans="93:93" x14ac:dyDescent="0.3">
      <c r="CO1455" s="15"/>
    </row>
    <row r="1456" spans="93:93" x14ac:dyDescent="0.3">
      <c r="CO1456" s="15"/>
    </row>
    <row r="1457" spans="93:93" x14ac:dyDescent="0.3">
      <c r="CO1457" s="15"/>
    </row>
    <row r="1458" spans="93:93" x14ac:dyDescent="0.3">
      <c r="CO1458" s="15"/>
    </row>
    <row r="1459" spans="93:93" x14ac:dyDescent="0.3">
      <c r="CO1459" s="15"/>
    </row>
    <row r="1460" spans="93:93" x14ac:dyDescent="0.3">
      <c r="CO1460" s="15"/>
    </row>
    <row r="1461" spans="93:93" x14ac:dyDescent="0.3">
      <c r="CO1461" s="15"/>
    </row>
    <row r="1462" spans="93:93" x14ac:dyDescent="0.3">
      <c r="CO1462" s="15"/>
    </row>
    <row r="1463" spans="93:93" x14ac:dyDescent="0.3">
      <c r="CO1463" s="15"/>
    </row>
    <row r="1464" spans="93:93" x14ac:dyDescent="0.3">
      <c r="CO1464" s="15"/>
    </row>
    <row r="1465" spans="93:93" x14ac:dyDescent="0.3">
      <c r="CO1465" s="15"/>
    </row>
    <row r="1466" spans="93:93" x14ac:dyDescent="0.3">
      <c r="CO1466" s="15"/>
    </row>
    <row r="1467" spans="93:93" x14ac:dyDescent="0.3">
      <c r="CO1467" s="15"/>
    </row>
    <row r="1468" spans="93:93" x14ac:dyDescent="0.3">
      <c r="CO1468" s="15"/>
    </row>
    <row r="1469" spans="93:93" x14ac:dyDescent="0.3">
      <c r="CO1469" s="15"/>
    </row>
    <row r="1470" spans="93:93" x14ac:dyDescent="0.3">
      <c r="CO1470" s="15"/>
    </row>
    <row r="1471" spans="93:93" x14ac:dyDescent="0.3">
      <c r="CO1471" s="15"/>
    </row>
    <row r="1472" spans="93:93" x14ac:dyDescent="0.3">
      <c r="CO1472" s="15"/>
    </row>
    <row r="1473" spans="93:93" x14ac:dyDescent="0.3">
      <c r="CO1473" s="15"/>
    </row>
    <row r="1474" spans="93:93" x14ac:dyDescent="0.3">
      <c r="CO1474" s="15"/>
    </row>
    <row r="1475" spans="93:93" x14ac:dyDescent="0.3">
      <c r="CO1475" s="15"/>
    </row>
    <row r="1476" spans="93:93" x14ac:dyDescent="0.3">
      <c r="CO1476" s="15"/>
    </row>
    <row r="1477" spans="93:93" x14ac:dyDescent="0.3">
      <c r="CO1477" s="15"/>
    </row>
    <row r="1478" spans="93:93" x14ac:dyDescent="0.3">
      <c r="CO1478" s="15"/>
    </row>
    <row r="1479" spans="93:93" x14ac:dyDescent="0.3">
      <c r="CO1479" s="15"/>
    </row>
    <row r="1480" spans="93:93" x14ac:dyDescent="0.3">
      <c r="CO1480" s="15"/>
    </row>
    <row r="1481" spans="93:93" x14ac:dyDescent="0.3">
      <c r="CO1481" s="15"/>
    </row>
    <row r="1482" spans="93:93" x14ac:dyDescent="0.3">
      <c r="CO1482" s="15"/>
    </row>
    <row r="1483" spans="93:93" x14ac:dyDescent="0.3">
      <c r="CO1483" s="15"/>
    </row>
    <row r="1484" spans="93:93" x14ac:dyDescent="0.3">
      <c r="CO1484" s="15"/>
    </row>
    <row r="1485" spans="93:93" x14ac:dyDescent="0.3">
      <c r="CO1485" s="15"/>
    </row>
    <row r="1486" spans="93:93" x14ac:dyDescent="0.3">
      <c r="CO1486" s="15"/>
    </row>
    <row r="1487" spans="93:93" x14ac:dyDescent="0.3">
      <c r="CO1487" s="15"/>
    </row>
    <row r="1488" spans="93:93" x14ac:dyDescent="0.3">
      <c r="CO1488" s="15"/>
    </row>
    <row r="1489" spans="93:93" x14ac:dyDescent="0.3">
      <c r="CO1489" s="15"/>
    </row>
    <row r="1490" spans="93:93" x14ac:dyDescent="0.3">
      <c r="CO1490" s="15"/>
    </row>
    <row r="1491" spans="93:93" x14ac:dyDescent="0.3">
      <c r="CO1491" s="15"/>
    </row>
    <row r="1492" spans="93:93" x14ac:dyDescent="0.3">
      <c r="CO1492" s="15"/>
    </row>
    <row r="1493" spans="93:93" x14ac:dyDescent="0.3">
      <c r="CO1493" s="15"/>
    </row>
    <row r="1494" spans="93:93" x14ac:dyDescent="0.3">
      <c r="CO1494" s="15"/>
    </row>
    <row r="1495" spans="93:93" x14ac:dyDescent="0.3">
      <c r="CO1495" s="15"/>
    </row>
    <row r="1496" spans="93:93" x14ac:dyDescent="0.3">
      <c r="CO1496" s="15"/>
    </row>
    <row r="1497" spans="93:93" x14ac:dyDescent="0.3">
      <c r="CO1497" s="15"/>
    </row>
    <row r="1498" spans="93:93" x14ac:dyDescent="0.3">
      <c r="CO1498" s="15"/>
    </row>
    <row r="1499" spans="93:93" x14ac:dyDescent="0.3">
      <c r="CO1499" s="15"/>
    </row>
    <row r="1500" spans="93:93" x14ac:dyDescent="0.3">
      <c r="CO1500" s="15"/>
    </row>
    <row r="1501" spans="93:93" x14ac:dyDescent="0.3">
      <c r="CO1501" s="15"/>
    </row>
    <row r="1502" spans="93:93" x14ac:dyDescent="0.3">
      <c r="CO1502" s="15"/>
    </row>
    <row r="1503" spans="93:93" x14ac:dyDescent="0.3">
      <c r="CO1503" s="15"/>
    </row>
    <row r="1504" spans="93:93" x14ac:dyDescent="0.3">
      <c r="CO1504" s="15"/>
    </row>
    <row r="1505" spans="93:93" x14ac:dyDescent="0.3">
      <c r="CO1505" s="15"/>
    </row>
    <row r="1506" spans="93:93" x14ac:dyDescent="0.3">
      <c r="CO1506" s="15"/>
    </row>
    <row r="1507" spans="93:93" x14ac:dyDescent="0.3">
      <c r="CO1507" s="15"/>
    </row>
    <row r="1508" spans="93:93" x14ac:dyDescent="0.3">
      <c r="CO1508" s="15"/>
    </row>
    <row r="1509" spans="93:93" x14ac:dyDescent="0.3">
      <c r="CO1509" s="15"/>
    </row>
    <row r="1510" spans="93:93" x14ac:dyDescent="0.3">
      <c r="CO1510" s="15"/>
    </row>
    <row r="1511" spans="93:93" x14ac:dyDescent="0.3">
      <c r="CO1511" s="15"/>
    </row>
    <row r="1512" spans="93:93" x14ac:dyDescent="0.3">
      <c r="CO1512" s="15"/>
    </row>
    <row r="1513" spans="93:93" x14ac:dyDescent="0.3">
      <c r="CO1513" s="15"/>
    </row>
    <row r="1514" spans="93:93" x14ac:dyDescent="0.3">
      <c r="CO1514" s="15"/>
    </row>
    <row r="1515" spans="93:93" x14ac:dyDescent="0.3">
      <c r="CO1515" s="15"/>
    </row>
    <row r="1516" spans="93:93" x14ac:dyDescent="0.3">
      <c r="CO1516" s="15"/>
    </row>
    <row r="1517" spans="93:93" x14ac:dyDescent="0.3">
      <c r="CO1517" s="15"/>
    </row>
    <row r="1518" spans="93:93" x14ac:dyDescent="0.3">
      <c r="CO1518" s="15"/>
    </row>
    <row r="1519" spans="93:93" x14ac:dyDescent="0.3">
      <c r="CO1519" s="15"/>
    </row>
    <row r="1520" spans="93:93" x14ac:dyDescent="0.3">
      <c r="CO1520" s="15"/>
    </row>
    <row r="1521" spans="93:93" x14ac:dyDescent="0.3">
      <c r="CO1521" s="15"/>
    </row>
    <row r="1522" spans="93:93" x14ac:dyDescent="0.3">
      <c r="CO1522" s="15"/>
    </row>
    <row r="1523" spans="93:93" x14ac:dyDescent="0.3">
      <c r="CO1523" s="15"/>
    </row>
    <row r="1524" spans="93:93" x14ac:dyDescent="0.3">
      <c r="CO1524" s="15"/>
    </row>
    <row r="1525" spans="93:93" x14ac:dyDescent="0.3">
      <c r="CO1525" s="15"/>
    </row>
    <row r="1526" spans="93:93" x14ac:dyDescent="0.3">
      <c r="CO1526" s="15"/>
    </row>
    <row r="1527" spans="93:93" x14ac:dyDescent="0.3">
      <c r="CO1527" s="15"/>
    </row>
    <row r="1528" spans="93:93" x14ac:dyDescent="0.3">
      <c r="CO1528" s="15"/>
    </row>
    <row r="1529" spans="93:93" x14ac:dyDescent="0.3">
      <c r="CO1529" s="15"/>
    </row>
    <row r="1530" spans="93:93" x14ac:dyDescent="0.3">
      <c r="CO1530" s="15"/>
    </row>
    <row r="1531" spans="93:93" x14ac:dyDescent="0.3">
      <c r="CO1531" s="15"/>
    </row>
    <row r="1532" spans="93:93" x14ac:dyDescent="0.3">
      <c r="CO1532" s="15"/>
    </row>
    <row r="1533" spans="93:93" x14ac:dyDescent="0.3">
      <c r="CO1533" s="15"/>
    </row>
    <row r="1534" spans="93:93" x14ac:dyDescent="0.3">
      <c r="CO1534" s="15"/>
    </row>
    <row r="1535" spans="93:93" x14ac:dyDescent="0.3">
      <c r="CO1535" s="15"/>
    </row>
    <row r="1536" spans="93:93" x14ac:dyDescent="0.3">
      <c r="CO1536" s="15"/>
    </row>
    <row r="1537" spans="93:93" x14ac:dyDescent="0.3">
      <c r="CO1537" s="15"/>
    </row>
    <row r="1538" spans="93:93" x14ac:dyDescent="0.3">
      <c r="CO1538" s="15"/>
    </row>
    <row r="1539" spans="93:93" x14ac:dyDescent="0.3">
      <c r="CO1539" s="15"/>
    </row>
    <row r="1540" spans="93:93" x14ac:dyDescent="0.3">
      <c r="CO1540" s="15"/>
    </row>
    <row r="1541" spans="93:93" x14ac:dyDescent="0.3">
      <c r="CO1541" s="15"/>
    </row>
    <row r="1542" spans="93:93" x14ac:dyDescent="0.3">
      <c r="CO1542" s="15"/>
    </row>
    <row r="1543" spans="93:93" x14ac:dyDescent="0.3">
      <c r="CO1543" s="15"/>
    </row>
    <row r="1544" spans="93:93" x14ac:dyDescent="0.3">
      <c r="CO1544" s="15"/>
    </row>
    <row r="1545" spans="93:93" x14ac:dyDescent="0.3">
      <c r="CO1545" s="15"/>
    </row>
    <row r="1546" spans="93:93" x14ac:dyDescent="0.3">
      <c r="CO1546" s="15"/>
    </row>
    <row r="1547" spans="93:93" x14ac:dyDescent="0.3">
      <c r="CO1547" s="15"/>
    </row>
    <row r="1548" spans="93:93" x14ac:dyDescent="0.3">
      <c r="CO1548" s="15"/>
    </row>
    <row r="1549" spans="93:93" x14ac:dyDescent="0.3">
      <c r="CO1549" s="15"/>
    </row>
    <row r="1550" spans="93:93" x14ac:dyDescent="0.3">
      <c r="CO1550" s="15"/>
    </row>
    <row r="1551" spans="93:93" x14ac:dyDescent="0.3">
      <c r="CO1551" s="15"/>
    </row>
    <row r="1552" spans="93:93" x14ac:dyDescent="0.3">
      <c r="CO1552" s="15"/>
    </row>
    <row r="1553" spans="93:93" x14ac:dyDescent="0.3">
      <c r="CO1553" s="15"/>
    </row>
    <row r="1554" spans="93:93" x14ac:dyDescent="0.3">
      <c r="CO1554" s="15"/>
    </row>
    <row r="1555" spans="93:93" x14ac:dyDescent="0.3">
      <c r="CO1555" s="15"/>
    </row>
    <row r="1556" spans="93:93" x14ac:dyDescent="0.3">
      <c r="CO1556" s="15"/>
    </row>
    <row r="1557" spans="93:93" x14ac:dyDescent="0.3">
      <c r="CO1557" s="15"/>
    </row>
    <row r="1558" spans="93:93" x14ac:dyDescent="0.3">
      <c r="CO1558" s="15"/>
    </row>
    <row r="1559" spans="93:93" x14ac:dyDescent="0.3">
      <c r="CO1559" s="15"/>
    </row>
    <row r="1560" spans="93:93" x14ac:dyDescent="0.3">
      <c r="CO1560" s="15"/>
    </row>
    <row r="1561" spans="93:93" x14ac:dyDescent="0.3">
      <c r="CO1561" s="15"/>
    </row>
    <row r="1562" spans="93:93" x14ac:dyDescent="0.3">
      <c r="CO1562" s="15"/>
    </row>
    <row r="1563" spans="93:93" x14ac:dyDescent="0.3">
      <c r="CO1563" s="15"/>
    </row>
    <row r="1564" spans="93:93" x14ac:dyDescent="0.3">
      <c r="CO1564" s="15"/>
    </row>
    <row r="1565" spans="93:93" x14ac:dyDescent="0.3">
      <c r="CO1565" s="15"/>
    </row>
    <row r="1566" spans="93:93" x14ac:dyDescent="0.3">
      <c r="CO1566" s="15"/>
    </row>
    <row r="1567" spans="93:93" x14ac:dyDescent="0.3">
      <c r="CO1567" s="15"/>
    </row>
    <row r="1568" spans="93:93" x14ac:dyDescent="0.3">
      <c r="CO1568" s="15"/>
    </row>
    <row r="1569" spans="93:93" x14ac:dyDescent="0.3">
      <c r="CO1569" s="15"/>
    </row>
    <row r="1570" spans="93:93" x14ac:dyDescent="0.3">
      <c r="CO1570" s="15"/>
    </row>
    <row r="1571" spans="93:93" x14ac:dyDescent="0.3">
      <c r="CO1571" s="15"/>
    </row>
    <row r="1572" spans="93:93" x14ac:dyDescent="0.3">
      <c r="CO1572" s="15"/>
    </row>
    <row r="1573" spans="93:93" x14ac:dyDescent="0.3">
      <c r="CO1573" s="15"/>
    </row>
    <row r="1574" spans="93:93" x14ac:dyDescent="0.3">
      <c r="CO1574" s="15"/>
    </row>
    <row r="1575" spans="93:93" x14ac:dyDescent="0.3">
      <c r="CO1575" s="15"/>
    </row>
    <row r="1576" spans="93:93" x14ac:dyDescent="0.3">
      <c r="CO1576" s="15"/>
    </row>
    <row r="1577" spans="93:93" x14ac:dyDescent="0.3">
      <c r="CO1577" s="15"/>
    </row>
    <row r="1578" spans="93:93" x14ac:dyDescent="0.3">
      <c r="CO1578" s="15"/>
    </row>
    <row r="1579" spans="93:93" x14ac:dyDescent="0.3">
      <c r="CO1579" s="15"/>
    </row>
    <row r="1580" spans="93:93" x14ac:dyDescent="0.3">
      <c r="CO1580" s="15"/>
    </row>
    <row r="1581" spans="93:93" x14ac:dyDescent="0.3">
      <c r="CO1581" s="15"/>
    </row>
    <row r="1582" spans="93:93" x14ac:dyDescent="0.3">
      <c r="CO1582" s="15"/>
    </row>
    <row r="1583" spans="93:93" x14ac:dyDescent="0.3">
      <c r="CO1583" s="15"/>
    </row>
    <row r="1584" spans="93:93" x14ac:dyDescent="0.3">
      <c r="CO1584" s="15"/>
    </row>
    <row r="1585" spans="93:93" x14ac:dyDescent="0.3">
      <c r="CO1585" s="15"/>
    </row>
    <row r="1586" spans="93:93" x14ac:dyDescent="0.3">
      <c r="CO1586" s="15"/>
    </row>
    <row r="1587" spans="93:93" x14ac:dyDescent="0.3">
      <c r="CO1587" s="15"/>
    </row>
    <row r="1588" spans="93:93" x14ac:dyDescent="0.3">
      <c r="CO1588" s="15"/>
    </row>
    <row r="1589" spans="93:93" x14ac:dyDescent="0.3">
      <c r="CO1589" s="15"/>
    </row>
    <row r="1590" spans="93:93" x14ac:dyDescent="0.3">
      <c r="CO1590" s="15"/>
    </row>
    <row r="1591" spans="93:93" x14ac:dyDescent="0.3">
      <c r="CO1591" s="15"/>
    </row>
    <row r="1592" spans="93:93" x14ac:dyDescent="0.3">
      <c r="CO1592" s="15"/>
    </row>
    <row r="1593" spans="93:93" x14ac:dyDescent="0.3">
      <c r="CO1593" s="15"/>
    </row>
    <row r="1594" spans="93:93" x14ac:dyDescent="0.3">
      <c r="CO1594" s="15"/>
    </row>
    <row r="1595" spans="93:93" x14ac:dyDescent="0.3">
      <c r="CO1595" s="15"/>
    </row>
    <row r="1596" spans="93:93" x14ac:dyDescent="0.3">
      <c r="CO1596" s="15"/>
    </row>
    <row r="1597" spans="93:93" x14ac:dyDescent="0.3">
      <c r="CO1597" s="15"/>
    </row>
    <row r="1598" spans="93:93" x14ac:dyDescent="0.3">
      <c r="CO1598" s="15"/>
    </row>
    <row r="1599" spans="93:93" x14ac:dyDescent="0.3">
      <c r="CO1599" s="15"/>
    </row>
    <row r="1600" spans="93:93" x14ac:dyDescent="0.3">
      <c r="CO1600" s="15"/>
    </row>
    <row r="1601" spans="93:93" x14ac:dyDescent="0.3">
      <c r="CO1601" s="15"/>
    </row>
    <row r="1602" spans="93:93" x14ac:dyDescent="0.3">
      <c r="CO1602" s="15"/>
    </row>
    <row r="1603" spans="93:93" x14ac:dyDescent="0.3">
      <c r="CO1603" s="15"/>
    </row>
    <row r="1604" spans="93:93" x14ac:dyDescent="0.3">
      <c r="CO1604" s="15"/>
    </row>
    <row r="1605" spans="93:93" x14ac:dyDescent="0.3">
      <c r="CO1605" s="15"/>
    </row>
    <row r="1606" spans="93:93" x14ac:dyDescent="0.3">
      <c r="CO1606" s="15"/>
    </row>
    <row r="1607" spans="93:93" x14ac:dyDescent="0.3">
      <c r="CO1607" s="15"/>
    </row>
    <row r="1608" spans="93:93" x14ac:dyDescent="0.3">
      <c r="CO1608" s="15"/>
    </row>
    <row r="1609" spans="93:93" x14ac:dyDescent="0.3">
      <c r="CO1609" s="15"/>
    </row>
    <row r="1610" spans="93:93" x14ac:dyDescent="0.3">
      <c r="CO1610" s="15"/>
    </row>
    <row r="1611" spans="93:93" x14ac:dyDescent="0.3">
      <c r="CO1611" s="15"/>
    </row>
    <row r="1612" spans="93:93" x14ac:dyDescent="0.3">
      <c r="CO1612" s="15"/>
    </row>
    <row r="1613" spans="93:93" x14ac:dyDescent="0.3">
      <c r="CO1613" s="15"/>
    </row>
    <row r="1614" spans="93:93" x14ac:dyDescent="0.3">
      <c r="CO1614" s="15"/>
    </row>
    <row r="1615" spans="93:93" x14ac:dyDescent="0.3">
      <c r="CO1615" s="15"/>
    </row>
    <row r="1616" spans="93:93" x14ac:dyDescent="0.3">
      <c r="CO1616" s="15"/>
    </row>
    <row r="1617" spans="93:93" x14ac:dyDescent="0.3">
      <c r="CO1617" s="15"/>
    </row>
    <row r="1618" spans="93:93" x14ac:dyDescent="0.3">
      <c r="CO1618" s="15"/>
    </row>
    <row r="1619" spans="93:93" x14ac:dyDescent="0.3">
      <c r="CO1619" s="15"/>
    </row>
    <row r="1620" spans="93:93" x14ac:dyDescent="0.3">
      <c r="CO1620" s="15"/>
    </row>
    <row r="1621" spans="93:93" x14ac:dyDescent="0.3">
      <c r="CO1621" s="15"/>
    </row>
    <row r="1622" spans="93:93" x14ac:dyDescent="0.3">
      <c r="CO1622" s="15"/>
    </row>
    <row r="1623" spans="93:93" x14ac:dyDescent="0.3">
      <c r="CO1623" s="15"/>
    </row>
    <row r="1624" spans="93:93" x14ac:dyDescent="0.3">
      <c r="CO1624" s="15"/>
    </row>
    <row r="1625" spans="93:93" x14ac:dyDescent="0.3">
      <c r="CO1625" s="15"/>
    </row>
    <row r="1626" spans="93:93" x14ac:dyDescent="0.3">
      <c r="CO1626" s="15"/>
    </row>
    <row r="1627" spans="93:93" x14ac:dyDescent="0.3">
      <c r="CO1627" s="15"/>
    </row>
    <row r="1628" spans="93:93" x14ac:dyDescent="0.3">
      <c r="CO1628" s="15"/>
    </row>
    <row r="1629" spans="93:93" x14ac:dyDescent="0.3">
      <c r="CO1629" s="15"/>
    </row>
    <row r="1630" spans="93:93" x14ac:dyDescent="0.3">
      <c r="CO1630" s="15"/>
    </row>
    <row r="1631" spans="93:93" x14ac:dyDescent="0.3">
      <c r="CO1631" s="15"/>
    </row>
    <row r="1632" spans="93:93" x14ac:dyDescent="0.3">
      <c r="CO1632" s="15"/>
    </row>
    <row r="1633" spans="93:93" x14ac:dyDescent="0.3">
      <c r="CO1633" s="15"/>
    </row>
    <row r="1634" spans="93:93" x14ac:dyDescent="0.3">
      <c r="CO1634" s="15"/>
    </row>
    <row r="1635" spans="93:93" x14ac:dyDescent="0.3">
      <c r="CO1635" s="15"/>
    </row>
    <row r="1636" spans="93:93" x14ac:dyDescent="0.3">
      <c r="CO1636" s="15"/>
    </row>
    <row r="1637" spans="93:93" x14ac:dyDescent="0.3">
      <c r="CO1637" s="15"/>
    </row>
    <row r="1638" spans="93:93" x14ac:dyDescent="0.3">
      <c r="CO1638" s="15"/>
    </row>
    <row r="1639" spans="93:93" x14ac:dyDescent="0.3">
      <c r="CO1639" s="15"/>
    </row>
    <row r="1640" spans="93:93" x14ac:dyDescent="0.3">
      <c r="CO1640" s="15"/>
    </row>
    <row r="1641" spans="93:93" x14ac:dyDescent="0.3">
      <c r="CO1641" s="15"/>
    </row>
    <row r="1642" spans="93:93" x14ac:dyDescent="0.3">
      <c r="CO1642" s="15"/>
    </row>
    <row r="1643" spans="93:93" x14ac:dyDescent="0.3">
      <c r="CO1643" s="15"/>
    </row>
    <row r="1644" spans="93:93" x14ac:dyDescent="0.3">
      <c r="CO1644" s="15"/>
    </row>
    <row r="1645" spans="93:93" x14ac:dyDescent="0.3">
      <c r="CO1645" s="15"/>
    </row>
    <row r="1646" spans="93:93" x14ac:dyDescent="0.3">
      <c r="CO1646" s="15"/>
    </row>
    <row r="1647" spans="93:93" x14ac:dyDescent="0.3">
      <c r="CO1647" s="15"/>
    </row>
    <row r="1648" spans="93:93" x14ac:dyDescent="0.3">
      <c r="CO1648" s="15"/>
    </row>
    <row r="1649" spans="93:93" x14ac:dyDescent="0.3">
      <c r="CO1649" s="15"/>
    </row>
    <row r="1650" spans="93:93" x14ac:dyDescent="0.3">
      <c r="CO1650" s="15"/>
    </row>
    <row r="1651" spans="93:93" x14ac:dyDescent="0.3">
      <c r="CO1651" s="15"/>
    </row>
    <row r="1652" spans="93:93" x14ac:dyDescent="0.3">
      <c r="CO1652" s="15"/>
    </row>
    <row r="1653" spans="93:93" x14ac:dyDescent="0.3">
      <c r="CO1653" s="15"/>
    </row>
    <row r="1654" spans="93:93" x14ac:dyDescent="0.3">
      <c r="CO1654" s="15"/>
    </row>
    <row r="1655" spans="93:93" x14ac:dyDescent="0.3">
      <c r="CO1655" s="15"/>
    </row>
    <row r="1656" spans="93:93" x14ac:dyDescent="0.3">
      <c r="CO1656" s="15"/>
    </row>
    <row r="1657" spans="93:93" x14ac:dyDescent="0.3">
      <c r="CO1657" s="15"/>
    </row>
    <row r="1658" spans="93:93" x14ac:dyDescent="0.3">
      <c r="CO1658" s="15"/>
    </row>
    <row r="1659" spans="93:93" x14ac:dyDescent="0.3">
      <c r="CO1659" s="15"/>
    </row>
    <row r="1660" spans="93:93" x14ac:dyDescent="0.3">
      <c r="CO1660" s="15"/>
    </row>
    <row r="1661" spans="93:93" x14ac:dyDescent="0.3">
      <c r="CO1661" s="15"/>
    </row>
    <row r="1662" spans="93:93" x14ac:dyDescent="0.3">
      <c r="CO1662" s="15"/>
    </row>
    <row r="1663" spans="93:93" x14ac:dyDescent="0.3">
      <c r="CO1663" s="15"/>
    </row>
    <row r="1664" spans="93:93" x14ac:dyDescent="0.3">
      <c r="CO1664" s="15"/>
    </row>
    <row r="1665" spans="93:93" x14ac:dyDescent="0.3">
      <c r="CO1665" s="15"/>
    </row>
    <row r="1666" spans="93:93" x14ac:dyDescent="0.3">
      <c r="CO1666" s="15"/>
    </row>
    <row r="1667" spans="93:93" x14ac:dyDescent="0.3">
      <c r="CO1667" s="15"/>
    </row>
    <row r="1668" spans="93:93" x14ac:dyDescent="0.3">
      <c r="CO1668" s="15"/>
    </row>
    <row r="1669" spans="93:93" x14ac:dyDescent="0.3">
      <c r="CO1669" s="15"/>
    </row>
    <row r="1670" spans="93:93" x14ac:dyDescent="0.3">
      <c r="CO1670" s="15"/>
    </row>
    <row r="1671" spans="93:93" x14ac:dyDescent="0.3">
      <c r="CO1671" s="15"/>
    </row>
    <row r="1672" spans="93:93" x14ac:dyDescent="0.3">
      <c r="CO1672" s="15"/>
    </row>
    <row r="1673" spans="93:93" x14ac:dyDescent="0.3">
      <c r="CO1673" s="15"/>
    </row>
    <row r="1674" spans="93:93" x14ac:dyDescent="0.3">
      <c r="CO1674" s="15"/>
    </row>
    <row r="1675" spans="93:93" x14ac:dyDescent="0.3">
      <c r="CO1675" s="15"/>
    </row>
    <row r="1676" spans="93:93" x14ac:dyDescent="0.3">
      <c r="CO1676" s="15"/>
    </row>
    <row r="1677" spans="93:93" x14ac:dyDescent="0.3">
      <c r="CO1677" s="15"/>
    </row>
    <row r="1678" spans="93:93" x14ac:dyDescent="0.3">
      <c r="CO1678" s="15"/>
    </row>
    <row r="1679" spans="93:93" x14ac:dyDescent="0.3">
      <c r="CO1679" s="15"/>
    </row>
    <row r="1680" spans="93:93" x14ac:dyDescent="0.3">
      <c r="CO1680" s="15"/>
    </row>
    <row r="1681" spans="93:93" x14ac:dyDescent="0.3">
      <c r="CO1681" s="15"/>
    </row>
    <row r="1682" spans="93:93" x14ac:dyDescent="0.3">
      <c r="CO1682" s="15"/>
    </row>
    <row r="1683" spans="93:93" x14ac:dyDescent="0.3">
      <c r="CO1683" s="15"/>
    </row>
    <row r="1684" spans="93:93" x14ac:dyDescent="0.3">
      <c r="CO1684" s="15"/>
    </row>
    <row r="1685" spans="93:93" x14ac:dyDescent="0.3">
      <c r="CO1685" s="15"/>
    </row>
    <row r="1686" spans="93:93" x14ac:dyDescent="0.3">
      <c r="CO1686" s="15"/>
    </row>
    <row r="1687" spans="93:93" x14ac:dyDescent="0.3">
      <c r="CO1687" s="15"/>
    </row>
    <row r="1688" spans="93:93" x14ac:dyDescent="0.3">
      <c r="CO1688" s="15"/>
    </row>
    <row r="1689" spans="93:93" x14ac:dyDescent="0.3">
      <c r="CO1689" s="15"/>
    </row>
    <row r="1690" spans="93:93" x14ac:dyDescent="0.3">
      <c r="CO1690" s="15"/>
    </row>
    <row r="1691" spans="93:93" x14ac:dyDescent="0.3">
      <c r="CO1691" s="15"/>
    </row>
    <row r="1692" spans="93:93" x14ac:dyDescent="0.3">
      <c r="CO1692" s="15"/>
    </row>
    <row r="1693" spans="93:93" x14ac:dyDescent="0.3">
      <c r="CO1693" s="15"/>
    </row>
    <row r="1694" spans="93:93" x14ac:dyDescent="0.3">
      <c r="CO1694" s="15"/>
    </row>
    <row r="1695" spans="93:93" x14ac:dyDescent="0.3">
      <c r="CO1695" s="15"/>
    </row>
    <row r="1696" spans="93:93" x14ac:dyDescent="0.3">
      <c r="CO1696" s="15"/>
    </row>
    <row r="1697" spans="93:93" x14ac:dyDescent="0.3">
      <c r="CO1697" s="15"/>
    </row>
    <row r="1698" spans="93:93" x14ac:dyDescent="0.3">
      <c r="CO1698" s="15"/>
    </row>
    <row r="1699" spans="93:93" x14ac:dyDescent="0.3">
      <c r="CO1699" s="15"/>
    </row>
    <row r="1700" spans="93:93" x14ac:dyDescent="0.3">
      <c r="CO1700" s="15"/>
    </row>
    <row r="1701" spans="93:93" x14ac:dyDescent="0.3">
      <c r="CO1701" s="15"/>
    </row>
    <row r="1702" spans="93:93" x14ac:dyDescent="0.3">
      <c r="CO1702" s="15"/>
    </row>
    <row r="1703" spans="93:93" x14ac:dyDescent="0.3">
      <c r="CO1703" s="15"/>
    </row>
    <row r="1704" spans="93:93" x14ac:dyDescent="0.3">
      <c r="CO1704" s="15"/>
    </row>
    <row r="1705" spans="93:93" x14ac:dyDescent="0.3">
      <c r="CO1705" s="15"/>
    </row>
    <row r="1706" spans="93:93" x14ac:dyDescent="0.3">
      <c r="CO1706" s="15"/>
    </row>
    <row r="1707" spans="93:93" x14ac:dyDescent="0.3">
      <c r="CO1707" s="15"/>
    </row>
    <row r="1708" spans="93:93" x14ac:dyDescent="0.3">
      <c r="CO1708" s="15"/>
    </row>
    <row r="1709" spans="93:93" x14ac:dyDescent="0.3">
      <c r="CO1709" s="15"/>
    </row>
    <row r="1710" spans="93:93" x14ac:dyDescent="0.3">
      <c r="CO1710" s="15"/>
    </row>
    <row r="1711" spans="93:93" x14ac:dyDescent="0.3">
      <c r="CO1711" s="15"/>
    </row>
    <row r="1712" spans="93:93" x14ac:dyDescent="0.3">
      <c r="CO1712" s="15"/>
    </row>
    <row r="1713" spans="93:93" x14ac:dyDescent="0.3">
      <c r="CO1713" s="15"/>
    </row>
    <row r="1714" spans="93:93" x14ac:dyDescent="0.3">
      <c r="CO1714" s="15"/>
    </row>
    <row r="1715" spans="93:93" x14ac:dyDescent="0.3">
      <c r="CO1715" s="15"/>
    </row>
    <row r="1716" spans="93:93" x14ac:dyDescent="0.3">
      <c r="CO1716" s="15"/>
    </row>
    <row r="1717" spans="93:93" x14ac:dyDescent="0.3">
      <c r="CO1717" s="15"/>
    </row>
    <row r="1718" spans="93:93" x14ac:dyDescent="0.3">
      <c r="CO1718" s="15"/>
    </row>
    <row r="1719" spans="93:93" x14ac:dyDescent="0.3">
      <c r="CO1719" s="15"/>
    </row>
    <row r="1720" spans="93:93" x14ac:dyDescent="0.3">
      <c r="CO1720" s="15"/>
    </row>
    <row r="1721" spans="93:93" x14ac:dyDescent="0.3">
      <c r="CO1721" s="15"/>
    </row>
    <row r="1722" spans="93:93" x14ac:dyDescent="0.3">
      <c r="CO1722" s="15"/>
    </row>
    <row r="1723" spans="93:93" x14ac:dyDescent="0.3">
      <c r="CO1723" s="15"/>
    </row>
    <row r="1724" spans="93:93" x14ac:dyDescent="0.3">
      <c r="CO1724" s="15"/>
    </row>
    <row r="1725" spans="93:93" x14ac:dyDescent="0.3">
      <c r="CO1725" s="15"/>
    </row>
    <row r="1726" spans="93:93" x14ac:dyDescent="0.3">
      <c r="CO1726" s="15"/>
    </row>
    <row r="1727" spans="93:93" x14ac:dyDescent="0.3">
      <c r="CO1727" s="15"/>
    </row>
    <row r="1728" spans="93:93" x14ac:dyDescent="0.3">
      <c r="CO1728" s="15"/>
    </row>
    <row r="1729" spans="93:93" x14ac:dyDescent="0.3">
      <c r="CO1729" s="15"/>
    </row>
    <row r="1730" spans="93:93" x14ac:dyDescent="0.3">
      <c r="CO1730" s="15"/>
    </row>
    <row r="1731" spans="93:93" x14ac:dyDescent="0.3">
      <c r="CO1731" s="15"/>
    </row>
    <row r="1732" spans="93:93" x14ac:dyDescent="0.3">
      <c r="CO1732" s="15"/>
    </row>
    <row r="1733" spans="93:93" x14ac:dyDescent="0.3">
      <c r="CO1733" s="15"/>
    </row>
    <row r="1734" spans="93:93" x14ac:dyDescent="0.3">
      <c r="CO1734" s="15"/>
    </row>
    <row r="1735" spans="93:93" x14ac:dyDescent="0.3">
      <c r="CO1735" s="15"/>
    </row>
    <row r="1736" spans="93:93" x14ac:dyDescent="0.3">
      <c r="CO1736" s="15"/>
    </row>
    <row r="1737" spans="93:93" x14ac:dyDescent="0.3">
      <c r="CO1737" s="15"/>
    </row>
    <row r="1738" spans="93:93" x14ac:dyDescent="0.3">
      <c r="CO1738" s="15"/>
    </row>
    <row r="1739" spans="93:93" x14ac:dyDescent="0.3">
      <c r="CO1739" s="15"/>
    </row>
    <row r="1740" spans="93:93" x14ac:dyDescent="0.3">
      <c r="CO1740" s="15"/>
    </row>
    <row r="1741" spans="93:93" x14ac:dyDescent="0.3">
      <c r="CO1741" s="15"/>
    </row>
    <row r="1742" spans="93:93" x14ac:dyDescent="0.3">
      <c r="CO1742" s="15"/>
    </row>
    <row r="1743" spans="93:93" x14ac:dyDescent="0.3">
      <c r="CO1743" s="15"/>
    </row>
    <row r="1744" spans="93:93" x14ac:dyDescent="0.3">
      <c r="CO1744" s="15"/>
    </row>
    <row r="1745" spans="93:93" x14ac:dyDescent="0.3">
      <c r="CO1745" s="15"/>
    </row>
    <row r="1746" spans="93:93" x14ac:dyDescent="0.3">
      <c r="CO1746" s="15"/>
    </row>
    <row r="1747" spans="93:93" x14ac:dyDescent="0.3">
      <c r="CO1747" s="15"/>
    </row>
    <row r="1748" spans="93:93" x14ac:dyDescent="0.3">
      <c r="CO1748" s="15"/>
    </row>
    <row r="1749" spans="93:93" x14ac:dyDescent="0.3">
      <c r="CO1749" s="15"/>
    </row>
    <row r="1750" spans="93:93" x14ac:dyDescent="0.3">
      <c r="CO1750" s="15"/>
    </row>
    <row r="1751" spans="93:93" x14ac:dyDescent="0.3">
      <c r="CO1751" s="15"/>
    </row>
    <row r="1752" spans="93:93" x14ac:dyDescent="0.3">
      <c r="CO1752" s="15"/>
    </row>
    <row r="1753" spans="93:93" x14ac:dyDescent="0.3">
      <c r="CO1753" s="15"/>
    </row>
    <row r="1754" spans="93:93" x14ac:dyDescent="0.3">
      <c r="CO1754" s="15"/>
    </row>
    <row r="1755" spans="93:93" x14ac:dyDescent="0.3">
      <c r="CO1755" s="15"/>
    </row>
    <row r="1756" spans="93:93" x14ac:dyDescent="0.3">
      <c r="CO1756" s="15"/>
    </row>
    <row r="1757" spans="93:93" x14ac:dyDescent="0.3">
      <c r="CO1757" s="15"/>
    </row>
    <row r="1758" spans="93:93" x14ac:dyDescent="0.3">
      <c r="CO1758" s="15"/>
    </row>
    <row r="1759" spans="93:93" x14ac:dyDescent="0.3">
      <c r="CO1759" s="15"/>
    </row>
    <row r="1760" spans="93:93" x14ac:dyDescent="0.3">
      <c r="CO1760" s="15"/>
    </row>
    <row r="1761" spans="93:93" x14ac:dyDescent="0.3">
      <c r="CO1761" s="15"/>
    </row>
    <row r="1762" spans="93:93" x14ac:dyDescent="0.3">
      <c r="CO1762" s="15"/>
    </row>
    <row r="1763" spans="93:93" x14ac:dyDescent="0.3">
      <c r="CO1763" s="15"/>
    </row>
    <row r="1764" spans="93:93" x14ac:dyDescent="0.3">
      <c r="CO1764" s="15"/>
    </row>
    <row r="1765" spans="93:93" x14ac:dyDescent="0.3">
      <c r="CO1765" s="15"/>
    </row>
    <row r="1766" spans="93:93" x14ac:dyDescent="0.3">
      <c r="CO1766" s="15"/>
    </row>
    <row r="1767" spans="93:93" x14ac:dyDescent="0.3">
      <c r="CO1767" s="15"/>
    </row>
    <row r="1768" spans="93:93" x14ac:dyDescent="0.3">
      <c r="CO1768" s="15"/>
    </row>
    <row r="1769" spans="93:93" x14ac:dyDescent="0.3">
      <c r="CO1769" s="15"/>
    </row>
    <row r="1770" spans="93:93" x14ac:dyDescent="0.3">
      <c r="CO1770" s="15"/>
    </row>
    <row r="1771" spans="93:93" x14ac:dyDescent="0.3">
      <c r="CO1771" s="15"/>
    </row>
    <row r="1772" spans="93:93" x14ac:dyDescent="0.3">
      <c r="CO1772" s="15"/>
    </row>
    <row r="1773" spans="93:93" x14ac:dyDescent="0.3">
      <c r="CO1773" s="15"/>
    </row>
    <row r="1774" spans="93:93" x14ac:dyDescent="0.3">
      <c r="CO1774" s="15"/>
    </row>
    <row r="1775" spans="93:93" x14ac:dyDescent="0.3">
      <c r="CO1775" s="15"/>
    </row>
    <row r="1776" spans="93:93" x14ac:dyDescent="0.3">
      <c r="CO1776" s="15"/>
    </row>
    <row r="1777" spans="93:93" x14ac:dyDescent="0.3">
      <c r="CO1777" s="15"/>
    </row>
    <row r="1778" spans="93:93" x14ac:dyDescent="0.3">
      <c r="CO1778" s="15"/>
    </row>
    <row r="1779" spans="93:93" x14ac:dyDescent="0.3">
      <c r="CO1779" s="15"/>
    </row>
    <row r="1780" spans="93:93" x14ac:dyDescent="0.3">
      <c r="CO1780" s="15"/>
    </row>
    <row r="1781" spans="93:93" x14ac:dyDescent="0.3">
      <c r="CO1781" s="15"/>
    </row>
    <row r="1782" spans="93:93" x14ac:dyDescent="0.3">
      <c r="CO1782" s="15"/>
    </row>
    <row r="1783" spans="93:93" x14ac:dyDescent="0.3">
      <c r="CO1783" s="15"/>
    </row>
    <row r="1784" spans="93:93" x14ac:dyDescent="0.3">
      <c r="CO1784" s="15"/>
    </row>
    <row r="1785" spans="93:93" x14ac:dyDescent="0.3">
      <c r="CO1785" s="15"/>
    </row>
    <row r="1786" spans="93:93" x14ac:dyDescent="0.3">
      <c r="CO1786" s="15"/>
    </row>
    <row r="1787" spans="93:93" x14ac:dyDescent="0.3">
      <c r="CO1787" s="15"/>
    </row>
    <row r="1788" spans="93:93" x14ac:dyDescent="0.3">
      <c r="CO1788" s="15"/>
    </row>
    <row r="1789" spans="93:93" x14ac:dyDescent="0.3">
      <c r="CO1789" s="15"/>
    </row>
    <row r="1790" spans="93:93" x14ac:dyDescent="0.3">
      <c r="CO1790" s="15"/>
    </row>
    <row r="1791" spans="93:93" x14ac:dyDescent="0.3">
      <c r="CO1791" s="15"/>
    </row>
    <row r="1792" spans="93:93" x14ac:dyDescent="0.3">
      <c r="CO1792" s="15"/>
    </row>
    <row r="1793" spans="93:93" x14ac:dyDescent="0.3">
      <c r="CO1793" s="15"/>
    </row>
    <row r="1794" spans="93:93" x14ac:dyDescent="0.3">
      <c r="CO1794" s="15"/>
    </row>
    <row r="1795" spans="93:93" x14ac:dyDescent="0.3">
      <c r="CO1795" s="15"/>
    </row>
    <row r="1796" spans="93:93" x14ac:dyDescent="0.3">
      <c r="CO1796" s="15"/>
    </row>
    <row r="1797" spans="93:93" x14ac:dyDescent="0.3">
      <c r="CO1797" s="15"/>
    </row>
    <row r="1798" spans="93:93" x14ac:dyDescent="0.3">
      <c r="CO1798" s="15"/>
    </row>
    <row r="1799" spans="93:93" x14ac:dyDescent="0.3">
      <c r="CO1799" s="15"/>
    </row>
    <row r="1800" spans="93:93" x14ac:dyDescent="0.3">
      <c r="CO1800" s="15"/>
    </row>
    <row r="1801" spans="93:93" x14ac:dyDescent="0.3">
      <c r="CO1801" s="15"/>
    </row>
    <row r="1802" spans="93:93" x14ac:dyDescent="0.3">
      <c r="CO1802" s="15"/>
    </row>
    <row r="1803" spans="93:93" x14ac:dyDescent="0.3">
      <c r="CO1803" s="15"/>
    </row>
    <row r="1804" spans="93:93" x14ac:dyDescent="0.3">
      <c r="CO1804" s="15"/>
    </row>
    <row r="1805" spans="93:93" x14ac:dyDescent="0.3">
      <c r="CO1805" s="15"/>
    </row>
    <row r="1806" spans="93:93" x14ac:dyDescent="0.3">
      <c r="CO1806" s="15"/>
    </row>
    <row r="1807" spans="93:93" x14ac:dyDescent="0.3">
      <c r="CO1807" s="15"/>
    </row>
    <row r="1808" spans="93:93" x14ac:dyDescent="0.3">
      <c r="CO1808" s="15"/>
    </row>
    <row r="1809" spans="93:93" x14ac:dyDescent="0.3">
      <c r="CO1809" s="15"/>
    </row>
    <row r="1810" spans="93:93" x14ac:dyDescent="0.3">
      <c r="CO1810" s="15"/>
    </row>
    <row r="1811" spans="93:93" x14ac:dyDescent="0.3">
      <c r="CO1811" s="15"/>
    </row>
    <row r="1812" spans="93:93" x14ac:dyDescent="0.3">
      <c r="CO1812" s="15"/>
    </row>
    <row r="1813" spans="93:93" x14ac:dyDescent="0.3">
      <c r="CO1813" s="15"/>
    </row>
    <row r="1814" spans="93:93" x14ac:dyDescent="0.3">
      <c r="CO1814" s="15"/>
    </row>
    <row r="1815" spans="93:93" x14ac:dyDescent="0.3">
      <c r="CO1815" s="15"/>
    </row>
    <row r="1816" spans="93:93" x14ac:dyDescent="0.3">
      <c r="CO1816" s="15"/>
    </row>
    <row r="1817" spans="93:93" x14ac:dyDescent="0.3">
      <c r="CO1817" s="15"/>
    </row>
    <row r="1818" spans="93:93" x14ac:dyDescent="0.3">
      <c r="CO1818" s="15"/>
    </row>
    <row r="1819" spans="93:93" x14ac:dyDescent="0.3">
      <c r="CO1819" s="15"/>
    </row>
    <row r="1820" spans="93:93" x14ac:dyDescent="0.3">
      <c r="CO1820" s="15"/>
    </row>
    <row r="1821" spans="93:93" x14ac:dyDescent="0.3">
      <c r="CO1821" s="15"/>
    </row>
    <row r="1822" spans="93:93" x14ac:dyDescent="0.3">
      <c r="CO1822" s="15"/>
    </row>
    <row r="1823" spans="93:93" x14ac:dyDescent="0.3">
      <c r="CO1823" s="15"/>
    </row>
    <row r="1824" spans="93:93" x14ac:dyDescent="0.3">
      <c r="CO1824" s="15"/>
    </row>
    <row r="1825" spans="93:93" x14ac:dyDescent="0.3">
      <c r="CO1825" s="15"/>
    </row>
    <row r="1826" spans="93:93" x14ac:dyDescent="0.3">
      <c r="CO1826" s="15"/>
    </row>
    <row r="1827" spans="93:93" x14ac:dyDescent="0.3">
      <c r="CO1827" s="15"/>
    </row>
    <row r="1828" spans="93:93" x14ac:dyDescent="0.3">
      <c r="CO1828" s="15"/>
    </row>
    <row r="1829" spans="93:93" x14ac:dyDescent="0.3">
      <c r="CO1829" s="15"/>
    </row>
    <row r="1830" spans="93:93" x14ac:dyDescent="0.3">
      <c r="CO1830" s="15"/>
    </row>
    <row r="1831" spans="93:93" x14ac:dyDescent="0.3">
      <c r="CO1831" s="15"/>
    </row>
    <row r="1832" spans="93:93" x14ac:dyDescent="0.3">
      <c r="CO1832" s="15"/>
    </row>
    <row r="1833" spans="93:93" x14ac:dyDescent="0.3">
      <c r="CO1833" s="15"/>
    </row>
    <row r="1834" spans="93:93" x14ac:dyDescent="0.3">
      <c r="CO1834" s="15"/>
    </row>
    <row r="1835" spans="93:93" x14ac:dyDescent="0.3">
      <c r="CO1835" s="15"/>
    </row>
    <row r="1836" spans="93:93" x14ac:dyDescent="0.3">
      <c r="CO1836" s="15"/>
    </row>
    <row r="1837" spans="93:93" x14ac:dyDescent="0.3">
      <c r="CO1837" s="15"/>
    </row>
    <row r="1838" spans="93:93" x14ac:dyDescent="0.3">
      <c r="CO1838" s="15"/>
    </row>
    <row r="1839" spans="93:93" x14ac:dyDescent="0.3">
      <c r="CO1839" s="15"/>
    </row>
    <row r="1840" spans="93:93" x14ac:dyDescent="0.3">
      <c r="CO1840" s="15"/>
    </row>
    <row r="1841" spans="93:93" x14ac:dyDescent="0.3">
      <c r="CO1841" s="15"/>
    </row>
    <row r="1842" spans="93:93" x14ac:dyDescent="0.3">
      <c r="CO1842" s="15"/>
    </row>
    <row r="1843" spans="93:93" x14ac:dyDescent="0.3">
      <c r="CO1843" s="15"/>
    </row>
    <row r="1844" spans="93:93" x14ac:dyDescent="0.3">
      <c r="CO1844" s="15"/>
    </row>
    <row r="1845" spans="93:93" x14ac:dyDescent="0.3">
      <c r="CO1845" s="15"/>
    </row>
    <row r="1846" spans="93:93" x14ac:dyDescent="0.3">
      <c r="CO1846" s="15"/>
    </row>
    <row r="1847" spans="93:93" x14ac:dyDescent="0.3">
      <c r="CO1847" s="15"/>
    </row>
    <row r="1848" spans="93:93" x14ac:dyDescent="0.3">
      <c r="CO1848" s="15"/>
    </row>
    <row r="1849" spans="93:93" x14ac:dyDescent="0.3">
      <c r="CO1849" s="15"/>
    </row>
    <row r="1850" spans="93:93" x14ac:dyDescent="0.3">
      <c r="CO1850" s="15"/>
    </row>
    <row r="1851" spans="93:93" x14ac:dyDescent="0.3">
      <c r="CO1851" s="15"/>
    </row>
    <row r="1852" spans="93:93" x14ac:dyDescent="0.3">
      <c r="CO1852" s="15"/>
    </row>
    <row r="1853" spans="93:93" x14ac:dyDescent="0.3">
      <c r="CO1853" s="15"/>
    </row>
    <row r="1854" spans="93:93" x14ac:dyDescent="0.3">
      <c r="CO1854" s="15"/>
    </row>
    <row r="1855" spans="93:93" x14ac:dyDescent="0.3">
      <c r="CO1855" s="15"/>
    </row>
    <row r="1856" spans="93:93" x14ac:dyDescent="0.3">
      <c r="CO1856" s="15"/>
    </row>
    <row r="1857" spans="93:93" x14ac:dyDescent="0.3">
      <c r="CO1857" s="15"/>
    </row>
    <row r="1858" spans="93:93" x14ac:dyDescent="0.3">
      <c r="CO1858" s="15"/>
    </row>
    <row r="1859" spans="93:93" x14ac:dyDescent="0.3">
      <c r="CO1859" s="15"/>
    </row>
    <row r="1860" spans="93:93" x14ac:dyDescent="0.3">
      <c r="CO1860" s="15"/>
    </row>
    <row r="1861" spans="93:93" x14ac:dyDescent="0.3">
      <c r="CO1861" s="15"/>
    </row>
    <row r="1862" spans="93:93" x14ac:dyDescent="0.3">
      <c r="CO1862" s="15"/>
    </row>
    <row r="1863" spans="93:93" x14ac:dyDescent="0.3">
      <c r="CO1863" s="15"/>
    </row>
    <row r="1864" spans="93:93" x14ac:dyDescent="0.3">
      <c r="CO1864" s="15"/>
    </row>
    <row r="1865" spans="93:93" x14ac:dyDescent="0.3">
      <c r="CO1865" s="15"/>
    </row>
    <row r="1866" spans="93:93" x14ac:dyDescent="0.3">
      <c r="CO1866" s="15"/>
    </row>
    <row r="1867" spans="93:93" x14ac:dyDescent="0.3">
      <c r="CO1867" s="15"/>
    </row>
    <row r="1868" spans="93:93" x14ac:dyDescent="0.3">
      <c r="CO1868" s="15"/>
    </row>
    <row r="1869" spans="93:93" x14ac:dyDescent="0.3">
      <c r="CO1869" s="15"/>
    </row>
    <row r="1870" spans="93:93" x14ac:dyDescent="0.3">
      <c r="CO1870" s="15"/>
    </row>
    <row r="1871" spans="93:93" x14ac:dyDescent="0.3">
      <c r="CO1871" s="15"/>
    </row>
    <row r="1872" spans="93:93" x14ac:dyDescent="0.3">
      <c r="CO1872" s="15"/>
    </row>
    <row r="1873" spans="93:93" x14ac:dyDescent="0.3">
      <c r="CO1873" s="15"/>
    </row>
    <row r="1874" spans="93:93" x14ac:dyDescent="0.3">
      <c r="CO1874" s="15"/>
    </row>
    <row r="1875" spans="93:93" x14ac:dyDescent="0.3">
      <c r="CO1875" s="15"/>
    </row>
    <row r="1876" spans="93:93" x14ac:dyDescent="0.3">
      <c r="CO1876" s="15"/>
    </row>
    <row r="1877" spans="93:93" x14ac:dyDescent="0.3">
      <c r="CO1877" s="15"/>
    </row>
    <row r="1878" spans="93:93" x14ac:dyDescent="0.3">
      <c r="CO1878" s="15"/>
    </row>
    <row r="1879" spans="93:93" x14ac:dyDescent="0.3">
      <c r="CO1879" s="15"/>
    </row>
    <row r="1880" spans="93:93" x14ac:dyDescent="0.3">
      <c r="CO1880" s="15"/>
    </row>
    <row r="1881" spans="93:93" x14ac:dyDescent="0.3">
      <c r="CO1881" s="15"/>
    </row>
    <row r="1882" spans="93:93" x14ac:dyDescent="0.3">
      <c r="CO1882" s="15"/>
    </row>
    <row r="1883" spans="93:93" x14ac:dyDescent="0.3">
      <c r="CO1883" s="15"/>
    </row>
    <row r="1884" spans="93:93" x14ac:dyDescent="0.3">
      <c r="CO1884" s="15"/>
    </row>
    <row r="1885" spans="93:93" x14ac:dyDescent="0.3">
      <c r="CO1885" s="15"/>
    </row>
    <row r="1886" spans="93:93" x14ac:dyDescent="0.3">
      <c r="CO1886" s="15"/>
    </row>
    <row r="1887" spans="93:93" x14ac:dyDescent="0.3">
      <c r="CO1887" s="15"/>
    </row>
    <row r="1888" spans="93:93" x14ac:dyDescent="0.3">
      <c r="CO1888" s="15"/>
    </row>
    <row r="1889" spans="93:93" x14ac:dyDescent="0.3">
      <c r="CO1889" s="15"/>
    </row>
    <row r="1890" spans="93:93" x14ac:dyDescent="0.3">
      <c r="CO1890" s="15"/>
    </row>
    <row r="1891" spans="93:93" x14ac:dyDescent="0.3">
      <c r="CO1891" s="15"/>
    </row>
    <row r="1892" spans="93:93" x14ac:dyDescent="0.3">
      <c r="CO1892" s="15"/>
    </row>
    <row r="1893" spans="93:93" x14ac:dyDescent="0.3">
      <c r="CO1893" s="15"/>
    </row>
    <row r="1894" spans="93:93" x14ac:dyDescent="0.3">
      <c r="CO1894" s="15"/>
    </row>
    <row r="1895" spans="93:93" x14ac:dyDescent="0.3">
      <c r="CO1895" s="15"/>
    </row>
    <row r="1896" spans="93:93" x14ac:dyDescent="0.3">
      <c r="CO1896" s="15"/>
    </row>
    <row r="1897" spans="93:93" x14ac:dyDescent="0.3">
      <c r="CO1897" s="15"/>
    </row>
    <row r="1898" spans="93:93" x14ac:dyDescent="0.3">
      <c r="CO1898" s="15"/>
    </row>
    <row r="1899" spans="93:93" x14ac:dyDescent="0.3">
      <c r="CO1899" s="15"/>
    </row>
    <row r="1900" spans="93:93" x14ac:dyDescent="0.3">
      <c r="CO1900" s="15"/>
    </row>
    <row r="1901" spans="93:93" x14ac:dyDescent="0.3">
      <c r="CO1901" s="15"/>
    </row>
    <row r="1902" spans="93:93" x14ac:dyDescent="0.3">
      <c r="CO1902" s="15"/>
    </row>
    <row r="1903" spans="93:93" x14ac:dyDescent="0.3">
      <c r="CO1903" s="15"/>
    </row>
    <row r="1904" spans="93:93" x14ac:dyDescent="0.3">
      <c r="CO1904" s="15"/>
    </row>
    <row r="1905" spans="93:93" x14ac:dyDescent="0.3">
      <c r="CO1905" s="15"/>
    </row>
    <row r="1906" spans="93:93" x14ac:dyDescent="0.3">
      <c r="CO1906" s="15"/>
    </row>
    <row r="1907" spans="93:93" x14ac:dyDescent="0.3">
      <c r="CO1907" s="15"/>
    </row>
    <row r="1908" spans="93:93" x14ac:dyDescent="0.3">
      <c r="CO1908" s="15"/>
    </row>
    <row r="1909" spans="93:93" x14ac:dyDescent="0.3">
      <c r="CO1909" s="15"/>
    </row>
    <row r="1910" spans="93:93" x14ac:dyDescent="0.3">
      <c r="CO1910" s="15"/>
    </row>
    <row r="1911" spans="93:93" x14ac:dyDescent="0.3">
      <c r="CO1911" s="15"/>
    </row>
    <row r="1912" spans="93:93" x14ac:dyDescent="0.3">
      <c r="CO1912" s="15"/>
    </row>
    <row r="1913" spans="93:93" x14ac:dyDescent="0.3">
      <c r="CO1913" s="15"/>
    </row>
    <row r="1914" spans="93:93" x14ac:dyDescent="0.3">
      <c r="CO1914" s="15"/>
    </row>
    <row r="1915" spans="93:93" x14ac:dyDescent="0.3">
      <c r="CO1915" s="15"/>
    </row>
    <row r="1916" spans="93:93" x14ac:dyDescent="0.3">
      <c r="CO1916" s="15"/>
    </row>
    <row r="1917" spans="93:93" x14ac:dyDescent="0.3">
      <c r="CO1917" s="15"/>
    </row>
    <row r="1918" spans="93:93" x14ac:dyDescent="0.3">
      <c r="CO1918" s="15"/>
    </row>
    <row r="1919" spans="93:93" x14ac:dyDescent="0.3">
      <c r="CO1919" s="15"/>
    </row>
    <row r="1920" spans="93:93" x14ac:dyDescent="0.3">
      <c r="CO1920" s="15"/>
    </row>
    <row r="1921" spans="93:93" x14ac:dyDescent="0.3">
      <c r="CO1921" s="15"/>
    </row>
    <row r="1922" spans="93:93" x14ac:dyDescent="0.3">
      <c r="CO1922" s="15"/>
    </row>
    <row r="1923" spans="93:93" x14ac:dyDescent="0.3">
      <c r="CO1923" s="15"/>
    </row>
    <row r="1924" spans="93:93" x14ac:dyDescent="0.3">
      <c r="CO1924" s="15"/>
    </row>
    <row r="1925" spans="93:93" x14ac:dyDescent="0.3">
      <c r="CO1925" s="15"/>
    </row>
    <row r="1926" spans="93:93" x14ac:dyDescent="0.3">
      <c r="CO1926" s="15"/>
    </row>
    <row r="1927" spans="93:93" x14ac:dyDescent="0.3">
      <c r="CO1927" s="15"/>
    </row>
    <row r="1928" spans="93:93" x14ac:dyDescent="0.3">
      <c r="CO1928" s="15"/>
    </row>
    <row r="1929" spans="93:93" x14ac:dyDescent="0.3">
      <c r="CO1929" s="15"/>
    </row>
    <row r="1930" spans="93:93" x14ac:dyDescent="0.3">
      <c r="CO1930" s="15"/>
    </row>
    <row r="1931" spans="93:93" x14ac:dyDescent="0.3">
      <c r="CO1931" s="15"/>
    </row>
    <row r="1932" spans="93:93" x14ac:dyDescent="0.3">
      <c r="CO1932" s="15"/>
    </row>
    <row r="1933" spans="93:93" x14ac:dyDescent="0.3">
      <c r="CO1933" s="15"/>
    </row>
    <row r="1934" spans="93:93" x14ac:dyDescent="0.3">
      <c r="CO1934" s="15"/>
    </row>
    <row r="1935" spans="93:93" x14ac:dyDescent="0.3">
      <c r="CO1935" s="15"/>
    </row>
    <row r="1936" spans="93:93" x14ac:dyDescent="0.3">
      <c r="CO1936" s="15"/>
    </row>
    <row r="1937" spans="93:93" x14ac:dyDescent="0.3">
      <c r="CO1937" s="15"/>
    </row>
    <row r="1938" spans="93:93" x14ac:dyDescent="0.3">
      <c r="CO1938" s="15"/>
    </row>
    <row r="1939" spans="93:93" x14ac:dyDescent="0.3">
      <c r="CO1939" s="15"/>
    </row>
    <row r="1940" spans="93:93" x14ac:dyDescent="0.3">
      <c r="CO1940" s="15"/>
    </row>
    <row r="1941" spans="93:93" x14ac:dyDescent="0.3">
      <c r="CO1941" s="15"/>
    </row>
    <row r="1942" spans="93:93" x14ac:dyDescent="0.3">
      <c r="CO1942" s="15"/>
    </row>
    <row r="1943" spans="93:93" x14ac:dyDescent="0.3">
      <c r="CO1943" s="15"/>
    </row>
    <row r="1944" spans="93:93" x14ac:dyDescent="0.3">
      <c r="CO1944" s="15"/>
    </row>
    <row r="1945" spans="93:93" x14ac:dyDescent="0.3">
      <c r="CO1945" s="15"/>
    </row>
    <row r="1946" spans="93:93" x14ac:dyDescent="0.3">
      <c r="CO1946" s="15"/>
    </row>
    <row r="1947" spans="93:93" x14ac:dyDescent="0.3">
      <c r="CO1947" s="15"/>
    </row>
    <row r="1948" spans="93:93" x14ac:dyDescent="0.3">
      <c r="CO1948" s="15"/>
    </row>
    <row r="1949" spans="93:93" x14ac:dyDescent="0.3">
      <c r="CO1949" s="15"/>
    </row>
    <row r="1950" spans="93:93" x14ac:dyDescent="0.3">
      <c r="CO1950" s="15"/>
    </row>
    <row r="1951" spans="93:93" x14ac:dyDescent="0.3">
      <c r="CO1951" s="15"/>
    </row>
    <row r="1952" spans="93:93" x14ac:dyDescent="0.3">
      <c r="CO1952" s="15"/>
    </row>
    <row r="1953" spans="93:93" x14ac:dyDescent="0.3">
      <c r="CO1953" s="15"/>
    </row>
    <row r="1954" spans="93:93" x14ac:dyDescent="0.3">
      <c r="CO1954" s="15"/>
    </row>
    <row r="1955" spans="93:93" x14ac:dyDescent="0.3">
      <c r="CO1955" s="15"/>
    </row>
    <row r="1956" spans="93:93" x14ac:dyDescent="0.3">
      <c r="CO1956" s="15"/>
    </row>
    <row r="1957" spans="93:93" x14ac:dyDescent="0.3">
      <c r="CO1957" s="15"/>
    </row>
    <row r="1958" spans="93:93" x14ac:dyDescent="0.3">
      <c r="CO1958" s="15"/>
    </row>
    <row r="1959" spans="93:93" x14ac:dyDescent="0.3">
      <c r="CO1959" s="15"/>
    </row>
    <row r="1960" spans="93:93" x14ac:dyDescent="0.3">
      <c r="CO1960" s="15"/>
    </row>
    <row r="1961" spans="93:93" x14ac:dyDescent="0.3">
      <c r="CO1961" s="15"/>
    </row>
    <row r="1962" spans="93:93" x14ac:dyDescent="0.3">
      <c r="CO1962" s="15"/>
    </row>
    <row r="1963" spans="93:93" x14ac:dyDescent="0.3">
      <c r="CO1963" s="15"/>
    </row>
    <row r="1964" spans="93:93" x14ac:dyDescent="0.3">
      <c r="CO1964" s="15"/>
    </row>
    <row r="1965" spans="93:93" x14ac:dyDescent="0.3">
      <c r="CO1965" s="15"/>
    </row>
    <row r="1966" spans="93:93" x14ac:dyDescent="0.3">
      <c r="CO1966" s="15"/>
    </row>
    <row r="1967" spans="93:93" x14ac:dyDescent="0.3">
      <c r="CO1967" s="15"/>
    </row>
    <row r="1968" spans="93:93" x14ac:dyDescent="0.3">
      <c r="CO1968" s="15"/>
    </row>
    <row r="1969" spans="93:93" x14ac:dyDescent="0.3">
      <c r="CO1969" s="15"/>
    </row>
    <row r="1970" spans="93:93" x14ac:dyDescent="0.3">
      <c r="CO1970" s="15"/>
    </row>
    <row r="1971" spans="93:93" x14ac:dyDescent="0.3">
      <c r="CO1971" s="15"/>
    </row>
    <row r="1972" spans="93:93" x14ac:dyDescent="0.3">
      <c r="CO1972" s="15"/>
    </row>
    <row r="1973" spans="93:93" x14ac:dyDescent="0.3">
      <c r="CO1973" s="15"/>
    </row>
    <row r="1974" spans="93:93" x14ac:dyDescent="0.3">
      <c r="CO1974" s="15"/>
    </row>
    <row r="1975" spans="93:93" x14ac:dyDescent="0.3">
      <c r="CO1975" s="15"/>
    </row>
    <row r="1976" spans="93:93" x14ac:dyDescent="0.3">
      <c r="CO1976" s="15"/>
    </row>
    <row r="1977" spans="93:93" x14ac:dyDescent="0.3">
      <c r="CO1977" s="15"/>
    </row>
    <row r="1978" spans="93:93" x14ac:dyDescent="0.3">
      <c r="CO1978" s="15"/>
    </row>
    <row r="1979" spans="93:93" x14ac:dyDescent="0.3">
      <c r="CO1979" s="15"/>
    </row>
    <row r="1980" spans="93:93" x14ac:dyDescent="0.3">
      <c r="CO1980" s="15"/>
    </row>
    <row r="1981" spans="93:93" x14ac:dyDescent="0.3">
      <c r="CO1981" s="15"/>
    </row>
    <row r="1982" spans="93:93" x14ac:dyDescent="0.3">
      <c r="CO1982" s="15"/>
    </row>
    <row r="1983" spans="93:93" x14ac:dyDescent="0.3">
      <c r="CO1983" s="15"/>
    </row>
    <row r="1984" spans="93:93" x14ac:dyDescent="0.3">
      <c r="CO1984" s="15"/>
    </row>
    <row r="1985" spans="93:93" x14ac:dyDescent="0.3">
      <c r="CO1985" s="15"/>
    </row>
    <row r="1986" spans="93:93" x14ac:dyDescent="0.3">
      <c r="CO1986" s="15"/>
    </row>
    <row r="1987" spans="93:93" x14ac:dyDescent="0.3">
      <c r="CO1987" s="15"/>
    </row>
    <row r="1988" spans="93:93" x14ac:dyDescent="0.3">
      <c r="CO1988" s="15"/>
    </row>
    <row r="1989" spans="93:93" x14ac:dyDescent="0.3">
      <c r="CO1989" s="15"/>
    </row>
    <row r="1990" spans="93:93" x14ac:dyDescent="0.3">
      <c r="CO1990" s="15"/>
    </row>
    <row r="1991" spans="93:93" x14ac:dyDescent="0.3">
      <c r="CO1991" s="15"/>
    </row>
    <row r="1992" spans="93:93" x14ac:dyDescent="0.3">
      <c r="CO1992" s="15"/>
    </row>
    <row r="1993" spans="93:93" x14ac:dyDescent="0.3">
      <c r="CO1993" s="15"/>
    </row>
    <row r="1994" spans="93:93" x14ac:dyDescent="0.3">
      <c r="CO1994" s="15"/>
    </row>
    <row r="1995" spans="93:93" x14ac:dyDescent="0.3">
      <c r="CO1995" s="15"/>
    </row>
    <row r="1996" spans="93:93" x14ac:dyDescent="0.3">
      <c r="CO1996" s="15"/>
    </row>
    <row r="1997" spans="93:93" x14ac:dyDescent="0.3">
      <c r="CO1997" s="15"/>
    </row>
    <row r="1998" spans="93:93" x14ac:dyDescent="0.3">
      <c r="CO1998" s="15"/>
    </row>
    <row r="1999" spans="93:93" x14ac:dyDescent="0.3">
      <c r="CO1999" s="15"/>
    </row>
    <row r="2000" spans="93:93" x14ac:dyDescent="0.3">
      <c r="CO2000" s="15"/>
    </row>
    <row r="2001" spans="93:93" x14ac:dyDescent="0.3">
      <c r="CO2001" s="15"/>
    </row>
    <row r="2002" spans="93:93" x14ac:dyDescent="0.3">
      <c r="CO2002" s="15"/>
    </row>
    <row r="2003" spans="93:93" x14ac:dyDescent="0.3">
      <c r="CO2003" s="15"/>
    </row>
    <row r="2004" spans="93:93" x14ac:dyDescent="0.3">
      <c r="CO2004" s="15"/>
    </row>
    <row r="2005" spans="93:93" x14ac:dyDescent="0.3">
      <c r="CO2005" s="15"/>
    </row>
    <row r="2006" spans="93:93" x14ac:dyDescent="0.3">
      <c r="CO2006" s="15"/>
    </row>
    <row r="2007" spans="93:93" x14ac:dyDescent="0.3">
      <c r="CO2007" s="15"/>
    </row>
    <row r="2008" spans="93:93" x14ac:dyDescent="0.3">
      <c r="CO2008" s="15"/>
    </row>
    <row r="2009" spans="93:93" x14ac:dyDescent="0.3">
      <c r="CO2009" s="15"/>
    </row>
    <row r="2010" spans="93:93" x14ac:dyDescent="0.3">
      <c r="CO2010" s="15"/>
    </row>
    <row r="2011" spans="93:93" x14ac:dyDescent="0.3">
      <c r="CO2011" s="15"/>
    </row>
    <row r="2012" spans="93:93" x14ac:dyDescent="0.3">
      <c r="CO2012" s="15"/>
    </row>
    <row r="2013" spans="93:93" x14ac:dyDescent="0.3">
      <c r="CO2013" s="15"/>
    </row>
    <row r="2014" spans="93:93" x14ac:dyDescent="0.3">
      <c r="CO2014" s="15"/>
    </row>
    <row r="2015" spans="93:93" x14ac:dyDescent="0.3">
      <c r="CO2015" s="15"/>
    </row>
    <row r="2016" spans="93:93" x14ac:dyDescent="0.3">
      <c r="CO2016" s="15"/>
    </row>
    <row r="2017" spans="93:93" x14ac:dyDescent="0.3">
      <c r="CO2017" s="15"/>
    </row>
    <row r="2018" spans="93:93" x14ac:dyDescent="0.3">
      <c r="CO2018" s="15"/>
    </row>
    <row r="2019" spans="93:93" x14ac:dyDescent="0.3">
      <c r="CO2019" s="15"/>
    </row>
    <row r="2020" spans="93:93" x14ac:dyDescent="0.3">
      <c r="CO2020" s="15"/>
    </row>
    <row r="2021" spans="93:93" x14ac:dyDescent="0.3">
      <c r="CO2021" s="15"/>
    </row>
    <row r="2022" spans="93:93" x14ac:dyDescent="0.3">
      <c r="CO2022" s="15"/>
    </row>
    <row r="2023" spans="93:93" x14ac:dyDescent="0.3">
      <c r="CO2023" s="15"/>
    </row>
    <row r="2024" spans="93:93" x14ac:dyDescent="0.3">
      <c r="CO2024" s="15"/>
    </row>
    <row r="2025" spans="93:93" x14ac:dyDescent="0.3">
      <c r="CO2025" s="15"/>
    </row>
    <row r="2026" spans="93:93" x14ac:dyDescent="0.3">
      <c r="CO2026" s="15"/>
    </row>
    <row r="2027" spans="93:93" x14ac:dyDescent="0.3">
      <c r="CO2027" s="15"/>
    </row>
    <row r="2028" spans="93:93" x14ac:dyDescent="0.3">
      <c r="CO2028" s="15"/>
    </row>
    <row r="2029" spans="93:93" x14ac:dyDescent="0.3">
      <c r="CO2029" s="15"/>
    </row>
    <row r="2030" spans="93:93" x14ac:dyDescent="0.3">
      <c r="CO2030" s="15"/>
    </row>
    <row r="2031" spans="93:93" x14ac:dyDescent="0.3">
      <c r="CO2031" s="15"/>
    </row>
    <row r="2032" spans="93:93" x14ac:dyDescent="0.3">
      <c r="CO2032" s="15"/>
    </row>
    <row r="2033" spans="93:93" x14ac:dyDescent="0.3">
      <c r="CO2033" s="15"/>
    </row>
    <row r="2034" spans="93:93" x14ac:dyDescent="0.3">
      <c r="CO2034" s="15"/>
    </row>
    <row r="2035" spans="93:93" x14ac:dyDescent="0.3">
      <c r="CO2035" s="15"/>
    </row>
    <row r="2036" spans="93:93" x14ac:dyDescent="0.3">
      <c r="CO2036" s="15"/>
    </row>
    <row r="2037" spans="93:93" x14ac:dyDescent="0.3">
      <c r="CO2037" s="15"/>
    </row>
    <row r="2038" spans="93:93" x14ac:dyDescent="0.3">
      <c r="CO2038" s="15"/>
    </row>
    <row r="2039" spans="93:93" x14ac:dyDescent="0.3">
      <c r="CO2039" s="15"/>
    </row>
    <row r="2040" spans="93:93" x14ac:dyDescent="0.3">
      <c r="CO2040" s="15"/>
    </row>
    <row r="2041" spans="93:93" x14ac:dyDescent="0.3">
      <c r="CO2041" s="15"/>
    </row>
    <row r="2042" spans="93:93" x14ac:dyDescent="0.3">
      <c r="CO2042" s="15"/>
    </row>
    <row r="2043" spans="93:93" x14ac:dyDescent="0.3">
      <c r="CO2043" s="15"/>
    </row>
    <row r="2044" spans="93:93" x14ac:dyDescent="0.3">
      <c r="CO2044" s="15"/>
    </row>
    <row r="2045" spans="93:93" x14ac:dyDescent="0.3">
      <c r="CO2045" s="15"/>
    </row>
    <row r="2046" spans="93:93" x14ac:dyDescent="0.3">
      <c r="CO2046" s="15"/>
    </row>
    <row r="2047" spans="93:93" x14ac:dyDescent="0.3">
      <c r="CO2047" s="15"/>
    </row>
    <row r="2048" spans="93:93" x14ac:dyDescent="0.3">
      <c r="CO2048" s="15"/>
    </row>
    <row r="2049" spans="93:93" x14ac:dyDescent="0.3">
      <c r="CO2049" s="15"/>
    </row>
    <row r="2050" spans="93:93" x14ac:dyDescent="0.3">
      <c r="CO2050" s="15"/>
    </row>
    <row r="2051" spans="93:93" x14ac:dyDescent="0.3">
      <c r="CO2051" s="15"/>
    </row>
    <row r="2052" spans="93:93" x14ac:dyDescent="0.3">
      <c r="CO2052" s="15"/>
    </row>
    <row r="2053" spans="93:93" x14ac:dyDescent="0.3">
      <c r="CO2053" s="15"/>
    </row>
    <row r="2054" spans="93:93" x14ac:dyDescent="0.3">
      <c r="CO2054" s="15"/>
    </row>
    <row r="2055" spans="93:93" x14ac:dyDescent="0.3">
      <c r="CO2055" s="15"/>
    </row>
    <row r="2056" spans="93:93" x14ac:dyDescent="0.3">
      <c r="CO2056" s="15"/>
    </row>
    <row r="2057" spans="93:93" x14ac:dyDescent="0.3">
      <c r="CO2057" s="15"/>
    </row>
    <row r="2058" spans="93:93" x14ac:dyDescent="0.3">
      <c r="CO2058" s="15"/>
    </row>
    <row r="2059" spans="93:93" x14ac:dyDescent="0.3">
      <c r="CO2059" s="15"/>
    </row>
    <row r="2060" spans="93:93" x14ac:dyDescent="0.3">
      <c r="CO2060" s="15"/>
    </row>
    <row r="2061" spans="93:93" x14ac:dyDescent="0.3">
      <c r="CO2061" s="15"/>
    </row>
    <row r="2062" spans="93:93" x14ac:dyDescent="0.3">
      <c r="CO2062" s="15"/>
    </row>
    <row r="2063" spans="93:93" x14ac:dyDescent="0.3">
      <c r="CO2063" s="15"/>
    </row>
    <row r="2064" spans="93:93" x14ac:dyDescent="0.3">
      <c r="CO2064" s="15"/>
    </row>
    <row r="2065" spans="93:93" x14ac:dyDescent="0.3">
      <c r="CO2065" s="15"/>
    </row>
    <row r="2066" spans="93:93" x14ac:dyDescent="0.3">
      <c r="CO2066" s="15"/>
    </row>
    <row r="2067" spans="93:93" x14ac:dyDescent="0.3">
      <c r="CO2067" s="15"/>
    </row>
    <row r="2068" spans="93:93" x14ac:dyDescent="0.3">
      <c r="CO2068" s="15"/>
    </row>
    <row r="2069" spans="93:93" x14ac:dyDescent="0.3">
      <c r="CO2069" s="15"/>
    </row>
    <row r="2070" spans="93:93" x14ac:dyDescent="0.3">
      <c r="CO2070" s="15"/>
    </row>
    <row r="2071" spans="93:93" x14ac:dyDescent="0.3">
      <c r="CO2071" s="15"/>
    </row>
    <row r="2072" spans="93:93" x14ac:dyDescent="0.3">
      <c r="CO2072" s="15"/>
    </row>
    <row r="2073" spans="93:93" x14ac:dyDescent="0.3">
      <c r="CO2073" s="15"/>
    </row>
    <row r="2074" spans="93:93" x14ac:dyDescent="0.3">
      <c r="CO2074" s="15"/>
    </row>
    <row r="2075" spans="93:93" x14ac:dyDescent="0.3">
      <c r="CO2075" s="15"/>
    </row>
    <row r="2076" spans="93:93" x14ac:dyDescent="0.3">
      <c r="CO2076" s="15"/>
    </row>
    <row r="2077" spans="93:93" x14ac:dyDescent="0.3">
      <c r="CO2077" s="15"/>
    </row>
    <row r="2078" spans="93:93" x14ac:dyDescent="0.3">
      <c r="CO2078" s="15"/>
    </row>
    <row r="2079" spans="93:93" x14ac:dyDescent="0.3">
      <c r="CO2079" s="15"/>
    </row>
    <row r="2080" spans="93:93" x14ac:dyDescent="0.3">
      <c r="CO2080" s="15"/>
    </row>
    <row r="2081" spans="93:93" x14ac:dyDescent="0.3">
      <c r="CO2081" s="15"/>
    </row>
    <row r="2082" spans="93:93" x14ac:dyDescent="0.3">
      <c r="CO2082" s="15"/>
    </row>
    <row r="2083" spans="93:93" x14ac:dyDescent="0.3">
      <c r="CO2083" s="15"/>
    </row>
    <row r="2084" spans="93:93" x14ac:dyDescent="0.3">
      <c r="CO2084" s="15"/>
    </row>
    <row r="2085" spans="93:93" x14ac:dyDescent="0.3">
      <c r="CO2085" s="15"/>
    </row>
    <row r="2086" spans="93:93" x14ac:dyDescent="0.3">
      <c r="CO2086" s="15"/>
    </row>
    <row r="2087" spans="93:93" x14ac:dyDescent="0.3">
      <c r="CO2087" s="15"/>
    </row>
    <row r="2088" spans="93:93" x14ac:dyDescent="0.3">
      <c r="CO2088" s="15"/>
    </row>
    <row r="2089" spans="93:93" x14ac:dyDescent="0.3">
      <c r="CO2089" s="15"/>
    </row>
    <row r="2090" spans="93:93" x14ac:dyDescent="0.3">
      <c r="CO2090" s="15"/>
    </row>
    <row r="2091" spans="93:93" x14ac:dyDescent="0.3">
      <c r="CO2091" s="15"/>
    </row>
    <row r="2092" spans="93:93" x14ac:dyDescent="0.3">
      <c r="CO2092" s="15"/>
    </row>
    <row r="2093" spans="93:93" x14ac:dyDescent="0.3">
      <c r="CO2093" s="15"/>
    </row>
    <row r="2094" spans="93:93" x14ac:dyDescent="0.3">
      <c r="CO2094" s="15"/>
    </row>
    <row r="2095" spans="93:93" x14ac:dyDescent="0.3">
      <c r="CO2095" s="15"/>
    </row>
    <row r="2096" spans="93:93" x14ac:dyDescent="0.3">
      <c r="CO2096" s="15"/>
    </row>
    <row r="2097" spans="93:93" x14ac:dyDescent="0.3">
      <c r="CO2097" s="15"/>
    </row>
    <row r="2098" spans="93:93" x14ac:dyDescent="0.3">
      <c r="CO2098" s="15"/>
    </row>
    <row r="2099" spans="93:93" x14ac:dyDescent="0.3">
      <c r="CO2099" s="15"/>
    </row>
    <row r="2100" spans="93:93" x14ac:dyDescent="0.3">
      <c r="CO2100" s="15"/>
    </row>
    <row r="2101" spans="93:93" x14ac:dyDescent="0.3">
      <c r="CO2101" s="15"/>
    </row>
    <row r="2102" spans="93:93" x14ac:dyDescent="0.3">
      <c r="CO2102" s="15"/>
    </row>
    <row r="2103" spans="93:93" x14ac:dyDescent="0.3">
      <c r="CO2103" s="15"/>
    </row>
    <row r="2104" spans="93:93" x14ac:dyDescent="0.3">
      <c r="CO2104" s="15"/>
    </row>
    <row r="2105" spans="93:93" x14ac:dyDescent="0.3">
      <c r="CO2105" s="15"/>
    </row>
    <row r="2106" spans="93:93" x14ac:dyDescent="0.3">
      <c r="CO2106" s="15"/>
    </row>
    <row r="2107" spans="93:93" x14ac:dyDescent="0.3">
      <c r="CO2107" s="15"/>
    </row>
    <row r="2108" spans="93:93" x14ac:dyDescent="0.3">
      <c r="CO2108" s="15"/>
    </row>
    <row r="2109" spans="93:93" x14ac:dyDescent="0.3">
      <c r="CO2109" s="15"/>
    </row>
    <row r="2110" spans="93:93" x14ac:dyDescent="0.3">
      <c r="CO2110" s="15"/>
    </row>
    <row r="2111" spans="93:93" x14ac:dyDescent="0.3">
      <c r="CO2111" s="15"/>
    </row>
    <row r="2112" spans="93:93" x14ac:dyDescent="0.3">
      <c r="CO2112" s="15"/>
    </row>
    <row r="2113" spans="93:93" x14ac:dyDescent="0.3">
      <c r="CO2113" s="15"/>
    </row>
    <row r="2114" spans="93:93" x14ac:dyDescent="0.3">
      <c r="CO2114" s="15"/>
    </row>
    <row r="2115" spans="93:93" x14ac:dyDescent="0.3">
      <c r="CO2115" s="15"/>
    </row>
    <row r="2116" spans="93:93" x14ac:dyDescent="0.3">
      <c r="CO2116" s="15"/>
    </row>
    <row r="2117" spans="93:93" x14ac:dyDescent="0.3">
      <c r="CO2117" s="15"/>
    </row>
    <row r="2118" spans="93:93" x14ac:dyDescent="0.3">
      <c r="CO2118" s="15"/>
    </row>
    <row r="2119" spans="93:93" x14ac:dyDescent="0.3">
      <c r="CO2119" s="15"/>
    </row>
    <row r="2120" spans="93:93" x14ac:dyDescent="0.3">
      <c r="CO2120" s="15"/>
    </row>
    <row r="2121" spans="93:93" x14ac:dyDescent="0.3">
      <c r="CO2121" s="15"/>
    </row>
    <row r="2122" spans="93:93" x14ac:dyDescent="0.3">
      <c r="CO2122" s="15"/>
    </row>
    <row r="2123" spans="93:93" x14ac:dyDescent="0.3">
      <c r="CO2123" s="15"/>
    </row>
    <row r="2124" spans="93:93" x14ac:dyDescent="0.3">
      <c r="CO2124" s="15"/>
    </row>
    <row r="2125" spans="93:93" x14ac:dyDescent="0.3">
      <c r="CO2125" s="15"/>
    </row>
    <row r="2126" spans="93:93" x14ac:dyDescent="0.3">
      <c r="CO2126" s="15"/>
    </row>
    <row r="2127" spans="93:93" x14ac:dyDescent="0.3">
      <c r="CO2127" s="15"/>
    </row>
    <row r="2128" spans="93:93" x14ac:dyDescent="0.3">
      <c r="CO2128" s="15"/>
    </row>
    <row r="2129" spans="93:93" x14ac:dyDescent="0.3">
      <c r="CO2129" s="15"/>
    </row>
    <row r="2130" spans="93:93" x14ac:dyDescent="0.3">
      <c r="CO2130" s="15"/>
    </row>
    <row r="2131" spans="93:93" x14ac:dyDescent="0.3">
      <c r="CO2131" s="15"/>
    </row>
    <row r="2132" spans="93:93" x14ac:dyDescent="0.3">
      <c r="CO2132" s="15"/>
    </row>
    <row r="2133" spans="93:93" x14ac:dyDescent="0.3">
      <c r="CO2133" s="15"/>
    </row>
    <row r="2134" spans="93:93" x14ac:dyDescent="0.3">
      <c r="CO2134" s="15"/>
    </row>
    <row r="2135" spans="93:93" x14ac:dyDescent="0.3">
      <c r="CO2135" s="15"/>
    </row>
    <row r="2136" spans="93:93" x14ac:dyDescent="0.3">
      <c r="CO2136" s="15"/>
    </row>
    <row r="2137" spans="93:93" x14ac:dyDescent="0.3">
      <c r="CO2137" s="15"/>
    </row>
    <row r="2138" spans="93:93" x14ac:dyDescent="0.3">
      <c r="CO2138" s="15"/>
    </row>
    <row r="2139" spans="93:93" x14ac:dyDescent="0.3">
      <c r="CO2139" s="15"/>
    </row>
    <row r="2140" spans="93:93" x14ac:dyDescent="0.3">
      <c r="CO2140" s="15"/>
    </row>
    <row r="2141" spans="93:93" x14ac:dyDescent="0.3">
      <c r="CO2141" s="15"/>
    </row>
    <row r="2142" spans="93:93" x14ac:dyDescent="0.3">
      <c r="CO2142" s="15"/>
    </row>
    <row r="2143" spans="93:93" x14ac:dyDescent="0.3">
      <c r="CO2143" s="15"/>
    </row>
    <row r="2144" spans="93:93" x14ac:dyDescent="0.3">
      <c r="CO2144" s="15"/>
    </row>
    <row r="2145" spans="93:93" x14ac:dyDescent="0.3">
      <c r="CO2145" s="15"/>
    </row>
    <row r="2146" spans="93:93" x14ac:dyDescent="0.3">
      <c r="CO2146" s="15"/>
    </row>
    <row r="2147" spans="93:93" x14ac:dyDescent="0.3">
      <c r="CO2147" s="15"/>
    </row>
    <row r="2148" spans="93:93" x14ac:dyDescent="0.3">
      <c r="CO2148" s="15"/>
    </row>
    <row r="2149" spans="93:93" x14ac:dyDescent="0.3">
      <c r="CO2149" s="15"/>
    </row>
    <row r="2150" spans="93:93" x14ac:dyDescent="0.3">
      <c r="CO2150" s="15"/>
    </row>
    <row r="2151" spans="93:93" x14ac:dyDescent="0.3">
      <c r="CO2151" s="15"/>
    </row>
    <row r="2152" spans="93:93" x14ac:dyDescent="0.3">
      <c r="CO2152" s="15"/>
    </row>
    <row r="2153" spans="93:93" x14ac:dyDescent="0.3">
      <c r="CO2153" s="15"/>
    </row>
    <row r="2154" spans="93:93" x14ac:dyDescent="0.3">
      <c r="CO2154" s="15"/>
    </row>
    <row r="2155" spans="93:93" x14ac:dyDescent="0.3">
      <c r="CO2155" s="15"/>
    </row>
    <row r="2156" spans="93:93" x14ac:dyDescent="0.3">
      <c r="CO2156" s="15"/>
    </row>
    <row r="2157" spans="93:93" x14ac:dyDescent="0.3">
      <c r="CO2157" s="15"/>
    </row>
    <row r="2158" spans="93:93" x14ac:dyDescent="0.3">
      <c r="CO2158" s="15"/>
    </row>
    <row r="2159" spans="93:93" x14ac:dyDescent="0.3">
      <c r="CO2159" s="15"/>
    </row>
    <row r="2160" spans="93:93" x14ac:dyDescent="0.3">
      <c r="CO2160" s="15"/>
    </row>
    <row r="2161" spans="93:93" x14ac:dyDescent="0.3">
      <c r="CO2161" s="15"/>
    </row>
    <row r="2162" spans="93:93" x14ac:dyDescent="0.3">
      <c r="CO2162" s="15"/>
    </row>
    <row r="2163" spans="93:93" x14ac:dyDescent="0.3">
      <c r="CO2163" s="15"/>
    </row>
    <row r="2164" spans="93:93" x14ac:dyDescent="0.3">
      <c r="CO2164" s="15"/>
    </row>
    <row r="2165" spans="93:93" x14ac:dyDescent="0.3">
      <c r="CO2165" s="15"/>
    </row>
    <row r="2166" spans="93:93" x14ac:dyDescent="0.3">
      <c r="CO2166" s="15"/>
    </row>
    <row r="2167" spans="93:93" x14ac:dyDescent="0.3">
      <c r="CO2167" s="15"/>
    </row>
    <row r="2168" spans="93:93" x14ac:dyDescent="0.3">
      <c r="CO2168" s="15"/>
    </row>
    <row r="2169" spans="93:93" x14ac:dyDescent="0.3">
      <c r="CO2169" s="15"/>
    </row>
    <row r="2170" spans="93:93" x14ac:dyDescent="0.3">
      <c r="CO2170" s="15"/>
    </row>
    <row r="2171" spans="93:93" x14ac:dyDescent="0.3">
      <c r="CO2171" s="15"/>
    </row>
    <row r="2172" spans="93:93" x14ac:dyDescent="0.3">
      <c r="CO2172" s="15"/>
    </row>
    <row r="2173" spans="93:93" x14ac:dyDescent="0.3">
      <c r="CO2173" s="15"/>
    </row>
    <row r="2174" spans="93:93" x14ac:dyDescent="0.3">
      <c r="CO2174" s="15"/>
    </row>
    <row r="2175" spans="93:93" x14ac:dyDescent="0.3">
      <c r="CO2175" s="15"/>
    </row>
    <row r="2176" spans="93:93" x14ac:dyDescent="0.3">
      <c r="CO2176" s="15"/>
    </row>
    <row r="2177" spans="93:93" x14ac:dyDescent="0.3">
      <c r="CO2177" s="15"/>
    </row>
    <row r="2178" spans="93:93" x14ac:dyDescent="0.3">
      <c r="CO2178" s="15"/>
    </row>
    <row r="2179" spans="93:93" x14ac:dyDescent="0.3">
      <c r="CO2179" s="15"/>
    </row>
    <row r="2180" spans="93:93" x14ac:dyDescent="0.3">
      <c r="CO2180" s="15"/>
    </row>
    <row r="2181" spans="93:93" x14ac:dyDescent="0.3">
      <c r="CO2181" s="15"/>
    </row>
    <row r="2182" spans="93:93" x14ac:dyDescent="0.3">
      <c r="CO2182" s="15"/>
    </row>
    <row r="2183" spans="93:93" x14ac:dyDescent="0.3">
      <c r="CO2183" s="15"/>
    </row>
    <row r="2184" spans="93:93" x14ac:dyDescent="0.3">
      <c r="CO2184" s="15"/>
    </row>
    <row r="2185" spans="93:93" x14ac:dyDescent="0.3">
      <c r="CO2185" s="15"/>
    </row>
    <row r="2186" spans="93:93" x14ac:dyDescent="0.3">
      <c r="CO2186" s="15"/>
    </row>
    <row r="2187" spans="93:93" x14ac:dyDescent="0.3">
      <c r="CO2187" s="15"/>
    </row>
    <row r="2188" spans="93:93" x14ac:dyDescent="0.3">
      <c r="CO2188" s="15"/>
    </row>
    <row r="2189" spans="93:93" x14ac:dyDescent="0.3">
      <c r="CO2189" s="15"/>
    </row>
    <row r="2190" spans="93:93" x14ac:dyDescent="0.3">
      <c r="CO2190" s="15"/>
    </row>
    <row r="2191" spans="93:93" x14ac:dyDescent="0.3">
      <c r="CO2191" s="15"/>
    </row>
    <row r="2192" spans="93:93" x14ac:dyDescent="0.3">
      <c r="CO2192" s="15"/>
    </row>
    <row r="2193" spans="93:93" x14ac:dyDescent="0.3">
      <c r="CO2193" s="15"/>
    </row>
    <row r="2194" spans="93:93" x14ac:dyDescent="0.3">
      <c r="CO2194" s="15"/>
    </row>
    <row r="2195" spans="93:93" x14ac:dyDescent="0.3">
      <c r="CO2195" s="15"/>
    </row>
    <row r="2196" spans="93:93" x14ac:dyDescent="0.3">
      <c r="CO2196" s="15"/>
    </row>
    <row r="2197" spans="93:93" x14ac:dyDescent="0.3">
      <c r="CO2197" s="15"/>
    </row>
    <row r="2198" spans="93:93" x14ac:dyDescent="0.3">
      <c r="CO2198" s="15"/>
    </row>
    <row r="2199" spans="93:93" x14ac:dyDescent="0.3">
      <c r="CO2199" s="15"/>
    </row>
    <row r="2200" spans="93:93" x14ac:dyDescent="0.3">
      <c r="CO2200" s="15"/>
    </row>
    <row r="2201" spans="93:93" x14ac:dyDescent="0.3">
      <c r="CO2201" s="15"/>
    </row>
    <row r="2202" spans="93:93" x14ac:dyDescent="0.3">
      <c r="CO2202" s="15"/>
    </row>
    <row r="2203" spans="93:93" x14ac:dyDescent="0.3">
      <c r="CO2203" s="15"/>
    </row>
    <row r="2204" spans="93:93" x14ac:dyDescent="0.3">
      <c r="CO2204" s="15"/>
    </row>
    <row r="2205" spans="93:93" x14ac:dyDescent="0.3">
      <c r="CO2205" s="15"/>
    </row>
    <row r="2206" spans="93:93" x14ac:dyDescent="0.3">
      <c r="CO2206" s="15"/>
    </row>
    <row r="2207" spans="93:93" x14ac:dyDescent="0.3">
      <c r="CO2207" s="15"/>
    </row>
    <row r="2208" spans="93:93" x14ac:dyDescent="0.3">
      <c r="CO2208" s="15"/>
    </row>
    <row r="2209" spans="93:93" x14ac:dyDescent="0.3">
      <c r="CO2209" s="15"/>
    </row>
    <row r="2210" spans="93:93" x14ac:dyDescent="0.3">
      <c r="CO2210" s="15"/>
    </row>
    <row r="2211" spans="93:93" x14ac:dyDescent="0.3">
      <c r="CO2211" s="15"/>
    </row>
    <row r="2212" spans="93:93" x14ac:dyDescent="0.3">
      <c r="CO2212" s="15"/>
    </row>
    <row r="2213" spans="93:93" x14ac:dyDescent="0.3">
      <c r="CO2213" s="15"/>
    </row>
    <row r="2214" spans="93:93" x14ac:dyDescent="0.3">
      <c r="CO2214" s="15"/>
    </row>
    <row r="2215" spans="93:93" x14ac:dyDescent="0.3">
      <c r="CO2215" s="15"/>
    </row>
    <row r="2216" spans="93:93" x14ac:dyDescent="0.3">
      <c r="CO2216" s="15"/>
    </row>
    <row r="2217" spans="93:93" x14ac:dyDescent="0.3">
      <c r="CO2217" s="15"/>
    </row>
    <row r="2218" spans="93:93" x14ac:dyDescent="0.3">
      <c r="CO2218" s="15"/>
    </row>
    <row r="2219" spans="93:93" x14ac:dyDescent="0.3">
      <c r="CO2219" s="15"/>
    </row>
    <row r="2220" spans="93:93" x14ac:dyDescent="0.3">
      <c r="CO2220" s="15"/>
    </row>
    <row r="2221" spans="93:93" x14ac:dyDescent="0.3">
      <c r="CO2221" s="15"/>
    </row>
    <row r="2222" spans="93:93" x14ac:dyDescent="0.3">
      <c r="CO2222" s="15"/>
    </row>
    <row r="2223" spans="93:93" x14ac:dyDescent="0.3">
      <c r="CO2223" s="15"/>
    </row>
    <row r="2224" spans="93:93" x14ac:dyDescent="0.3">
      <c r="CO2224" s="15"/>
    </row>
    <row r="2225" spans="93:93" x14ac:dyDescent="0.3">
      <c r="CO2225" s="15"/>
    </row>
    <row r="2226" spans="93:93" x14ac:dyDescent="0.3">
      <c r="CO2226" s="15"/>
    </row>
    <row r="2227" spans="93:93" x14ac:dyDescent="0.3">
      <c r="CO2227" s="15"/>
    </row>
    <row r="2228" spans="93:93" x14ac:dyDescent="0.3">
      <c r="CO2228" s="15"/>
    </row>
    <row r="2229" spans="93:93" x14ac:dyDescent="0.3">
      <c r="CO2229" s="15"/>
    </row>
    <row r="2230" spans="93:93" x14ac:dyDescent="0.3">
      <c r="CO2230" s="15"/>
    </row>
    <row r="2231" spans="93:93" x14ac:dyDescent="0.3">
      <c r="CO2231" s="15"/>
    </row>
    <row r="2232" spans="93:93" x14ac:dyDescent="0.3">
      <c r="CO2232" s="15"/>
    </row>
    <row r="2233" spans="93:93" x14ac:dyDescent="0.3">
      <c r="CO2233" s="15"/>
    </row>
    <row r="2234" spans="93:93" x14ac:dyDescent="0.3">
      <c r="CO2234" s="15"/>
    </row>
    <row r="2235" spans="93:93" x14ac:dyDescent="0.3">
      <c r="CO2235" s="15"/>
    </row>
    <row r="2236" spans="93:93" x14ac:dyDescent="0.3">
      <c r="CO2236" s="15"/>
    </row>
    <row r="2237" spans="93:93" x14ac:dyDescent="0.3">
      <c r="CO2237" s="15"/>
    </row>
    <row r="2238" spans="93:93" x14ac:dyDescent="0.3">
      <c r="CO2238" s="15"/>
    </row>
    <row r="2239" spans="93:93" x14ac:dyDescent="0.3">
      <c r="CO2239" s="15"/>
    </row>
    <row r="2240" spans="93:93" x14ac:dyDescent="0.3">
      <c r="CO2240" s="15"/>
    </row>
    <row r="2241" spans="93:93" x14ac:dyDescent="0.3">
      <c r="CO2241" s="15"/>
    </row>
    <row r="2242" spans="93:93" x14ac:dyDescent="0.3">
      <c r="CO2242" s="15"/>
    </row>
    <row r="2243" spans="93:93" x14ac:dyDescent="0.3">
      <c r="CO2243" s="15"/>
    </row>
    <row r="2244" spans="93:93" x14ac:dyDescent="0.3">
      <c r="CO2244" s="15"/>
    </row>
    <row r="2245" spans="93:93" x14ac:dyDescent="0.3">
      <c r="CO2245" s="15"/>
    </row>
    <row r="2246" spans="93:93" x14ac:dyDescent="0.3">
      <c r="CO2246" s="15"/>
    </row>
    <row r="2247" spans="93:93" x14ac:dyDescent="0.3">
      <c r="CO2247" s="15"/>
    </row>
    <row r="2248" spans="93:93" x14ac:dyDescent="0.3">
      <c r="CO2248" s="15"/>
    </row>
    <row r="2249" spans="93:93" x14ac:dyDescent="0.3">
      <c r="CO2249" s="15"/>
    </row>
    <row r="2250" spans="93:93" x14ac:dyDescent="0.3">
      <c r="CO2250" s="15"/>
    </row>
    <row r="2251" spans="93:93" x14ac:dyDescent="0.3">
      <c r="CO2251" s="15"/>
    </row>
    <row r="2252" spans="93:93" x14ac:dyDescent="0.3">
      <c r="CO2252" s="15"/>
    </row>
    <row r="2253" spans="93:93" x14ac:dyDescent="0.3">
      <c r="CO2253" s="15"/>
    </row>
    <row r="2254" spans="93:93" x14ac:dyDescent="0.3">
      <c r="CO2254" s="15"/>
    </row>
    <row r="2255" spans="93:93" x14ac:dyDescent="0.3">
      <c r="CO2255" s="15"/>
    </row>
    <row r="2256" spans="93:93" x14ac:dyDescent="0.3">
      <c r="CO2256" s="15"/>
    </row>
    <row r="2257" spans="93:93" x14ac:dyDescent="0.3">
      <c r="CO2257" s="15"/>
    </row>
    <row r="2258" spans="93:93" x14ac:dyDescent="0.3">
      <c r="CO2258" s="15"/>
    </row>
    <row r="2259" spans="93:93" x14ac:dyDescent="0.3">
      <c r="CO2259" s="15"/>
    </row>
    <row r="2260" spans="93:93" x14ac:dyDescent="0.3">
      <c r="CO2260" s="15"/>
    </row>
    <row r="2261" spans="93:93" x14ac:dyDescent="0.3">
      <c r="CO2261" s="15"/>
    </row>
    <row r="2262" spans="93:93" x14ac:dyDescent="0.3">
      <c r="CO2262" s="15"/>
    </row>
    <row r="2263" spans="93:93" x14ac:dyDescent="0.3">
      <c r="CO2263" s="15"/>
    </row>
    <row r="2264" spans="93:93" x14ac:dyDescent="0.3">
      <c r="CO2264" s="15"/>
    </row>
    <row r="2265" spans="93:93" x14ac:dyDescent="0.3">
      <c r="CO2265" s="15"/>
    </row>
    <row r="2266" spans="93:93" x14ac:dyDescent="0.3">
      <c r="CO2266" s="15"/>
    </row>
    <row r="2267" spans="93:93" x14ac:dyDescent="0.3">
      <c r="CO2267" s="15"/>
    </row>
    <row r="2268" spans="93:93" x14ac:dyDescent="0.3">
      <c r="CO2268" s="15"/>
    </row>
    <row r="2269" spans="93:93" x14ac:dyDescent="0.3">
      <c r="CO2269" s="15"/>
    </row>
    <row r="2270" spans="93:93" x14ac:dyDescent="0.3">
      <c r="CO2270" s="15"/>
    </row>
    <row r="2271" spans="93:93" x14ac:dyDescent="0.3">
      <c r="CO2271" s="15"/>
    </row>
    <row r="2272" spans="93:93" x14ac:dyDescent="0.3">
      <c r="CO2272" s="15"/>
    </row>
    <row r="2273" spans="93:93" x14ac:dyDescent="0.3">
      <c r="CO2273" s="15"/>
    </row>
    <row r="2274" spans="93:93" x14ac:dyDescent="0.3">
      <c r="CO2274" s="15"/>
    </row>
    <row r="2275" spans="93:93" x14ac:dyDescent="0.3">
      <c r="CO2275" s="15"/>
    </row>
    <row r="2276" spans="93:93" x14ac:dyDescent="0.3">
      <c r="CO2276" s="15"/>
    </row>
    <row r="2277" spans="93:93" x14ac:dyDescent="0.3">
      <c r="CO2277" s="15"/>
    </row>
    <row r="2278" spans="93:93" x14ac:dyDescent="0.3">
      <c r="CO2278" s="15"/>
    </row>
    <row r="2279" spans="93:93" x14ac:dyDescent="0.3">
      <c r="CO2279" s="15"/>
    </row>
    <row r="2280" spans="93:93" x14ac:dyDescent="0.3">
      <c r="CO2280" s="15"/>
    </row>
    <row r="2281" spans="93:93" x14ac:dyDescent="0.3">
      <c r="CO2281" s="15"/>
    </row>
    <row r="2282" spans="93:93" x14ac:dyDescent="0.3">
      <c r="CO2282" s="15"/>
    </row>
    <row r="2283" spans="93:93" x14ac:dyDescent="0.3">
      <c r="CO2283" s="15"/>
    </row>
    <row r="2284" spans="93:93" x14ac:dyDescent="0.3">
      <c r="CO2284" s="15"/>
    </row>
    <row r="2285" spans="93:93" x14ac:dyDescent="0.3">
      <c r="CO2285" s="15"/>
    </row>
    <row r="2286" spans="93:93" x14ac:dyDescent="0.3">
      <c r="CO2286" s="15"/>
    </row>
    <row r="2287" spans="93:93" x14ac:dyDescent="0.3">
      <c r="CO2287" s="15"/>
    </row>
    <row r="2288" spans="93:93" x14ac:dyDescent="0.3">
      <c r="CO2288" s="15"/>
    </row>
    <row r="2289" spans="93:93" x14ac:dyDescent="0.3">
      <c r="CO2289" s="15"/>
    </row>
    <row r="2290" spans="93:93" x14ac:dyDescent="0.3">
      <c r="CO2290" s="15"/>
    </row>
    <row r="2291" spans="93:93" x14ac:dyDescent="0.3">
      <c r="CO2291" s="15"/>
    </row>
    <row r="2292" spans="93:93" x14ac:dyDescent="0.3">
      <c r="CO2292" s="15"/>
    </row>
    <row r="2293" spans="93:93" x14ac:dyDescent="0.3">
      <c r="CO2293" s="15"/>
    </row>
    <row r="2294" spans="93:93" x14ac:dyDescent="0.3">
      <c r="CO2294" s="15"/>
    </row>
    <row r="2295" spans="93:93" x14ac:dyDescent="0.3">
      <c r="CO2295" s="15"/>
    </row>
    <row r="2296" spans="93:93" x14ac:dyDescent="0.3">
      <c r="CO2296" s="15"/>
    </row>
    <row r="2297" spans="93:93" x14ac:dyDescent="0.3">
      <c r="CO2297" s="15"/>
    </row>
    <row r="2298" spans="93:93" x14ac:dyDescent="0.3">
      <c r="CO2298" s="15"/>
    </row>
    <row r="2299" spans="93:93" x14ac:dyDescent="0.3">
      <c r="CO2299" s="15"/>
    </row>
    <row r="2300" spans="93:93" x14ac:dyDescent="0.3">
      <c r="CO2300" s="15"/>
    </row>
    <row r="2301" spans="93:93" x14ac:dyDescent="0.3">
      <c r="CO2301" s="15"/>
    </row>
    <row r="2302" spans="93:93" x14ac:dyDescent="0.3">
      <c r="CO2302" s="15"/>
    </row>
    <row r="2303" spans="93:93" x14ac:dyDescent="0.3">
      <c r="CO2303" s="15"/>
    </row>
    <row r="2304" spans="93:93" x14ac:dyDescent="0.3">
      <c r="CO2304" s="15"/>
    </row>
    <row r="2305" spans="93:93" x14ac:dyDescent="0.3">
      <c r="CO2305" s="15"/>
    </row>
    <row r="2306" spans="93:93" x14ac:dyDescent="0.3">
      <c r="CO2306" s="15"/>
    </row>
    <row r="2307" spans="93:93" x14ac:dyDescent="0.3">
      <c r="CO2307" s="15"/>
    </row>
    <row r="2308" spans="93:93" x14ac:dyDescent="0.3">
      <c r="CO2308" s="15"/>
    </row>
    <row r="2309" spans="93:93" x14ac:dyDescent="0.3">
      <c r="CO2309" s="15"/>
    </row>
    <row r="2310" spans="93:93" x14ac:dyDescent="0.3">
      <c r="CO2310" s="15"/>
    </row>
    <row r="2311" spans="93:93" x14ac:dyDescent="0.3">
      <c r="CO2311" s="15"/>
    </row>
    <row r="2312" spans="93:93" x14ac:dyDescent="0.3">
      <c r="CO2312" s="15"/>
    </row>
    <row r="2313" spans="93:93" x14ac:dyDescent="0.3">
      <c r="CO2313" s="15"/>
    </row>
    <row r="2314" spans="93:93" x14ac:dyDescent="0.3">
      <c r="CO2314" s="15"/>
    </row>
    <row r="2315" spans="93:93" x14ac:dyDescent="0.3">
      <c r="CO2315" s="15"/>
    </row>
    <row r="2316" spans="93:93" x14ac:dyDescent="0.3">
      <c r="CO2316" s="15"/>
    </row>
    <row r="2317" spans="93:93" x14ac:dyDescent="0.3">
      <c r="CO2317" s="15"/>
    </row>
    <row r="2318" spans="93:93" x14ac:dyDescent="0.3">
      <c r="CO2318" s="15"/>
    </row>
    <row r="2319" spans="93:93" x14ac:dyDescent="0.3">
      <c r="CO2319" s="15"/>
    </row>
    <row r="2320" spans="93:93" x14ac:dyDescent="0.3">
      <c r="CO2320" s="15"/>
    </row>
    <row r="2321" spans="93:93" x14ac:dyDescent="0.3">
      <c r="CO2321" s="15"/>
    </row>
    <row r="2322" spans="93:93" x14ac:dyDescent="0.3">
      <c r="CO2322" s="15"/>
    </row>
    <row r="2323" spans="93:93" x14ac:dyDescent="0.3">
      <c r="CO2323" s="15"/>
    </row>
    <row r="2324" spans="93:93" x14ac:dyDescent="0.3">
      <c r="CO2324" s="15"/>
    </row>
    <row r="2325" spans="93:93" x14ac:dyDescent="0.3">
      <c r="CO2325" s="15"/>
    </row>
    <row r="2326" spans="93:93" x14ac:dyDescent="0.3">
      <c r="CO2326" s="15"/>
    </row>
    <row r="2327" spans="93:93" x14ac:dyDescent="0.3">
      <c r="CO2327" s="15"/>
    </row>
    <row r="2328" spans="93:93" x14ac:dyDescent="0.3">
      <c r="CO2328" s="15"/>
    </row>
    <row r="2329" spans="93:93" x14ac:dyDescent="0.3">
      <c r="CO2329" s="15"/>
    </row>
    <row r="2330" spans="93:93" x14ac:dyDescent="0.3">
      <c r="CO2330" s="15"/>
    </row>
    <row r="2331" spans="93:93" x14ac:dyDescent="0.3">
      <c r="CO2331" s="15"/>
    </row>
    <row r="2332" spans="93:93" x14ac:dyDescent="0.3">
      <c r="CO2332" s="15"/>
    </row>
    <row r="2333" spans="93:93" x14ac:dyDescent="0.3">
      <c r="CO2333" s="15"/>
    </row>
    <row r="2334" spans="93:93" x14ac:dyDescent="0.3">
      <c r="CO2334" s="15"/>
    </row>
    <row r="2335" spans="93:93" x14ac:dyDescent="0.3">
      <c r="CO2335" s="15"/>
    </row>
    <row r="2336" spans="93:93" x14ac:dyDescent="0.3">
      <c r="CO2336" s="15"/>
    </row>
    <row r="2337" spans="93:93" x14ac:dyDescent="0.3">
      <c r="CO2337" s="15"/>
    </row>
    <row r="2338" spans="93:93" x14ac:dyDescent="0.3">
      <c r="CO2338" s="15"/>
    </row>
    <row r="2339" spans="93:93" x14ac:dyDescent="0.3">
      <c r="CO2339" s="15"/>
    </row>
    <row r="2340" spans="93:93" x14ac:dyDescent="0.3">
      <c r="CO2340" s="15"/>
    </row>
    <row r="2341" spans="93:93" x14ac:dyDescent="0.3">
      <c r="CO2341" s="15"/>
    </row>
    <row r="2342" spans="93:93" x14ac:dyDescent="0.3">
      <c r="CO2342" s="15"/>
    </row>
    <row r="2343" spans="93:93" x14ac:dyDescent="0.3">
      <c r="CO2343" s="15"/>
    </row>
    <row r="2344" spans="93:93" x14ac:dyDescent="0.3">
      <c r="CO2344" s="15"/>
    </row>
    <row r="2345" spans="93:93" x14ac:dyDescent="0.3">
      <c r="CO2345" s="15"/>
    </row>
    <row r="2346" spans="93:93" x14ac:dyDescent="0.3">
      <c r="CO2346" s="15"/>
    </row>
    <row r="2347" spans="93:93" x14ac:dyDescent="0.3">
      <c r="CO2347" s="15"/>
    </row>
    <row r="2348" spans="93:93" x14ac:dyDescent="0.3">
      <c r="CO2348" s="15"/>
    </row>
    <row r="2349" spans="93:93" x14ac:dyDescent="0.3">
      <c r="CO2349" s="15"/>
    </row>
    <row r="2350" spans="93:93" x14ac:dyDescent="0.3">
      <c r="CO2350" s="15"/>
    </row>
    <row r="2351" spans="93:93" x14ac:dyDescent="0.3">
      <c r="CO2351" s="15"/>
    </row>
    <row r="2352" spans="93:93" x14ac:dyDescent="0.3">
      <c r="CO2352" s="15"/>
    </row>
    <row r="2353" spans="93:93" x14ac:dyDescent="0.3">
      <c r="CO2353" s="15"/>
    </row>
    <row r="2354" spans="93:93" x14ac:dyDescent="0.3">
      <c r="CO2354" s="15"/>
    </row>
    <row r="2355" spans="93:93" x14ac:dyDescent="0.3">
      <c r="CO2355" s="15"/>
    </row>
    <row r="2356" spans="93:93" x14ac:dyDescent="0.3">
      <c r="CO2356" s="15"/>
    </row>
    <row r="2357" spans="93:93" x14ac:dyDescent="0.3">
      <c r="CO2357" s="15"/>
    </row>
    <row r="2358" spans="93:93" x14ac:dyDescent="0.3">
      <c r="CO2358" s="15"/>
    </row>
    <row r="2359" spans="93:93" x14ac:dyDescent="0.3">
      <c r="CO2359" s="15"/>
    </row>
    <row r="2360" spans="93:93" x14ac:dyDescent="0.3">
      <c r="CO2360" s="15"/>
    </row>
    <row r="2361" spans="93:93" x14ac:dyDescent="0.3">
      <c r="CO2361" s="15"/>
    </row>
    <row r="2362" spans="93:93" x14ac:dyDescent="0.3">
      <c r="CO2362" s="15"/>
    </row>
    <row r="2363" spans="93:93" x14ac:dyDescent="0.3">
      <c r="CO2363" s="15"/>
    </row>
    <row r="2364" spans="93:93" x14ac:dyDescent="0.3">
      <c r="CO2364" s="15"/>
    </row>
    <row r="2365" spans="93:93" x14ac:dyDescent="0.3">
      <c r="CO2365" s="15"/>
    </row>
    <row r="2366" spans="93:93" x14ac:dyDescent="0.3">
      <c r="CO2366" s="15"/>
    </row>
    <row r="2367" spans="93:93" x14ac:dyDescent="0.3">
      <c r="CO2367" s="15"/>
    </row>
    <row r="2368" spans="93:93" x14ac:dyDescent="0.3">
      <c r="CO2368" s="15"/>
    </row>
    <row r="2369" spans="93:93" x14ac:dyDescent="0.3">
      <c r="CO2369" s="15"/>
    </row>
    <row r="2370" spans="93:93" x14ac:dyDescent="0.3">
      <c r="CO2370" s="15"/>
    </row>
    <row r="2371" spans="93:93" x14ac:dyDescent="0.3">
      <c r="CO2371" s="15"/>
    </row>
    <row r="2372" spans="93:93" x14ac:dyDescent="0.3">
      <c r="CO2372" s="15"/>
    </row>
    <row r="2373" spans="93:93" x14ac:dyDescent="0.3">
      <c r="CO2373" s="15"/>
    </row>
    <row r="2374" spans="93:93" x14ac:dyDescent="0.3">
      <c r="CO2374" s="15"/>
    </row>
    <row r="2375" spans="93:93" x14ac:dyDescent="0.3">
      <c r="CO2375" s="15"/>
    </row>
    <row r="2376" spans="93:93" x14ac:dyDescent="0.3">
      <c r="CO2376" s="15"/>
    </row>
    <row r="2377" spans="93:93" x14ac:dyDescent="0.3">
      <c r="CO2377" s="15"/>
    </row>
    <row r="2378" spans="93:93" x14ac:dyDescent="0.3">
      <c r="CO2378" s="15"/>
    </row>
    <row r="2379" spans="93:93" x14ac:dyDescent="0.3">
      <c r="CO2379" s="15"/>
    </row>
    <row r="2380" spans="93:93" x14ac:dyDescent="0.3">
      <c r="CO2380" s="15"/>
    </row>
    <row r="2381" spans="93:93" x14ac:dyDescent="0.3">
      <c r="CO2381" s="15"/>
    </row>
    <row r="2382" spans="93:93" x14ac:dyDescent="0.3">
      <c r="CO2382" s="15"/>
    </row>
    <row r="2383" spans="93:93" x14ac:dyDescent="0.3">
      <c r="CO2383" s="15"/>
    </row>
    <row r="2384" spans="93:93" x14ac:dyDescent="0.3">
      <c r="CO2384" s="15"/>
    </row>
    <row r="2385" spans="93:93" x14ac:dyDescent="0.3">
      <c r="CO2385" s="15"/>
    </row>
    <row r="2386" spans="93:93" x14ac:dyDescent="0.3">
      <c r="CO2386" s="15"/>
    </row>
    <row r="2387" spans="93:93" x14ac:dyDescent="0.3">
      <c r="CO2387" s="15"/>
    </row>
    <row r="2388" spans="93:93" x14ac:dyDescent="0.3">
      <c r="CO2388" s="15"/>
    </row>
    <row r="2389" spans="93:93" x14ac:dyDescent="0.3">
      <c r="CO2389" s="15"/>
    </row>
    <row r="2390" spans="93:93" x14ac:dyDescent="0.3">
      <c r="CO2390" s="15"/>
    </row>
    <row r="2391" spans="93:93" x14ac:dyDescent="0.3">
      <c r="CO2391" s="15"/>
    </row>
    <row r="2392" spans="93:93" x14ac:dyDescent="0.3">
      <c r="CO2392" s="15"/>
    </row>
    <row r="2393" spans="93:93" x14ac:dyDescent="0.3">
      <c r="CO2393" s="15"/>
    </row>
    <row r="2394" spans="93:93" x14ac:dyDescent="0.3">
      <c r="CO2394" s="15"/>
    </row>
    <row r="2395" spans="93:93" x14ac:dyDescent="0.3">
      <c r="CO2395" s="15"/>
    </row>
    <row r="2396" spans="93:93" x14ac:dyDescent="0.3">
      <c r="CO2396" s="15"/>
    </row>
    <row r="2397" spans="93:93" x14ac:dyDescent="0.3">
      <c r="CO2397" s="15"/>
    </row>
    <row r="2398" spans="93:93" x14ac:dyDescent="0.3">
      <c r="CO2398" s="15"/>
    </row>
    <row r="2399" spans="93:93" x14ac:dyDescent="0.3">
      <c r="CO2399" s="15"/>
    </row>
    <row r="2400" spans="93:93" x14ac:dyDescent="0.3">
      <c r="CO2400" s="15"/>
    </row>
    <row r="2401" spans="93:93" x14ac:dyDescent="0.3">
      <c r="CO2401" s="15"/>
    </row>
    <row r="2402" spans="93:93" x14ac:dyDescent="0.3">
      <c r="CO2402" s="15"/>
    </row>
    <row r="2403" spans="93:93" x14ac:dyDescent="0.3">
      <c r="CO2403" s="15"/>
    </row>
    <row r="2404" spans="93:93" x14ac:dyDescent="0.3">
      <c r="CO2404" s="15"/>
    </row>
    <row r="2405" spans="93:93" x14ac:dyDescent="0.3">
      <c r="CO2405" s="15"/>
    </row>
    <row r="2406" spans="93:93" x14ac:dyDescent="0.3">
      <c r="CO2406" s="15"/>
    </row>
    <row r="2407" spans="93:93" x14ac:dyDescent="0.3">
      <c r="CO2407" s="15"/>
    </row>
    <row r="2408" spans="93:93" x14ac:dyDescent="0.3">
      <c r="CO2408" s="15"/>
    </row>
    <row r="2409" spans="93:93" x14ac:dyDescent="0.3">
      <c r="CO2409" s="15"/>
    </row>
    <row r="2410" spans="93:93" x14ac:dyDescent="0.3">
      <c r="CO2410" s="15"/>
    </row>
    <row r="2411" spans="93:93" x14ac:dyDescent="0.3">
      <c r="CO2411" s="15"/>
    </row>
    <row r="2412" spans="93:93" x14ac:dyDescent="0.3">
      <c r="CO2412" s="15"/>
    </row>
    <row r="2413" spans="93:93" x14ac:dyDescent="0.3">
      <c r="CO2413" s="15"/>
    </row>
    <row r="2414" spans="93:93" x14ac:dyDescent="0.3">
      <c r="CO2414" s="15"/>
    </row>
    <row r="2415" spans="93:93" x14ac:dyDescent="0.3">
      <c r="CO2415" s="15"/>
    </row>
    <row r="2416" spans="93:93" x14ac:dyDescent="0.3">
      <c r="CO2416" s="15"/>
    </row>
    <row r="2417" spans="93:93" x14ac:dyDescent="0.3">
      <c r="CO2417" s="15"/>
    </row>
    <row r="2418" spans="93:93" x14ac:dyDescent="0.3">
      <c r="CO2418" s="15"/>
    </row>
    <row r="2419" spans="93:93" x14ac:dyDescent="0.3">
      <c r="CO2419" s="15"/>
    </row>
    <row r="2420" spans="93:93" x14ac:dyDescent="0.3">
      <c r="CO2420" s="15"/>
    </row>
    <row r="2421" spans="93:93" x14ac:dyDescent="0.3">
      <c r="CO2421" s="15"/>
    </row>
    <row r="2422" spans="93:93" x14ac:dyDescent="0.3">
      <c r="CO2422" s="15"/>
    </row>
    <row r="2423" spans="93:93" x14ac:dyDescent="0.3">
      <c r="CO2423" s="15"/>
    </row>
    <row r="2424" spans="93:93" x14ac:dyDescent="0.3">
      <c r="CO2424" s="15"/>
    </row>
    <row r="2425" spans="93:93" x14ac:dyDescent="0.3">
      <c r="CO2425" s="15"/>
    </row>
    <row r="2426" spans="93:93" x14ac:dyDescent="0.3">
      <c r="CO2426" s="15"/>
    </row>
    <row r="2427" spans="93:93" x14ac:dyDescent="0.3">
      <c r="CO2427" s="15"/>
    </row>
    <row r="2428" spans="93:93" x14ac:dyDescent="0.3">
      <c r="CO2428" s="15"/>
    </row>
    <row r="2429" spans="93:93" x14ac:dyDescent="0.3">
      <c r="CO2429" s="15"/>
    </row>
    <row r="2430" spans="93:93" x14ac:dyDescent="0.3">
      <c r="CO2430" s="15"/>
    </row>
    <row r="2431" spans="93:93" x14ac:dyDescent="0.3">
      <c r="CO2431" s="15"/>
    </row>
    <row r="2432" spans="93:93" x14ac:dyDescent="0.3">
      <c r="CO2432" s="15"/>
    </row>
    <row r="2433" spans="93:93" x14ac:dyDescent="0.3">
      <c r="CO2433" s="15"/>
    </row>
    <row r="2434" spans="93:93" x14ac:dyDescent="0.3">
      <c r="CO2434" s="15"/>
    </row>
    <row r="2435" spans="93:93" x14ac:dyDescent="0.3">
      <c r="CO2435" s="15"/>
    </row>
    <row r="2436" spans="93:93" x14ac:dyDescent="0.3">
      <c r="CO2436" s="15"/>
    </row>
    <row r="2437" spans="93:93" x14ac:dyDescent="0.3">
      <c r="CO2437" s="15"/>
    </row>
    <row r="2438" spans="93:93" x14ac:dyDescent="0.3">
      <c r="CO2438" s="15"/>
    </row>
    <row r="2439" spans="93:93" x14ac:dyDescent="0.3">
      <c r="CO2439" s="15"/>
    </row>
    <row r="2440" spans="93:93" x14ac:dyDescent="0.3">
      <c r="CO2440" s="15"/>
    </row>
    <row r="2441" spans="93:93" x14ac:dyDescent="0.3">
      <c r="CO2441" s="15"/>
    </row>
    <row r="2442" spans="93:93" x14ac:dyDescent="0.3">
      <c r="CO2442" s="15"/>
    </row>
    <row r="2443" spans="93:93" x14ac:dyDescent="0.3">
      <c r="CO2443" s="15"/>
    </row>
    <row r="2444" spans="93:93" x14ac:dyDescent="0.3">
      <c r="CO2444" s="15"/>
    </row>
    <row r="2445" spans="93:93" x14ac:dyDescent="0.3">
      <c r="CO2445" s="15"/>
    </row>
    <row r="2446" spans="93:93" x14ac:dyDescent="0.3">
      <c r="CO2446" s="15"/>
    </row>
    <row r="2447" spans="93:93" x14ac:dyDescent="0.3">
      <c r="CO2447" s="15"/>
    </row>
    <row r="2448" spans="93:93" x14ac:dyDescent="0.3">
      <c r="CO2448" s="15"/>
    </row>
    <row r="2449" spans="93:93" x14ac:dyDescent="0.3">
      <c r="CO2449" s="15"/>
    </row>
    <row r="2450" spans="93:93" x14ac:dyDescent="0.3">
      <c r="CO2450" s="15"/>
    </row>
    <row r="2451" spans="93:93" x14ac:dyDescent="0.3">
      <c r="CO2451" s="15"/>
    </row>
    <row r="2452" spans="93:93" x14ac:dyDescent="0.3">
      <c r="CO2452" s="15"/>
    </row>
    <row r="2453" spans="93:93" x14ac:dyDescent="0.3">
      <c r="CO2453" s="15"/>
    </row>
    <row r="2454" spans="93:93" x14ac:dyDescent="0.3">
      <c r="CO2454" s="15"/>
    </row>
    <row r="2455" spans="93:93" x14ac:dyDescent="0.3">
      <c r="CO2455" s="15"/>
    </row>
    <row r="2456" spans="93:93" x14ac:dyDescent="0.3">
      <c r="CO2456" s="15"/>
    </row>
    <row r="2457" spans="93:93" x14ac:dyDescent="0.3">
      <c r="CO2457" s="15"/>
    </row>
    <row r="2458" spans="93:93" x14ac:dyDescent="0.3">
      <c r="CO2458" s="15"/>
    </row>
    <row r="2459" spans="93:93" x14ac:dyDescent="0.3">
      <c r="CO2459" s="15"/>
    </row>
    <row r="2460" spans="93:93" x14ac:dyDescent="0.3">
      <c r="CO2460" s="15"/>
    </row>
    <row r="2461" spans="93:93" x14ac:dyDescent="0.3">
      <c r="CO2461" s="15"/>
    </row>
    <row r="2462" spans="93:93" x14ac:dyDescent="0.3">
      <c r="CO2462" s="15"/>
    </row>
    <row r="2463" spans="93:93" x14ac:dyDescent="0.3">
      <c r="CO2463" s="15"/>
    </row>
    <row r="2464" spans="93:93" x14ac:dyDescent="0.3">
      <c r="CO2464" s="15"/>
    </row>
    <row r="2465" spans="93:93" x14ac:dyDescent="0.3">
      <c r="CO2465" s="15"/>
    </row>
    <row r="2466" spans="93:93" x14ac:dyDescent="0.3">
      <c r="CO2466" s="15"/>
    </row>
    <row r="2467" spans="93:93" x14ac:dyDescent="0.3">
      <c r="CO2467" s="15"/>
    </row>
    <row r="2468" spans="93:93" x14ac:dyDescent="0.3">
      <c r="CO2468" s="15"/>
    </row>
    <row r="2469" spans="93:93" x14ac:dyDescent="0.3">
      <c r="CO2469" s="15"/>
    </row>
    <row r="2470" spans="93:93" x14ac:dyDescent="0.3">
      <c r="CO2470" s="15"/>
    </row>
    <row r="2471" spans="93:93" x14ac:dyDescent="0.3">
      <c r="CO2471" s="15"/>
    </row>
    <row r="2472" spans="93:93" x14ac:dyDescent="0.3">
      <c r="CO2472" s="15"/>
    </row>
    <row r="2473" spans="93:93" x14ac:dyDescent="0.3">
      <c r="CO2473" s="15"/>
    </row>
    <row r="2474" spans="93:93" x14ac:dyDescent="0.3">
      <c r="CO2474" s="15"/>
    </row>
    <row r="2475" spans="93:93" x14ac:dyDescent="0.3">
      <c r="CO2475" s="15"/>
    </row>
    <row r="2476" spans="93:93" x14ac:dyDescent="0.3">
      <c r="CO2476" s="15"/>
    </row>
    <row r="2477" spans="93:93" x14ac:dyDescent="0.3">
      <c r="CO2477" s="15"/>
    </row>
    <row r="2478" spans="93:93" x14ac:dyDescent="0.3">
      <c r="CO2478" s="15"/>
    </row>
    <row r="2479" spans="93:93" x14ac:dyDescent="0.3">
      <c r="CO2479" s="15"/>
    </row>
    <row r="2480" spans="93:93" x14ac:dyDescent="0.3">
      <c r="CO2480" s="15"/>
    </row>
    <row r="2481" spans="93:93" x14ac:dyDescent="0.3">
      <c r="CO2481" s="15"/>
    </row>
    <row r="2482" spans="93:93" x14ac:dyDescent="0.3">
      <c r="CO2482" s="15"/>
    </row>
    <row r="2483" spans="93:93" x14ac:dyDescent="0.3">
      <c r="CO2483" s="15"/>
    </row>
    <row r="2484" spans="93:93" x14ac:dyDescent="0.3">
      <c r="CO2484" s="15"/>
    </row>
    <row r="2485" spans="93:93" x14ac:dyDescent="0.3">
      <c r="CO2485" s="15"/>
    </row>
    <row r="2486" spans="93:93" x14ac:dyDescent="0.3">
      <c r="CO2486" s="15"/>
    </row>
    <row r="2487" spans="93:93" x14ac:dyDescent="0.3">
      <c r="CO2487" s="15"/>
    </row>
    <row r="2488" spans="93:93" x14ac:dyDescent="0.3">
      <c r="CO2488" s="15"/>
    </row>
    <row r="2489" spans="93:93" x14ac:dyDescent="0.3">
      <c r="CO2489" s="15"/>
    </row>
    <row r="2490" spans="93:93" x14ac:dyDescent="0.3">
      <c r="CO2490" s="15"/>
    </row>
    <row r="2491" spans="93:93" x14ac:dyDescent="0.3">
      <c r="CO2491" s="15"/>
    </row>
    <row r="2492" spans="93:93" x14ac:dyDescent="0.3">
      <c r="CO2492" s="15"/>
    </row>
    <row r="2493" spans="93:93" x14ac:dyDescent="0.3">
      <c r="CO2493" s="15"/>
    </row>
    <row r="2494" spans="93:93" x14ac:dyDescent="0.3">
      <c r="CO2494" s="15"/>
    </row>
    <row r="2495" spans="93:93" x14ac:dyDescent="0.3">
      <c r="CO2495" s="15"/>
    </row>
    <row r="2496" spans="93:93" x14ac:dyDescent="0.3">
      <c r="CO2496" s="15"/>
    </row>
    <row r="2497" spans="93:93" x14ac:dyDescent="0.3">
      <c r="CO2497" s="15"/>
    </row>
    <row r="2498" spans="93:93" x14ac:dyDescent="0.3">
      <c r="CO2498" s="15"/>
    </row>
    <row r="2499" spans="93:93" x14ac:dyDescent="0.3">
      <c r="CO2499" s="15"/>
    </row>
    <row r="2500" spans="93:93" x14ac:dyDescent="0.3">
      <c r="CO2500" s="15"/>
    </row>
    <row r="2501" spans="93:93" x14ac:dyDescent="0.3">
      <c r="CO2501" s="15"/>
    </row>
    <row r="2502" spans="93:93" x14ac:dyDescent="0.3">
      <c r="CO2502" s="15"/>
    </row>
    <row r="2503" spans="93:93" x14ac:dyDescent="0.3">
      <c r="CO2503" s="15"/>
    </row>
    <row r="2504" spans="93:93" x14ac:dyDescent="0.3">
      <c r="CO2504" s="15"/>
    </row>
    <row r="2505" spans="93:93" x14ac:dyDescent="0.3">
      <c r="CO2505" s="15"/>
    </row>
    <row r="2506" spans="93:93" x14ac:dyDescent="0.3">
      <c r="CO2506" s="15"/>
    </row>
    <row r="2507" spans="93:93" x14ac:dyDescent="0.3">
      <c r="CO2507" s="15"/>
    </row>
    <row r="2508" spans="93:93" x14ac:dyDescent="0.3">
      <c r="CO2508" s="15"/>
    </row>
    <row r="2509" spans="93:93" x14ac:dyDescent="0.3">
      <c r="CO2509" s="15"/>
    </row>
    <row r="2510" spans="93:93" x14ac:dyDescent="0.3">
      <c r="CO2510" s="15"/>
    </row>
    <row r="2511" spans="93:93" x14ac:dyDescent="0.3">
      <c r="CO2511" s="15"/>
    </row>
    <row r="2512" spans="93:93" x14ac:dyDescent="0.3">
      <c r="CO2512" s="15"/>
    </row>
    <row r="2513" spans="93:93" x14ac:dyDescent="0.3">
      <c r="CO2513" s="15"/>
    </row>
    <row r="2514" spans="93:93" x14ac:dyDescent="0.3">
      <c r="CO2514" s="15"/>
    </row>
    <row r="2515" spans="93:93" x14ac:dyDescent="0.3">
      <c r="CO2515" s="15"/>
    </row>
    <row r="2516" spans="93:93" x14ac:dyDescent="0.3">
      <c r="CO2516" s="15"/>
    </row>
    <row r="2517" spans="93:93" x14ac:dyDescent="0.3">
      <c r="CO2517" s="15"/>
    </row>
    <row r="2518" spans="93:93" x14ac:dyDescent="0.3">
      <c r="CO2518" s="15"/>
    </row>
    <row r="2519" spans="93:93" x14ac:dyDescent="0.3">
      <c r="CO2519" s="15"/>
    </row>
    <row r="2520" spans="93:93" x14ac:dyDescent="0.3">
      <c r="CO2520" s="15"/>
    </row>
    <row r="2521" spans="93:93" x14ac:dyDescent="0.3">
      <c r="CO2521" s="15"/>
    </row>
    <row r="2522" spans="93:93" x14ac:dyDescent="0.3">
      <c r="CO2522" s="15"/>
    </row>
    <row r="2523" spans="93:93" x14ac:dyDescent="0.3">
      <c r="CO2523" s="15"/>
    </row>
    <row r="2524" spans="93:93" x14ac:dyDescent="0.3">
      <c r="CO2524" s="15"/>
    </row>
    <row r="2525" spans="93:93" x14ac:dyDescent="0.3">
      <c r="CO2525" s="15"/>
    </row>
    <row r="2526" spans="93:93" x14ac:dyDescent="0.3">
      <c r="CO2526" s="15"/>
    </row>
    <row r="2527" spans="93:93" x14ac:dyDescent="0.3">
      <c r="CO2527" s="15"/>
    </row>
    <row r="2528" spans="93:93" x14ac:dyDescent="0.3">
      <c r="CO2528" s="15"/>
    </row>
    <row r="2529" spans="93:93" x14ac:dyDescent="0.3">
      <c r="CO2529" s="15"/>
    </row>
    <row r="2530" spans="93:93" x14ac:dyDescent="0.3">
      <c r="CO2530" s="15"/>
    </row>
    <row r="2531" spans="93:93" x14ac:dyDescent="0.3">
      <c r="CO2531" s="15"/>
    </row>
    <row r="2532" spans="93:93" x14ac:dyDescent="0.3">
      <c r="CO2532" s="15"/>
    </row>
    <row r="2533" spans="93:93" x14ac:dyDescent="0.3">
      <c r="CO2533" s="15"/>
    </row>
    <row r="2534" spans="93:93" x14ac:dyDescent="0.3">
      <c r="CO2534" s="15"/>
    </row>
    <row r="2535" spans="93:93" x14ac:dyDescent="0.3">
      <c r="CO2535" s="15"/>
    </row>
    <row r="2536" spans="93:93" x14ac:dyDescent="0.3">
      <c r="CO2536" s="15"/>
    </row>
    <row r="2537" spans="93:93" x14ac:dyDescent="0.3">
      <c r="CO2537" s="15"/>
    </row>
    <row r="2538" spans="93:93" x14ac:dyDescent="0.3">
      <c r="CO2538" s="15"/>
    </row>
    <row r="2539" spans="93:93" x14ac:dyDescent="0.3">
      <c r="CO2539" s="15"/>
    </row>
    <row r="2540" spans="93:93" x14ac:dyDescent="0.3">
      <c r="CO2540" s="15"/>
    </row>
    <row r="2541" spans="93:93" x14ac:dyDescent="0.3">
      <c r="CO2541" s="15"/>
    </row>
    <row r="2542" spans="93:93" x14ac:dyDescent="0.3">
      <c r="CO2542" s="15"/>
    </row>
    <row r="2543" spans="93:93" x14ac:dyDescent="0.3">
      <c r="CO2543" s="15"/>
    </row>
    <row r="2544" spans="93:93" x14ac:dyDescent="0.3">
      <c r="CO2544" s="15"/>
    </row>
    <row r="2545" spans="93:93" x14ac:dyDescent="0.3">
      <c r="CO2545" s="15"/>
    </row>
    <row r="2546" spans="93:93" x14ac:dyDescent="0.3">
      <c r="CO2546" s="15"/>
    </row>
    <row r="2547" spans="93:93" x14ac:dyDescent="0.3">
      <c r="CO2547" s="15"/>
    </row>
    <row r="2548" spans="93:93" x14ac:dyDescent="0.3">
      <c r="CO2548" s="15"/>
    </row>
    <row r="2549" spans="93:93" x14ac:dyDescent="0.3">
      <c r="CO2549" s="15"/>
    </row>
    <row r="2550" spans="93:93" x14ac:dyDescent="0.3">
      <c r="CO2550" s="15"/>
    </row>
    <row r="2551" spans="93:93" x14ac:dyDescent="0.3">
      <c r="CO2551" s="15"/>
    </row>
    <row r="2552" spans="93:93" x14ac:dyDescent="0.3">
      <c r="CO2552" s="15"/>
    </row>
    <row r="2553" spans="93:93" x14ac:dyDescent="0.3">
      <c r="CO2553" s="15"/>
    </row>
    <row r="2554" spans="93:93" x14ac:dyDescent="0.3">
      <c r="CO2554" s="15"/>
    </row>
    <row r="2555" spans="93:93" x14ac:dyDescent="0.3">
      <c r="CO2555" s="15"/>
    </row>
    <row r="2556" spans="93:93" x14ac:dyDescent="0.3">
      <c r="CO2556" s="15"/>
    </row>
    <row r="2557" spans="93:93" x14ac:dyDescent="0.3">
      <c r="CO2557" s="15"/>
    </row>
    <row r="2558" spans="93:93" x14ac:dyDescent="0.3">
      <c r="CO2558" s="15"/>
    </row>
    <row r="2559" spans="93:93" x14ac:dyDescent="0.3">
      <c r="CO2559" s="15"/>
    </row>
    <row r="2560" spans="93:93" x14ac:dyDescent="0.3">
      <c r="CO2560" s="15"/>
    </row>
    <row r="2561" spans="93:93" x14ac:dyDescent="0.3">
      <c r="CO2561" s="15"/>
    </row>
    <row r="2562" spans="93:93" x14ac:dyDescent="0.3">
      <c r="CO2562" s="15"/>
    </row>
    <row r="2563" spans="93:93" x14ac:dyDescent="0.3">
      <c r="CO2563" s="15"/>
    </row>
    <row r="2564" spans="93:93" x14ac:dyDescent="0.3">
      <c r="CO2564" s="15"/>
    </row>
    <row r="2565" spans="93:93" x14ac:dyDescent="0.3">
      <c r="CO2565" s="15"/>
    </row>
    <row r="2566" spans="93:93" x14ac:dyDescent="0.3">
      <c r="CO2566" s="15"/>
    </row>
    <row r="2567" spans="93:93" x14ac:dyDescent="0.3">
      <c r="CO2567" s="15"/>
    </row>
    <row r="2568" spans="93:93" x14ac:dyDescent="0.3">
      <c r="CO2568" s="15"/>
    </row>
    <row r="2569" spans="93:93" x14ac:dyDescent="0.3">
      <c r="CO2569" s="15"/>
    </row>
    <row r="2570" spans="93:93" x14ac:dyDescent="0.3">
      <c r="CO2570" s="15"/>
    </row>
    <row r="2571" spans="93:93" x14ac:dyDescent="0.3">
      <c r="CO2571" s="15"/>
    </row>
    <row r="2572" spans="93:93" x14ac:dyDescent="0.3">
      <c r="CO2572" s="15"/>
    </row>
    <row r="2573" spans="93:93" x14ac:dyDescent="0.3">
      <c r="CO2573" s="15"/>
    </row>
    <row r="2574" spans="93:93" x14ac:dyDescent="0.3">
      <c r="CO2574" s="15"/>
    </row>
    <row r="2575" spans="93:93" x14ac:dyDescent="0.3">
      <c r="CO2575" s="15"/>
    </row>
    <row r="2576" spans="93:93" x14ac:dyDescent="0.3">
      <c r="CO2576" s="15"/>
    </row>
    <row r="2577" spans="93:93" x14ac:dyDescent="0.3">
      <c r="CO2577" s="15"/>
    </row>
    <row r="2578" spans="93:93" x14ac:dyDescent="0.3">
      <c r="CO2578" s="15"/>
    </row>
    <row r="2579" spans="93:93" x14ac:dyDescent="0.3">
      <c r="CO2579" s="15"/>
    </row>
    <row r="2580" spans="93:93" x14ac:dyDescent="0.3">
      <c r="CO2580" s="15"/>
    </row>
    <row r="2581" spans="93:93" x14ac:dyDescent="0.3">
      <c r="CO2581" s="15"/>
    </row>
    <row r="2582" spans="93:93" x14ac:dyDescent="0.3">
      <c r="CO2582" s="15"/>
    </row>
    <row r="2583" spans="93:93" x14ac:dyDescent="0.3">
      <c r="CO2583" s="15"/>
    </row>
    <row r="2584" spans="93:93" x14ac:dyDescent="0.3">
      <c r="CO2584" s="15"/>
    </row>
    <row r="2585" spans="93:93" x14ac:dyDescent="0.3">
      <c r="CO2585" s="15"/>
    </row>
    <row r="2586" spans="93:93" x14ac:dyDescent="0.3">
      <c r="CO2586" s="15"/>
    </row>
    <row r="2587" spans="93:93" x14ac:dyDescent="0.3">
      <c r="CO2587" s="15"/>
    </row>
    <row r="2588" spans="93:93" x14ac:dyDescent="0.3">
      <c r="CO2588" s="15"/>
    </row>
    <row r="2589" spans="93:93" x14ac:dyDescent="0.3">
      <c r="CO2589" s="15"/>
    </row>
    <row r="2590" spans="93:93" x14ac:dyDescent="0.3">
      <c r="CO2590" s="15"/>
    </row>
    <row r="2591" spans="93:93" x14ac:dyDescent="0.3">
      <c r="CO2591" s="15"/>
    </row>
    <row r="2592" spans="93:93" x14ac:dyDescent="0.3">
      <c r="CO2592" s="15"/>
    </row>
    <row r="2593" spans="93:93" x14ac:dyDescent="0.3">
      <c r="CO2593" s="15"/>
    </row>
    <row r="2594" spans="93:93" x14ac:dyDescent="0.3">
      <c r="CO2594" s="15"/>
    </row>
    <row r="2595" spans="93:93" x14ac:dyDescent="0.3">
      <c r="CO2595" s="15"/>
    </row>
    <row r="2596" spans="93:93" x14ac:dyDescent="0.3">
      <c r="CO2596" s="15"/>
    </row>
    <row r="2597" spans="93:93" x14ac:dyDescent="0.3">
      <c r="CO2597" s="15"/>
    </row>
    <row r="2598" spans="93:93" x14ac:dyDescent="0.3">
      <c r="CO2598" s="15"/>
    </row>
    <row r="2599" spans="93:93" x14ac:dyDescent="0.3">
      <c r="CO2599" s="15"/>
    </row>
    <row r="2600" spans="93:93" x14ac:dyDescent="0.3">
      <c r="CO2600" s="15"/>
    </row>
    <row r="2601" spans="93:93" x14ac:dyDescent="0.3">
      <c r="CO2601" s="15"/>
    </row>
    <row r="2602" spans="93:93" x14ac:dyDescent="0.3">
      <c r="CO2602" s="15"/>
    </row>
    <row r="2603" spans="93:93" x14ac:dyDescent="0.3">
      <c r="CO2603" s="15"/>
    </row>
    <row r="2604" spans="93:93" x14ac:dyDescent="0.3">
      <c r="CO2604" s="15"/>
    </row>
    <row r="2605" spans="93:93" x14ac:dyDescent="0.3">
      <c r="CO2605" s="15"/>
    </row>
    <row r="2606" spans="93:93" x14ac:dyDescent="0.3">
      <c r="CO2606" s="15"/>
    </row>
    <row r="2607" spans="93:93" x14ac:dyDescent="0.3">
      <c r="CO2607" s="15"/>
    </row>
    <row r="2608" spans="93:93" x14ac:dyDescent="0.3">
      <c r="CO2608" s="15"/>
    </row>
    <row r="2609" spans="93:93" x14ac:dyDescent="0.3">
      <c r="CO2609" s="15"/>
    </row>
    <row r="2610" spans="93:93" x14ac:dyDescent="0.3">
      <c r="CO2610" s="15"/>
    </row>
    <row r="2611" spans="93:93" x14ac:dyDescent="0.3">
      <c r="CO2611" s="15"/>
    </row>
    <row r="2612" spans="93:93" x14ac:dyDescent="0.3">
      <c r="CO2612" s="15"/>
    </row>
    <row r="2613" spans="93:93" x14ac:dyDescent="0.3">
      <c r="CO2613" s="15"/>
    </row>
    <row r="2614" spans="93:93" x14ac:dyDescent="0.3">
      <c r="CO2614" s="15"/>
    </row>
    <row r="2615" spans="93:93" x14ac:dyDescent="0.3">
      <c r="CO2615" s="15"/>
    </row>
    <row r="2616" spans="93:93" x14ac:dyDescent="0.3">
      <c r="CO2616" s="15"/>
    </row>
    <row r="2617" spans="93:93" x14ac:dyDescent="0.3">
      <c r="CO2617" s="15"/>
    </row>
    <row r="2618" spans="93:93" x14ac:dyDescent="0.3">
      <c r="CO2618" s="15"/>
    </row>
    <row r="2619" spans="93:93" x14ac:dyDescent="0.3">
      <c r="CO2619" s="15"/>
    </row>
    <row r="2620" spans="93:93" x14ac:dyDescent="0.3">
      <c r="CO2620" s="15"/>
    </row>
    <row r="2621" spans="93:93" x14ac:dyDescent="0.3">
      <c r="CO2621" s="15"/>
    </row>
    <row r="2622" spans="93:93" x14ac:dyDescent="0.3">
      <c r="CO2622" s="15"/>
    </row>
    <row r="2623" spans="93:93" x14ac:dyDescent="0.3">
      <c r="CO2623" s="15"/>
    </row>
    <row r="2624" spans="93:93" x14ac:dyDescent="0.3">
      <c r="CO2624" s="15"/>
    </row>
    <row r="2625" spans="93:93" x14ac:dyDescent="0.3">
      <c r="CO2625" s="15"/>
    </row>
    <row r="2626" spans="93:93" x14ac:dyDescent="0.3">
      <c r="CO2626" s="15"/>
    </row>
    <row r="2627" spans="93:93" x14ac:dyDescent="0.3">
      <c r="CO2627" s="15"/>
    </row>
    <row r="2628" spans="93:93" x14ac:dyDescent="0.3">
      <c r="CO2628" s="15"/>
    </row>
    <row r="2629" spans="93:93" x14ac:dyDescent="0.3">
      <c r="CO2629" s="15"/>
    </row>
    <row r="2630" spans="93:93" x14ac:dyDescent="0.3">
      <c r="CO2630" s="15"/>
    </row>
    <row r="2631" spans="93:93" x14ac:dyDescent="0.3">
      <c r="CO2631" s="15"/>
    </row>
    <row r="2632" spans="93:93" x14ac:dyDescent="0.3">
      <c r="CO2632" s="15"/>
    </row>
    <row r="2633" spans="93:93" x14ac:dyDescent="0.3">
      <c r="CO2633" s="15"/>
    </row>
    <row r="2634" spans="93:93" x14ac:dyDescent="0.3">
      <c r="CO2634" s="15"/>
    </row>
    <row r="2635" spans="93:93" x14ac:dyDescent="0.3">
      <c r="CO2635" s="15"/>
    </row>
    <row r="2636" spans="93:93" x14ac:dyDescent="0.3">
      <c r="CO2636" s="15"/>
    </row>
    <row r="2637" spans="93:93" x14ac:dyDescent="0.3">
      <c r="CO2637" s="15"/>
    </row>
    <row r="2638" spans="93:93" x14ac:dyDescent="0.3">
      <c r="CO2638" s="15"/>
    </row>
    <row r="2639" spans="93:93" x14ac:dyDescent="0.3">
      <c r="CO2639" s="15"/>
    </row>
    <row r="2640" spans="93:93" x14ac:dyDescent="0.3">
      <c r="CO2640" s="15"/>
    </row>
    <row r="2641" spans="93:93" x14ac:dyDescent="0.3">
      <c r="CO2641" s="15"/>
    </row>
    <row r="2642" spans="93:93" x14ac:dyDescent="0.3">
      <c r="CO2642" s="15"/>
    </row>
    <row r="2643" spans="93:93" x14ac:dyDescent="0.3">
      <c r="CO2643" s="15"/>
    </row>
    <row r="2644" spans="93:93" x14ac:dyDescent="0.3">
      <c r="CO2644" s="15"/>
    </row>
    <row r="2645" spans="93:93" x14ac:dyDescent="0.3">
      <c r="CO2645" s="15"/>
    </row>
    <row r="2646" spans="93:93" x14ac:dyDescent="0.3">
      <c r="CO2646" s="15"/>
    </row>
    <row r="2647" spans="93:93" x14ac:dyDescent="0.3">
      <c r="CO2647" s="15"/>
    </row>
    <row r="2648" spans="93:93" x14ac:dyDescent="0.3">
      <c r="CO2648" s="15"/>
    </row>
    <row r="2649" spans="93:93" x14ac:dyDescent="0.3">
      <c r="CO2649" s="15"/>
    </row>
    <row r="2650" spans="93:93" x14ac:dyDescent="0.3">
      <c r="CO2650" s="15"/>
    </row>
    <row r="2651" spans="93:93" x14ac:dyDescent="0.3">
      <c r="CO2651" s="15"/>
    </row>
    <row r="2652" spans="93:93" x14ac:dyDescent="0.3">
      <c r="CO2652" s="15"/>
    </row>
    <row r="2653" spans="93:93" x14ac:dyDescent="0.3">
      <c r="CO2653" s="15"/>
    </row>
    <row r="2654" spans="93:93" x14ac:dyDescent="0.3">
      <c r="CO2654" s="15"/>
    </row>
    <row r="2655" spans="93:93" x14ac:dyDescent="0.3">
      <c r="CO2655" s="15"/>
    </row>
    <row r="2656" spans="93:93" x14ac:dyDescent="0.3">
      <c r="CO2656" s="15"/>
    </row>
    <row r="2657" spans="93:93" x14ac:dyDescent="0.3">
      <c r="CO2657" s="15"/>
    </row>
    <row r="2658" spans="93:93" x14ac:dyDescent="0.3">
      <c r="CO2658" s="15"/>
    </row>
    <row r="2659" spans="93:93" x14ac:dyDescent="0.3">
      <c r="CO2659" s="15"/>
    </row>
    <row r="2660" spans="93:93" x14ac:dyDescent="0.3">
      <c r="CO2660" s="15"/>
    </row>
    <row r="2661" spans="93:93" x14ac:dyDescent="0.3">
      <c r="CO2661" s="15"/>
    </row>
    <row r="2662" spans="93:93" x14ac:dyDescent="0.3">
      <c r="CO2662" s="15"/>
    </row>
    <row r="2663" spans="93:93" x14ac:dyDescent="0.3">
      <c r="CO2663" s="15"/>
    </row>
    <row r="2664" spans="93:93" x14ac:dyDescent="0.3">
      <c r="CO2664" s="15"/>
    </row>
    <row r="2665" spans="93:93" x14ac:dyDescent="0.3">
      <c r="CO2665" s="15"/>
    </row>
    <row r="2666" spans="93:93" x14ac:dyDescent="0.3">
      <c r="CO2666" s="15"/>
    </row>
    <row r="2667" spans="93:93" x14ac:dyDescent="0.3">
      <c r="CO2667" s="15"/>
    </row>
    <row r="2668" spans="93:93" x14ac:dyDescent="0.3">
      <c r="CO2668" s="15"/>
    </row>
    <row r="2669" spans="93:93" x14ac:dyDescent="0.3">
      <c r="CO2669" s="15"/>
    </row>
    <row r="2670" spans="93:93" x14ac:dyDescent="0.3">
      <c r="CO2670" s="15"/>
    </row>
    <row r="2671" spans="93:93" x14ac:dyDescent="0.3">
      <c r="CO2671" s="15"/>
    </row>
    <row r="2672" spans="93:93" x14ac:dyDescent="0.3">
      <c r="CO2672" s="15"/>
    </row>
    <row r="2673" spans="93:93" x14ac:dyDescent="0.3">
      <c r="CO2673" s="15"/>
    </row>
    <row r="2674" spans="93:93" x14ac:dyDescent="0.3">
      <c r="CO2674" s="15"/>
    </row>
    <row r="2675" spans="93:93" x14ac:dyDescent="0.3">
      <c r="CO2675" s="15"/>
    </row>
    <row r="2676" spans="93:93" x14ac:dyDescent="0.3">
      <c r="CO2676" s="15"/>
    </row>
    <row r="2677" spans="93:93" x14ac:dyDescent="0.3">
      <c r="CO2677" s="15"/>
    </row>
    <row r="2678" spans="93:93" x14ac:dyDescent="0.3">
      <c r="CO2678" s="15"/>
    </row>
    <row r="2679" spans="93:93" x14ac:dyDescent="0.3">
      <c r="CO2679" s="15"/>
    </row>
    <row r="2680" spans="93:93" x14ac:dyDescent="0.3">
      <c r="CO2680" s="15"/>
    </row>
    <row r="2681" spans="93:93" x14ac:dyDescent="0.3">
      <c r="CO2681" s="15"/>
    </row>
    <row r="2682" spans="93:93" x14ac:dyDescent="0.3">
      <c r="CO2682" s="15"/>
    </row>
    <row r="2683" spans="93:93" x14ac:dyDescent="0.3">
      <c r="CO2683" s="15"/>
    </row>
    <row r="2684" spans="93:93" x14ac:dyDescent="0.3">
      <c r="CO2684" s="15"/>
    </row>
    <row r="2685" spans="93:93" x14ac:dyDescent="0.3">
      <c r="CO2685" s="15"/>
    </row>
    <row r="2686" spans="93:93" x14ac:dyDescent="0.3">
      <c r="CO2686" s="15"/>
    </row>
    <row r="2687" spans="93:93" x14ac:dyDescent="0.3">
      <c r="CO2687" s="15"/>
    </row>
    <row r="2688" spans="93:93" x14ac:dyDescent="0.3">
      <c r="CO2688" s="15"/>
    </row>
    <row r="2689" spans="93:93" x14ac:dyDescent="0.3">
      <c r="CO2689" s="15"/>
    </row>
    <row r="2690" spans="93:93" x14ac:dyDescent="0.3">
      <c r="CO2690" s="15"/>
    </row>
    <row r="2691" spans="93:93" x14ac:dyDescent="0.3">
      <c r="CO2691" s="15"/>
    </row>
    <row r="2692" spans="93:93" x14ac:dyDescent="0.3">
      <c r="CO2692" s="15"/>
    </row>
    <row r="2693" spans="93:93" x14ac:dyDescent="0.3">
      <c r="CO2693" s="15"/>
    </row>
    <row r="2694" spans="93:93" x14ac:dyDescent="0.3">
      <c r="CO2694" s="15"/>
    </row>
    <row r="2695" spans="93:93" x14ac:dyDescent="0.3">
      <c r="CO2695" s="15"/>
    </row>
    <row r="2696" spans="93:93" x14ac:dyDescent="0.3">
      <c r="CO2696" s="15"/>
    </row>
    <row r="2697" spans="93:93" x14ac:dyDescent="0.3">
      <c r="CO2697" s="15"/>
    </row>
    <row r="2698" spans="93:93" x14ac:dyDescent="0.3">
      <c r="CO2698" s="15"/>
    </row>
    <row r="2699" spans="93:93" x14ac:dyDescent="0.3">
      <c r="CO2699" s="15"/>
    </row>
    <row r="2700" spans="93:93" x14ac:dyDescent="0.3">
      <c r="CO2700" s="15"/>
    </row>
    <row r="2701" spans="93:93" x14ac:dyDescent="0.3">
      <c r="CO2701" s="15"/>
    </row>
    <row r="2702" spans="93:93" x14ac:dyDescent="0.3">
      <c r="CO2702" s="15"/>
    </row>
    <row r="2703" spans="93:93" x14ac:dyDescent="0.3">
      <c r="CO2703" s="15"/>
    </row>
    <row r="2704" spans="93:93" x14ac:dyDescent="0.3">
      <c r="CO2704" s="15"/>
    </row>
    <row r="2705" spans="93:93" x14ac:dyDescent="0.3">
      <c r="CO2705" s="15"/>
    </row>
    <row r="2706" spans="93:93" x14ac:dyDescent="0.3">
      <c r="CO2706" s="15"/>
    </row>
    <row r="2707" spans="93:93" x14ac:dyDescent="0.3">
      <c r="CO2707" s="15"/>
    </row>
    <row r="2708" spans="93:93" x14ac:dyDescent="0.3">
      <c r="CO2708" s="15"/>
    </row>
    <row r="2709" spans="93:93" x14ac:dyDescent="0.3">
      <c r="CO2709" s="15"/>
    </row>
    <row r="2710" spans="93:93" x14ac:dyDescent="0.3">
      <c r="CO2710" s="15"/>
    </row>
    <row r="2711" spans="93:93" x14ac:dyDescent="0.3">
      <c r="CO2711" s="15"/>
    </row>
    <row r="2712" spans="93:93" x14ac:dyDescent="0.3">
      <c r="CO2712" s="15"/>
    </row>
    <row r="2713" spans="93:93" x14ac:dyDescent="0.3">
      <c r="CO2713" s="15"/>
    </row>
    <row r="2714" spans="93:93" x14ac:dyDescent="0.3">
      <c r="CO2714" s="15"/>
    </row>
    <row r="2715" spans="93:93" x14ac:dyDescent="0.3">
      <c r="CO2715" s="15"/>
    </row>
    <row r="2716" spans="93:93" x14ac:dyDescent="0.3">
      <c r="CO2716" s="15"/>
    </row>
    <row r="2717" spans="93:93" x14ac:dyDescent="0.3">
      <c r="CO2717" s="15"/>
    </row>
    <row r="2718" spans="93:93" x14ac:dyDescent="0.3">
      <c r="CO2718" s="15"/>
    </row>
    <row r="2719" spans="93:93" x14ac:dyDescent="0.3">
      <c r="CO2719" s="15"/>
    </row>
    <row r="2720" spans="93:93" x14ac:dyDescent="0.3">
      <c r="CO2720" s="15"/>
    </row>
    <row r="2721" spans="93:93" x14ac:dyDescent="0.3">
      <c r="CO2721" s="15"/>
    </row>
    <row r="2722" spans="93:93" x14ac:dyDescent="0.3">
      <c r="CO2722" s="15"/>
    </row>
    <row r="2723" spans="93:93" x14ac:dyDescent="0.3">
      <c r="CO2723" s="15"/>
    </row>
    <row r="2724" spans="93:93" x14ac:dyDescent="0.3">
      <c r="CO2724" s="15"/>
    </row>
    <row r="2725" spans="93:93" x14ac:dyDescent="0.3">
      <c r="CO2725" s="15"/>
    </row>
    <row r="2726" spans="93:93" x14ac:dyDescent="0.3">
      <c r="CO2726" s="15"/>
    </row>
    <row r="2727" spans="93:93" x14ac:dyDescent="0.3">
      <c r="CO2727" s="15"/>
    </row>
    <row r="2728" spans="93:93" x14ac:dyDescent="0.3">
      <c r="CO2728" s="15"/>
    </row>
    <row r="2729" spans="93:93" x14ac:dyDescent="0.3">
      <c r="CO2729" s="15"/>
    </row>
    <row r="2730" spans="93:93" x14ac:dyDescent="0.3">
      <c r="CO2730" s="15"/>
    </row>
    <row r="2731" spans="93:93" x14ac:dyDescent="0.3">
      <c r="CO2731" s="15"/>
    </row>
    <row r="2732" spans="93:93" x14ac:dyDescent="0.3">
      <c r="CO2732" s="15"/>
    </row>
    <row r="2733" spans="93:93" x14ac:dyDescent="0.3">
      <c r="CO2733" s="15"/>
    </row>
    <row r="2734" spans="93:93" x14ac:dyDescent="0.3">
      <c r="CO2734" s="15"/>
    </row>
    <row r="2735" spans="93:93" x14ac:dyDescent="0.3">
      <c r="CO2735" s="15"/>
    </row>
    <row r="2736" spans="93:93" x14ac:dyDescent="0.3">
      <c r="CO2736" s="15"/>
    </row>
    <row r="2737" spans="93:93" x14ac:dyDescent="0.3">
      <c r="CO2737" s="15"/>
    </row>
    <row r="2738" spans="93:93" x14ac:dyDescent="0.3">
      <c r="CO2738" s="15"/>
    </row>
    <row r="2739" spans="93:93" x14ac:dyDescent="0.3">
      <c r="CO2739" s="15"/>
    </row>
    <row r="2740" spans="93:93" x14ac:dyDescent="0.3">
      <c r="CO2740" s="15"/>
    </row>
    <row r="2741" spans="93:93" x14ac:dyDescent="0.3">
      <c r="CO2741" s="15"/>
    </row>
    <row r="2742" spans="93:93" x14ac:dyDescent="0.3">
      <c r="CO2742" s="15"/>
    </row>
    <row r="2743" spans="93:93" x14ac:dyDescent="0.3">
      <c r="CO2743" s="15"/>
    </row>
    <row r="2744" spans="93:93" x14ac:dyDescent="0.3">
      <c r="CO2744" s="15"/>
    </row>
    <row r="2745" spans="93:93" x14ac:dyDescent="0.3">
      <c r="CO2745" s="15"/>
    </row>
    <row r="2746" spans="93:93" x14ac:dyDescent="0.3">
      <c r="CO2746" s="15"/>
    </row>
    <row r="2747" spans="93:93" x14ac:dyDescent="0.3">
      <c r="CO2747" s="15"/>
    </row>
    <row r="2748" spans="93:93" x14ac:dyDescent="0.3">
      <c r="CO2748" s="15"/>
    </row>
    <row r="2749" spans="93:93" x14ac:dyDescent="0.3">
      <c r="CO2749" s="15"/>
    </row>
    <row r="2750" spans="93:93" x14ac:dyDescent="0.3">
      <c r="CO2750" s="15"/>
    </row>
    <row r="2751" spans="93:93" x14ac:dyDescent="0.3">
      <c r="CO2751" s="15"/>
    </row>
    <row r="2752" spans="93:93" x14ac:dyDescent="0.3">
      <c r="CO2752" s="15"/>
    </row>
    <row r="2753" spans="93:93" x14ac:dyDescent="0.3">
      <c r="CO2753" s="15"/>
    </row>
    <row r="2754" spans="93:93" x14ac:dyDescent="0.3">
      <c r="CO2754" s="15"/>
    </row>
    <row r="2755" spans="93:93" x14ac:dyDescent="0.3">
      <c r="CO2755" s="15"/>
    </row>
    <row r="2756" spans="93:93" x14ac:dyDescent="0.3">
      <c r="CO2756" s="15"/>
    </row>
    <row r="2757" spans="93:93" x14ac:dyDescent="0.3">
      <c r="CO2757" s="15"/>
    </row>
    <row r="2758" spans="93:93" x14ac:dyDescent="0.3">
      <c r="CO2758" s="15"/>
    </row>
    <row r="2759" spans="93:93" x14ac:dyDescent="0.3">
      <c r="CO2759" s="15"/>
    </row>
    <row r="2760" spans="93:93" x14ac:dyDescent="0.3">
      <c r="CO2760" s="15"/>
    </row>
    <row r="2761" spans="93:93" x14ac:dyDescent="0.3">
      <c r="CO2761" s="15"/>
    </row>
    <row r="2762" spans="93:93" x14ac:dyDescent="0.3">
      <c r="CO2762" s="15"/>
    </row>
    <row r="2763" spans="93:93" x14ac:dyDescent="0.3">
      <c r="CO2763" s="15"/>
    </row>
    <row r="2764" spans="93:93" x14ac:dyDescent="0.3">
      <c r="CO2764" s="15"/>
    </row>
    <row r="2765" spans="93:93" x14ac:dyDescent="0.3">
      <c r="CO2765" s="15"/>
    </row>
    <row r="2766" spans="93:93" x14ac:dyDescent="0.3">
      <c r="CO2766" s="15"/>
    </row>
    <row r="2767" spans="93:93" x14ac:dyDescent="0.3">
      <c r="CO2767" s="15"/>
    </row>
    <row r="2768" spans="93:93" x14ac:dyDescent="0.3">
      <c r="CO2768" s="15"/>
    </row>
    <row r="2769" spans="93:93" x14ac:dyDescent="0.3">
      <c r="CO2769" s="15"/>
    </row>
    <row r="2770" spans="93:93" x14ac:dyDescent="0.3">
      <c r="CO2770" s="15"/>
    </row>
    <row r="2771" spans="93:93" x14ac:dyDescent="0.3">
      <c r="CO2771" s="15"/>
    </row>
    <row r="2772" spans="93:93" x14ac:dyDescent="0.3">
      <c r="CO2772" s="15"/>
    </row>
    <row r="2773" spans="93:93" x14ac:dyDescent="0.3">
      <c r="CO2773" s="15"/>
    </row>
    <row r="2774" spans="93:93" x14ac:dyDescent="0.3">
      <c r="CO2774" s="15"/>
    </row>
    <row r="2775" spans="93:93" x14ac:dyDescent="0.3">
      <c r="CO2775" s="15"/>
    </row>
    <row r="2776" spans="93:93" x14ac:dyDescent="0.3">
      <c r="CO2776" s="15"/>
    </row>
    <row r="2777" spans="93:93" x14ac:dyDescent="0.3">
      <c r="CO2777" s="15"/>
    </row>
    <row r="2778" spans="93:93" x14ac:dyDescent="0.3">
      <c r="CO2778" s="15"/>
    </row>
    <row r="2779" spans="93:93" x14ac:dyDescent="0.3">
      <c r="CO2779" s="15"/>
    </row>
    <row r="2780" spans="93:93" x14ac:dyDescent="0.3">
      <c r="CO2780" s="15"/>
    </row>
    <row r="2781" spans="93:93" x14ac:dyDescent="0.3">
      <c r="CO2781" s="15"/>
    </row>
    <row r="2782" spans="93:93" x14ac:dyDescent="0.3">
      <c r="CO2782" s="15"/>
    </row>
    <row r="2783" spans="93:93" x14ac:dyDescent="0.3">
      <c r="CO2783" s="15"/>
    </row>
    <row r="2784" spans="93:93" x14ac:dyDescent="0.3">
      <c r="CO2784" s="15"/>
    </row>
    <row r="2785" spans="93:93" x14ac:dyDescent="0.3">
      <c r="CO2785" s="15"/>
    </row>
    <row r="2786" spans="93:93" x14ac:dyDescent="0.3">
      <c r="CO2786" s="15"/>
    </row>
    <row r="2787" spans="93:93" x14ac:dyDescent="0.3">
      <c r="CO2787" s="15"/>
    </row>
    <row r="2788" spans="93:93" x14ac:dyDescent="0.3">
      <c r="CO2788" s="15"/>
    </row>
    <row r="2789" spans="93:93" x14ac:dyDescent="0.3">
      <c r="CO2789" s="15"/>
    </row>
    <row r="2790" spans="93:93" x14ac:dyDescent="0.3">
      <c r="CO2790" s="15"/>
    </row>
    <row r="2791" spans="93:93" x14ac:dyDescent="0.3">
      <c r="CO2791" s="15"/>
    </row>
    <row r="2792" spans="93:93" x14ac:dyDescent="0.3">
      <c r="CO2792" s="15"/>
    </row>
    <row r="2793" spans="93:93" x14ac:dyDescent="0.3">
      <c r="CO2793" s="15"/>
    </row>
    <row r="2794" spans="93:93" x14ac:dyDescent="0.3">
      <c r="CO2794" s="15"/>
    </row>
    <row r="2795" spans="93:93" x14ac:dyDescent="0.3">
      <c r="CO2795" s="15"/>
    </row>
    <row r="2796" spans="93:93" x14ac:dyDescent="0.3">
      <c r="CO2796" s="15"/>
    </row>
    <row r="2797" spans="93:93" x14ac:dyDescent="0.3">
      <c r="CO2797" s="15"/>
    </row>
    <row r="2798" spans="93:93" x14ac:dyDescent="0.3">
      <c r="CO2798" s="15"/>
    </row>
    <row r="2799" spans="93:93" x14ac:dyDescent="0.3">
      <c r="CO2799" s="15"/>
    </row>
    <row r="2800" spans="93:93" x14ac:dyDescent="0.3">
      <c r="CO2800" s="15"/>
    </row>
    <row r="2801" spans="93:93" x14ac:dyDescent="0.3">
      <c r="CO2801" s="15"/>
    </row>
    <row r="2802" spans="93:93" x14ac:dyDescent="0.3">
      <c r="CO2802" s="15"/>
    </row>
    <row r="2803" spans="93:93" x14ac:dyDescent="0.3">
      <c r="CO2803" s="15"/>
    </row>
    <row r="2804" spans="93:93" x14ac:dyDescent="0.3">
      <c r="CO2804" s="15"/>
    </row>
    <row r="2805" spans="93:93" x14ac:dyDescent="0.3">
      <c r="CO2805" s="15"/>
    </row>
    <row r="2806" spans="93:93" x14ac:dyDescent="0.3">
      <c r="CO2806" s="15"/>
    </row>
    <row r="2807" spans="93:93" x14ac:dyDescent="0.3">
      <c r="CO2807" s="15"/>
    </row>
    <row r="2808" spans="93:93" x14ac:dyDescent="0.3">
      <c r="CO2808" s="15"/>
    </row>
    <row r="2809" spans="93:93" x14ac:dyDescent="0.3">
      <c r="CO2809" s="15"/>
    </row>
    <row r="2810" spans="93:93" x14ac:dyDescent="0.3">
      <c r="CO2810" s="15"/>
    </row>
    <row r="2811" spans="93:93" x14ac:dyDescent="0.3">
      <c r="CO2811" s="15"/>
    </row>
    <row r="2812" spans="93:93" x14ac:dyDescent="0.3">
      <c r="CO2812" s="15"/>
    </row>
    <row r="2813" spans="93:93" x14ac:dyDescent="0.3">
      <c r="CO2813" s="15"/>
    </row>
    <row r="2814" spans="93:93" x14ac:dyDescent="0.3">
      <c r="CO2814" s="15"/>
    </row>
    <row r="2815" spans="93:93" x14ac:dyDescent="0.3">
      <c r="CO2815" s="15"/>
    </row>
    <row r="2816" spans="93:93" x14ac:dyDescent="0.3">
      <c r="CO2816" s="15"/>
    </row>
    <row r="2817" spans="93:93" x14ac:dyDescent="0.3">
      <c r="CO2817" s="15"/>
    </row>
    <row r="2818" spans="93:93" x14ac:dyDescent="0.3">
      <c r="CO2818" s="15"/>
    </row>
    <row r="2819" spans="93:93" x14ac:dyDescent="0.3">
      <c r="CO2819" s="15"/>
    </row>
    <row r="2820" spans="93:93" x14ac:dyDescent="0.3">
      <c r="CO2820" s="15"/>
    </row>
    <row r="2821" spans="93:93" x14ac:dyDescent="0.3">
      <c r="CO2821" s="15"/>
    </row>
    <row r="2822" spans="93:93" x14ac:dyDescent="0.3">
      <c r="CO2822" s="15"/>
    </row>
    <row r="2823" spans="93:93" x14ac:dyDescent="0.3">
      <c r="CO2823" s="15"/>
    </row>
    <row r="2824" spans="93:93" x14ac:dyDescent="0.3">
      <c r="CO2824" s="15"/>
    </row>
    <row r="2825" spans="93:93" x14ac:dyDescent="0.3">
      <c r="CO2825" s="15"/>
    </row>
    <row r="2826" spans="93:93" x14ac:dyDescent="0.3">
      <c r="CO2826" s="15"/>
    </row>
    <row r="2827" spans="93:93" x14ac:dyDescent="0.3">
      <c r="CO2827" s="15"/>
    </row>
    <row r="2828" spans="93:93" x14ac:dyDescent="0.3">
      <c r="CO2828" s="15"/>
    </row>
    <row r="2829" spans="93:93" x14ac:dyDescent="0.3">
      <c r="CO2829" s="15"/>
    </row>
    <row r="2830" spans="93:93" x14ac:dyDescent="0.3">
      <c r="CO2830" s="15"/>
    </row>
    <row r="2831" spans="93:93" x14ac:dyDescent="0.3">
      <c r="CO2831" s="15"/>
    </row>
    <row r="2832" spans="93:93" x14ac:dyDescent="0.3">
      <c r="CO2832" s="15"/>
    </row>
    <row r="2833" spans="93:93" x14ac:dyDescent="0.3">
      <c r="CO2833" s="15"/>
    </row>
    <row r="2834" spans="93:93" x14ac:dyDescent="0.3">
      <c r="CO2834" s="15"/>
    </row>
    <row r="2835" spans="93:93" x14ac:dyDescent="0.3">
      <c r="CO2835" s="15"/>
    </row>
    <row r="2836" spans="93:93" x14ac:dyDescent="0.3">
      <c r="CO2836" s="15"/>
    </row>
    <row r="2837" spans="93:93" x14ac:dyDescent="0.3">
      <c r="CO2837" s="15"/>
    </row>
    <row r="2838" spans="93:93" x14ac:dyDescent="0.3">
      <c r="CO2838" s="15"/>
    </row>
    <row r="2839" spans="93:93" x14ac:dyDescent="0.3">
      <c r="CO2839" s="15"/>
    </row>
    <row r="2840" spans="93:93" x14ac:dyDescent="0.3">
      <c r="CO2840" s="15"/>
    </row>
    <row r="2841" spans="93:93" x14ac:dyDescent="0.3">
      <c r="CO2841" s="15"/>
    </row>
    <row r="2842" spans="93:93" x14ac:dyDescent="0.3">
      <c r="CO2842" s="15"/>
    </row>
    <row r="2843" spans="93:93" x14ac:dyDescent="0.3">
      <c r="CO2843" s="15"/>
    </row>
    <row r="2844" spans="93:93" x14ac:dyDescent="0.3">
      <c r="CO2844" s="15"/>
    </row>
    <row r="2845" spans="93:93" x14ac:dyDescent="0.3">
      <c r="CO2845" s="15"/>
    </row>
    <row r="2846" spans="93:93" x14ac:dyDescent="0.3">
      <c r="CO2846" s="15"/>
    </row>
    <row r="2847" spans="93:93" x14ac:dyDescent="0.3">
      <c r="CO2847" s="15"/>
    </row>
    <row r="2848" spans="93:93" x14ac:dyDescent="0.3">
      <c r="CO2848" s="15"/>
    </row>
    <row r="2849" spans="93:93" x14ac:dyDescent="0.3">
      <c r="CO2849" s="15"/>
    </row>
    <row r="2850" spans="93:93" x14ac:dyDescent="0.3">
      <c r="CO2850" s="15"/>
    </row>
    <row r="2851" spans="93:93" x14ac:dyDescent="0.3">
      <c r="CO2851" s="15"/>
    </row>
    <row r="2852" spans="93:93" x14ac:dyDescent="0.3">
      <c r="CO2852" s="15"/>
    </row>
    <row r="2853" spans="93:93" x14ac:dyDescent="0.3">
      <c r="CO2853" s="15"/>
    </row>
    <row r="2854" spans="93:93" x14ac:dyDescent="0.3">
      <c r="CO2854" s="15"/>
    </row>
    <row r="2855" spans="93:93" x14ac:dyDescent="0.3">
      <c r="CO2855" s="15"/>
    </row>
    <row r="2856" spans="93:93" x14ac:dyDescent="0.3">
      <c r="CO2856" s="15"/>
    </row>
    <row r="2857" spans="93:93" x14ac:dyDescent="0.3">
      <c r="CO2857" s="15"/>
    </row>
    <row r="2858" spans="93:93" x14ac:dyDescent="0.3">
      <c r="CO2858" s="15"/>
    </row>
    <row r="2859" spans="93:93" x14ac:dyDescent="0.3">
      <c r="CO2859" s="15"/>
    </row>
    <row r="2860" spans="93:93" x14ac:dyDescent="0.3">
      <c r="CO2860" s="15"/>
    </row>
    <row r="2861" spans="93:93" x14ac:dyDescent="0.3">
      <c r="CO2861" s="15"/>
    </row>
    <row r="2862" spans="93:93" x14ac:dyDescent="0.3">
      <c r="CO2862" s="15"/>
    </row>
    <row r="2863" spans="93:93" x14ac:dyDescent="0.3">
      <c r="CO2863" s="15"/>
    </row>
    <row r="2864" spans="93:93" x14ac:dyDescent="0.3">
      <c r="CO2864" s="15"/>
    </row>
    <row r="2865" spans="93:93" x14ac:dyDescent="0.3">
      <c r="CO2865" s="15"/>
    </row>
    <row r="2866" spans="93:93" x14ac:dyDescent="0.3">
      <c r="CO2866" s="15"/>
    </row>
    <row r="2867" spans="93:93" x14ac:dyDescent="0.3">
      <c r="CO2867" s="15"/>
    </row>
    <row r="2868" spans="93:93" x14ac:dyDescent="0.3">
      <c r="CO2868" s="15"/>
    </row>
    <row r="2869" spans="93:93" x14ac:dyDescent="0.3">
      <c r="CO2869" s="15"/>
    </row>
    <row r="2870" spans="93:93" x14ac:dyDescent="0.3">
      <c r="CO2870" s="15"/>
    </row>
    <row r="2871" spans="93:93" x14ac:dyDescent="0.3">
      <c r="CO2871" s="15"/>
    </row>
    <row r="2872" spans="93:93" x14ac:dyDescent="0.3">
      <c r="CO2872" s="15"/>
    </row>
    <row r="2873" spans="93:93" x14ac:dyDescent="0.3">
      <c r="CO2873" s="15"/>
    </row>
    <row r="2874" spans="93:93" x14ac:dyDescent="0.3">
      <c r="CO2874" s="15"/>
    </row>
    <row r="2875" spans="93:93" x14ac:dyDescent="0.3">
      <c r="CO2875" s="15"/>
    </row>
    <row r="2876" spans="93:93" x14ac:dyDescent="0.3">
      <c r="CO2876" s="15"/>
    </row>
    <row r="2877" spans="93:93" x14ac:dyDescent="0.3">
      <c r="CO2877" s="15"/>
    </row>
    <row r="2878" spans="93:93" x14ac:dyDescent="0.3">
      <c r="CO2878" s="15"/>
    </row>
    <row r="2879" spans="93:93" x14ac:dyDescent="0.3">
      <c r="CO2879" s="15"/>
    </row>
    <row r="2880" spans="93:93" x14ac:dyDescent="0.3">
      <c r="CO2880" s="15"/>
    </row>
    <row r="2881" spans="93:93" x14ac:dyDescent="0.3">
      <c r="CO2881" s="15"/>
    </row>
    <row r="2882" spans="93:93" x14ac:dyDescent="0.3">
      <c r="CO2882" s="15"/>
    </row>
    <row r="2883" spans="93:93" x14ac:dyDescent="0.3">
      <c r="CO2883" s="15"/>
    </row>
    <row r="2884" spans="93:93" x14ac:dyDescent="0.3">
      <c r="CO2884" s="15"/>
    </row>
    <row r="2885" spans="93:93" x14ac:dyDescent="0.3">
      <c r="CO2885" s="15"/>
    </row>
    <row r="2886" spans="93:93" x14ac:dyDescent="0.3">
      <c r="CO2886" s="15"/>
    </row>
    <row r="2887" spans="93:93" x14ac:dyDescent="0.3">
      <c r="CO2887" s="15"/>
    </row>
    <row r="2888" spans="93:93" x14ac:dyDescent="0.3">
      <c r="CO2888" s="15"/>
    </row>
    <row r="2889" spans="93:93" x14ac:dyDescent="0.3">
      <c r="CO2889" s="15"/>
    </row>
    <row r="2890" spans="93:93" x14ac:dyDescent="0.3">
      <c r="CO2890" s="15"/>
    </row>
    <row r="2891" spans="93:93" x14ac:dyDescent="0.3">
      <c r="CO2891" s="15"/>
    </row>
    <row r="2892" spans="93:93" x14ac:dyDescent="0.3">
      <c r="CO2892" s="15"/>
    </row>
    <row r="2893" spans="93:93" x14ac:dyDescent="0.3">
      <c r="CO2893" s="15"/>
    </row>
    <row r="2894" spans="93:93" x14ac:dyDescent="0.3">
      <c r="CO2894" s="15"/>
    </row>
    <row r="2895" spans="93:93" x14ac:dyDescent="0.3">
      <c r="CO2895" s="15"/>
    </row>
    <row r="2896" spans="93:93" x14ac:dyDescent="0.3">
      <c r="CO2896" s="15"/>
    </row>
    <row r="2897" spans="93:93" x14ac:dyDescent="0.3">
      <c r="CO2897" s="15"/>
    </row>
    <row r="2898" spans="93:93" x14ac:dyDescent="0.3">
      <c r="CO2898" s="15"/>
    </row>
    <row r="2899" spans="93:93" x14ac:dyDescent="0.3">
      <c r="CO2899" s="15"/>
    </row>
    <row r="2900" spans="93:93" x14ac:dyDescent="0.3">
      <c r="CO2900" s="15"/>
    </row>
    <row r="2901" spans="93:93" x14ac:dyDescent="0.3">
      <c r="CO2901" s="15"/>
    </row>
    <row r="2902" spans="93:93" x14ac:dyDescent="0.3">
      <c r="CO2902" s="15"/>
    </row>
    <row r="2903" spans="93:93" x14ac:dyDescent="0.3">
      <c r="CO2903" s="15"/>
    </row>
    <row r="2904" spans="93:93" x14ac:dyDescent="0.3">
      <c r="CO2904" s="15"/>
    </row>
    <row r="2905" spans="93:93" x14ac:dyDescent="0.3">
      <c r="CO2905" s="15"/>
    </row>
    <row r="2906" spans="93:93" x14ac:dyDescent="0.3">
      <c r="CO2906" s="15"/>
    </row>
    <row r="2907" spans="93:93" x14ac:dyDescent="0.3">
      <c r="CO2907" s="15"/>
    </row>
    <row r="2908" spans="93:93" x14ac:dyDescent="0.3">
      <c r="CO2908" s="15"/>
    </row>
    <row r="2909" spans="93:93" x14ac:dyDescent="0.3">
      <c r="CO2909" s="15"/>
    </row>
    <row r="2910" spans="93:93" x14ac:dyDescent="0.3">
      <c r="CO2910" s="15"/>
    </row>
    <row r="2911" spans="93:93" x14ac:dyDescent="0.3">
      <c r="CO2911" s="15"/>
    </row>
    <row r="2912" spans="93:93" x14ac:dyDescent="0.3">
      <c r="CO2912" s="15"/>
    </row>
    <row r="2913" spans="93:93" x14ac:dyDescent="0.3">
      <c r="CO2913" s="15"/>
    </row>
    <row r="2914" spans="93:93" x14ac:dyDescent="0.3">
      <c r="CO2914" s="15"/>
    </row>
    <row r="2915" spans="93:93" x14ac:dyDescent="0.3">
      <c r="CO2915" s="15"/>
    </row>
    <row r="2916" spans="93:93" x14ac:dyDescent="0.3">
      <c r="CO2916" s="15"/>
    </row>
    <row r="2917" spans="93:93" x14ac:dyDescent="0.3">
      <c r="CO2917" s="15"/>
    </row>
    <row r="2918" spans="93:93" x14ac:dyDescent="0.3">
      <c r="CO2918" s="15"/>
    </row>
    <row r="2919" spans="93:93" x14ac:dyDescent="0.3">
      <c r="CO2919" s="15"/>
    </row>
    <row r="2920" spans="93:93" x14ac:dyDescent="0.3">
      <c r="CO2920" s="15"/>
    </row>
    <row r="2921" spans="93:93" x14ac:dyDescent="0.3">
      <c r="CO2921" s="15"/>
    </row>
    <row r="2922" spans="93:93" x14ac:dyDescent="0.3">
      <c r="CO2922" s="15"/>
    </row>
    <row r="2923" spans="93:93" x14ac:dyDescent="0.3">
      <c r="CO2923" s="15"/>
    </row>
    <row r="2924" spans="93:93" x14ac:dyDescent="0.3">
      <c r="CO2924" s="15"/>
    </row>
    <row r="2925" spans="93:93" x14ac:dyDescent="0.3">
      <c r="CO2925" s="15"/>
    </row>
    <row r="2926" spans="93:93" x14ac:dyDescent="0.3">
      <c r="CO2926" s="15"/>
    </row>
    <row r="2927" spans="93:93" x14ac:dyDescent="0.3">
      <c r="CO2927" s="15"/>
    </row>
    <row r="2928" spans="93:93" x14ac:dyDescent="0.3">
      <c r="CO2928" s="15"/>
    </row>
    <row r="2929" spans="93:93" x14ac:dyDescent="0.3">
      <c r="CO2929" s="15"/>
    </row>
    <row r="2930" spans="93:93" x14ac:dyDescent="0.3">
      <c r="CO2930" s="15"/>
    </row>
    <row r="2931" spans="93:93" x14ac:dyDescent="0.3">
      <c r="CO2931" s="15"/>
    </row>
    <row r="2932" spans="93:93" x14ac:dyDescent="0.3">
      <c r="CO2932" s="15"/>
    </row>
    <row r="2933" spans="93:93" x14ac:dyDescent="0.3">
      <c r="CO2933" s="15"/>
    </row>
    <row r="2934" spans="93:93" x14ac:dyDescent="0.3">
      <c r="CO2934" s="15"/>
    </row>
    <row r="2935" spans="93:93" x14ac:dyDescent="0.3">
      <c r="CO2935" s="15"/>
    </row>
    <row r="2936" spans="93:93" x14ac:dyDescent="0.3">
      <c r="CO2936" s="15"/>
    </row>
    <row r="2937" spans="93:93" x14ac:dyDescent="0.3">
      <c r="CO2937" s="15"/>
    </row>
    <row r="2938" spans="93:93" x14ac:dyDescent="0.3">
      <c r="CO2938" s="15"/>
    </row>
    <row r="2939" spans="93:93" x14ac:dyDescent="0.3">
      <c r="CO2939" s="15"/>
    </row>
    <row r="2940" spans="93:93" x14ac:dyDescent="0.3">
      <c r="CO2940" s="15"/>
    </row>
    <row r="2941" spans="93:93" x14ac:dyDescent="0.3">
      <c r="CO2941" s="15"/>
    </row>
    <row r="2942" spans="93:93" x14ac:dyDescent="0.3">
      <c r="CO2942" s="15"/>
    </row>
    <row r="2943" spans="93:93" x14ac:dyDescent="0.3">
      <c r="CO2943" s="15"/>
    </row>
    <row r="2944" spans="93:93" x14ac:dyDescent="0.3">
      <c r="CO2944" s="15"/>
    </row>
    <row r="2945" spans="93:93" x14ac:dyDescent="0.3">
      <c r="CO2945" s="15"/>
    </row>
    <row r="2946" spans="93:93" x14ac:dyDescent="0.3">
      <c r="CO2946" s="15"/>
    </row>
    <row r="2947" spans="93:93" x14ac:dyDescent="0.3">
      <c r="CO2947" s="15"/>
    </row>
    <row r="2948" spans="93:93" x14ac:dyDescent="0.3">
      <c r="CO2948" s="15"/>
    </row>
    <row r="2949" spans="93:93" x14ac:dyDescent="0.3">
      <c r="CO2949" s="15"/>
    </row>
    <row r="2950" spans="93:93" x14ac:dyDescent="0.3">
      <c r="CO2950" s="15"/>
    </row>
    <row r="2951" spans="93:93" x14ac:dyDescent="0.3">
      <c r="CO2951" s="15"/>
    </row>
    <row r="2952" spans="93:93" x14ac:dyDescent="0.3">
      <c r="CO2952" s="15"/>
    </row>
    <row r="2953" spans="93:93" x14ac:dyDescent="0.3">
      <c r="CO2953" s="15"/>
    </row>
    <row r="2954" spans="93:93" x14ac:dyDescent="0.3">
      <c r="CO2954" s="15"/>
    </row>
    <row r="2955" spans="93:93" x14ac:dyDescent="0.3">
      <c r="CO2955" s="15"/>
    </row>
    <row r="2956" spans="93:93" x14ac:dyDescent="0.3">
      <c r="CO2956" s="15"/>
    </row>
    <row r="2957" spans="93:93" x14ac:dyDescent="0.3">
      <c r="CO2957" s="15"/>
    </row>
    <row r="2958" spans="93:93" x14ac:dyDescent="0.3">
      <c r="CO2958" s="15"/>
    </row>
    <row r="2959" spans="93:93" x14ac:dyDescent="0.3">
      <c r="CO2959" s="15"/>
    </row>
    <row r="2960" spans="93:93" x14ac:dyDescent="0.3">
      <c r="CO2960" s="15"/>
    </row>
    <row r="2961" spans="93:93" x14ac:dyDescent="0.3">
      <c r="CO2961" s="15"/>
    </row>
    <row r="2962" spans="93:93" x14ac:dyDescent="0.3">
      <c r="CO2962" s="15"/>
    </row>
    <row r="2963" spans="93:93" x14ac:dyDescent="0.3">
      <c r="CO2963" s="15"/>
    </row>
    <row r="2964" spans="93:93" x14ac:dyDescent="0.3">
      <c r="CO2964" s="15"/>
    </row>
    <row r="2965" spans="93:93" x14ac:dyDescent="0.3">
      <c r="CO2965" s="15"/>
    </row>
    <row r="2966" spans="93:93" x14ac:dyDescent="0.3">
      <c r="CO2966" s="15"/>
    </row>
    <row r="2967" spans="93:93" x14ac:dyDescent="0.3">
      <c r="CO2967" s="15"/>
    </row>
    <row r="2968" spans="93:93" x14ac:dyDescent="0.3">
      <c r="CO2968" s="15"/>
    </row>
    <row r="2969" spans="93:93" x14ac:dyDescent="0.3">
      <c r="CO2969" s="15"/>
    </row>
    <row r="2970" spans="93:93" x14ac:dyDescent="0.3">
      <c r="CO2970" s="15"/>
    </row>
    <row r="2971" spans="93:93" x14ac:dyDescent="0.3">
      <c r="CO2971" s="15"/>
    </row>
    <row r="2972" spans="93:93" x14ac:dyDescent="0.3">
      <c r="CO2972" s="15"/>
    </row>
    <row r="2973" spans="93:93" x14ac:dyDescent="0.3">
      <c r="CO2973" s="15"/>
    </row>
    <row r="2974" spans="93:93" x14ac:dyDescent="0.3">
      <c r="CO2974" s="15"/>
    </row>
    <row r="2975" spans="93:93" x14ac:dyDescent="0.3">
      <c r="CO2975" s="15"/>
    </row>
    <row r="2976" spans="93:93" x14ac:dyDescent="0.3">
      <c r="CO2976" s="15"/>
    </row>
    <row r="2977" spans="93:93" x14ac:dyDescent="0.3">
      <c r="CO2977" s="15"/>
    </row>
    <row r="2978" spans="93:93" x14ac:dyDescent="0.3">
      <c r="CO2978" s="15"/>
    </row>
    <row r="2979" spans="93:93" x14ac:dyDescent="0.3">
      <c r="CO2979" s="15"/>
    </row>
    <row r="2980" spans="93:93" x14ac:dyDescent="0.3">
      <c r="CO2980" s="15"/>
    </row>
    <row r="2981" spans="93:93" x14ac:dyDescent="0.3">
      <c r="CO2981" s="15"/>
    </row>
    <row r="2982" spans="93:93" x14ac:dyDescent="0.3">
      <c r="CO2982" s="15"/>
    </row>
    <row r="2983" spans="93:93" x14ac:dyDescent="0.3">
      <c r="CO2983" s="15"/>
    </row>
    <row r="2984" spans="93:93" x14ac:dyDescent="0.3">
      <c r="CO2984" s="15"/>
    </row>
    <row r="2985" spans="93:93" x14ac:dyDescent="0.3">
      <c r="CO2985" s="15"/>
    </row>
    <row r="2986" spans="93:93" x14ac:dyDescent="0.3">
      <c r="CO2986" s="15"/>
    </row>
    <row r="2987" spans="93:93" x14ac:dyDescent="0.3">
      <c r="CO2987" s="15"/>
    </row>
    <row r="2988" spans="93:93" x14ac:dyDescent="0.3">
      <c r="CO2988" s="15"/>
    </row>
    <row r="2989" spans="93:93" x14ac:dyDescent="0.3">
      <c r="CO2989" s="15"/>
    </row>
    <row r="2990" spans="93:93" x14ac:dyDescent="0.3">
      <c r="CO2990" s="15"/>
    </row>
    <row r="2991" spans="93:93" x14ac:dyDescent="0.3">
      <c r="CO2991" s="15"/>
    </row>
    <row r="2992" spans="93:93" x14ac:dyDescent="0.3">
      <c r="CO2992" s="15"/>
    </row>
    <row r="2993" spans="93:93" x14ac:dyDescent="0.3">
      <c r="CO2993" s="15"/>
    </row>
    <row r="2994" spans="93:93" x14ac:dyDescent="0.3">
      <c r="CO2994" s="15"/>
    </row>
    <row r="2995" spans="93:93" x14ac:dyDescent="0.3">
      <c r="CO2995" s="15"/>
    </row>
    <row r="2996" spans="93:93" x14ac:dyDescent="0.3">
      <c r="CO2996" s="15"/>
    </row>
    <row r="2997" spans="93:93" x14ac:dyDescent="0.3">
      <c r="CO2997" s="15"/>
    </row>
    <row r="2998" spans="93:93" x14ac:dyDescent="0.3">
      <c r="CO2998" s="15"/>
    </row>
    <row r="2999" spans="93:93" x14ac:dyDescent="0.3">
      <c r="CO2999" s="15"/>
    </row>
    <row r="3000" spans="93:93" x14ac:dyDescent="0.3">
      <c r="CO3000" s="15"/>
    </row>
    <row r="3001" spans="93:93" x14ac:dyDescent="0.3">
      <c r="CO3001" s="15"/>
    </row>
    <row r="3002" spans="93:93" x14ac:dyDescent="0.3">
      <c r="CO3002" s="15"/>
    </row>
    <row r="3003" spans="93:93" x14ac:dyDescent="0.3">
      <c r="CO3003" s="15"/>
    </row>
    <row r="3004" spans="93:93" x14ac:dyDescent="0.3">
      <c r="CO3004" s="15"/>
    </row>
    <row r="3005" spans="93:93" x14ac:dyDescent="0.3">
      <c r="CO3005" s="15"/>
    </row>
    <row r="3006" spans="93:93" x14ac:dyDescent="0.3">
      <c r="CO3006" s="15"/>
    </row>
    <row r="3007" spans="93:93" x14ac:dyDescent="0.3">
      <c r="CO3007" s="15"/>
    </row>
    <row r="3008" spans="93:93" x14ac:dyDescent="0.3">
      <c r="CO3008" s="15"/>
    </row>
    <row r="3009" spans="93:93" x14ac:dyDescent="0.3">
      <c r="CO3009" s="15"/>
    </row>
    <row r="3010" spans="93:93" x14ac:dyDescent="0.3">
      <c r="CO3010" s="15"/>
    </row>
    <row r="3011" spans="93:93" x14ac:dyDescent="0.3">
      <c r="CO3011" s="15"/>
    </row>
    <row r="3012" spans="93:93" x14ac:dyDescent="0.3">
      <c r="CO3012" s="15"/>
    </row>
    <row r="3013" spans="93:93" x14ac:dyDescent="0.3">
      <c r="CO3013" s="15"/>
    </row>
    <row r="3014" spans="93:93" x14ac:dyDescent="0.3">
      <c r="CO3014" s="15"/>
    </row>
    <row r="3015" spans="93:93" x14ac:dyDescent="0.3">
      <c r="CO3015" s="15"/>
    </row>
    <row r="3016" spans="93:93" x14ac:dyDescent="0.3">
      <c r="CO3016" s="15"/>
    </row>
    <row r="3017" spans="93:93" x14ac:dyDescent="0.3">
      <c r="CO3017" s="15"/>
    </row>
    <row r="3018" spans="93:93" x14ac:dyDescent="0.3">
      <c r="CO3018" s="15"/>
    </row>
    <row r="3019" spans="93:93" x14ac:dyDescent="0.3">
      <c r="CO3019" s="15"/>
    </row>
    <row r="3020" spans="93:93" x14ac:dyDescent="0.3">
      <c r="CO3020" s="15"/>
    </row>
    <row r="3021" spans="93:93" x14ac:dyDescent="0.3">
      <c r="CO3021" s="15"/>
    </row>
    <row r="3022" spans="93:93" x14ac:dyDescent="0.3">
      <c r="CO3022" s="15"/>
    </row>
    <row r="3023" spans="93:93" x14ac:dyDescent="0.3">
      <c r="CO3023" s="15"/>
    </row>
    <row r="3024" spans="93:93" x14ac:dyDescent="0.3">
      <c r="CO3024" s="15"/>
    </row>
    <row r="3025" spans="93:93" x14ac:dyDescent="0.3">
      <c r="CO3025" s="15"/>
    </row>
    <row r="3026" spans="93:93" x14ac:dyDescent="0.3">
      <c r="CO3026" s="15"/>
    </row>
    <row r="3027" spans="93:93" x14ac:dyDescent="0.3">
      <c r="CO3027" s="15"/>
    </row>
    <row r="3028" spans="93:93" x14ac:dyDescent="0.3">
      <c r="CO3028" s="15"/>
    </row>
    <row r="3029" spans="93:93" x14ac:dyDescent="0.3">
      <c r="CO3029" s="15"/>
    </row>
    <row r="3030" spans="93:93" x14ac:dyDescent="0.3">
      <c r="CO3030" s="15"/>
    </row>
    <row r="3031" spans="93:93" x14ac:dyDescent="0.3">
      <c r="CO3031" s="15"/>
    </row>
    <row r="3032" spans="93:93" x14ac:dyDescent="0.3">
      <c r="CO3032" s="15"/>
    </row>
    <row r="3033" spans="93:93" x14ac:dyDescent="0.3">
      <c r="CO3033" s="15"/>
    </row>
    <row r="3034" spans="93:93" x14ac:dyDescent="0.3">
      <c r="CO3034" s="15"/>
    </row>
    <row r="3035" spans="93:93" x14ac:dyDescent="0.3">
      <c r="CO3035" s="15"/>
    </row>
    <row r="3036" spans="93:93" x14ac:dyDescent="0.3">
      <c r="CO3036" s="15"/>
    </row>
    <row r="3037" spans="93:93" x14ac:dyDescent="0.3">
      <c r="CO3037" s="15"/>
    </row>
    <row r="3038" spans="93:93" x14ac:dyDescent="0.3">
      <c r="CO3038" s="15"/>
    </row>
    <row r="3039" spans="93:93" x14ac:dyDescent="0.3">
      <c r="CO3039" s="15"/>
    </row>
    <row r="3040" spans="93:93" x14ac:dyDescent="0.3">
      <c r="CO3040" s="15"/>
    </row>
    <row r="3041" spans="93:93" x14ac:dyDescent="0.3">
      <c r="CO3041" s="15"/>
    </row>
    <row r="3042" spans="93:93" x14ac:dyDescent="0.3">
      <c r="CO3042" s="15"/>
    </row>
    <row r="3043" spans="93:93" x14ac:dyDescent="0.3">
      <c r="CO3043" s="15"/>
    </row>
    <row r="3044" spans="93:93" x14ac:dyDescent="0.3">
      <c r="CO3044" s="15"/>
    </row>
    <row r="3045" spans="93:93" x14ac:dyDescent="0.3">
      <c r="CO3045" s="15"/>
    </row>
    <row r="3046" spans="93:93" x14ac:dyDescent="0.3">
      <c r="CO3046" s="15"/>
    </row>
    <row r="3047" spans="93:93" x14ac:dyDescent="0.3">
      <c r="CO3047" s="15"/>
    </row>
    <row r="3048" spans="93:93" x14ac:dyDescent="0.3">
      <c r="CO3048" s="15"/>
    </row>
    <row r="3049" spans="93:93" x14ac:dyDescent="0.3">
      <c r="CO3049" s="15"/>
    </row>
    <row r="3050" spans="93:93" x14ac:dyDescent="0.3">
      <c r="CO3050" s="15"/>
    </row>
    <row r="3051" spans="93:93" x14ac:dyDescent="0.3">
      <c r="CO3051" s="15"/>
    </row>
    <row r="3052" spans="93:93" x14ac:dyDescent="0.3">
      <c r="CO3052" s="15"/>
    </row>
    <row r="3053" spans="93:93" x14ac:dyDescent="0.3">
      <c r="CO3053" s="15"/>
    </row>
    <row r="3054" spans="93:93" x14ac:dyDescent="0.3">
      <c r="CO3054" s="15"/>
    </row>
    <row r="3055" spans="93:93" x14ac:dyDescent="0.3">
      <c r="CO3055" s="15"/>
    </row>
    <row r="3056" spans="93:93" x14ac:dyDescent="0.3">
      <c r="CO3056" s="15"/>
    </row>
    <row r="3057" spans="93:93" x14ac:dyDescent="0.3">
      <c r="CO3057" s="15"/>
    </row>
    <row r="3058" spans="93:93" x14ac:dyDescent="0.3">
      <c r="CO3058" s="15"/>
    </row>
    <row r="3059" spans="93:93" x14ac:dyDescent="0.3">
      <c r="CO3059" s="15"/>
    </row>
    <row r="3060" spans="93:93" x14ac:dyDescent="0.3">
      <c r="CO3060" s="15"/>
    </row>
    <row r="3061" spans="93:93" x14ac:dyDescent="0.3">
      <c r="CO3061" s="15"/>
    </row>
    <row r="3062" spans="93:93" x14ac:dyDescent="0.3">
      <c r="CO3062" s="15"/>
    </row>
    <row r="3063" spans="93:93" x14ac:dyDescent="0.3">
      <c r="CO3063" s="15"/>
    </row>
    <row r="3064" spans="93:93" x14ac:dyDescent="0.3">
      <c r="CO3064" s="15"/>
    </row>
    <row r="3065" spans="93:93" x14ac:dyDescent="0.3">
      <c r="CO3065" s="15"/>
    </row>
    <row r="3066" spans="93:93" x14ac:dyDescent="0.3">
      <c r="CO3066" s="15"/>
    </row>
    <row r="3067" spans="93:93" x14ac:dyDescent="0.3">
      <c r="CO3067" s="15"/>
    </row>
    <row r="3068" spans="93:93" x14ac:dyDescent="0.3">
      <c r="CO3068" s="15"/>
    </row>
    <row r="3069" spans="93:93" x14ac:dyDescent="0.3">
      <c r="CO3069" s="15"/>
    </row>
    <row r="3070" spans="93:93" x14ac:dyDescent="0.3">
      <c r="CO3070" s="15"/>
    </row>
    <row r="3071" spans="93:93" x14ac:dyDescent="0.3">
      <c r="CO3071" s="15"/>
    </row>
    <row r="3072" spans="93:93" x14ac:dyDescent="0.3">
      <c r="CO3072" s="15"/>
    </row>
    <row r="3073" spans="93:93" x14ac:dyDescent="0.3">
      <c r="CO3073" s="15"/>
    </row>
    <row r="3074" spans="93:93" x14ac:dyDescent="0.3">
      <c r="CO3074" s="15"/>
    </row>
    <row r="3075" spans="93:93" x14ac:dyDescent="0.3">
      <c r="CO3075" s="15"/>
    </row>
    <row r="3076" spans="93:93" x14ac:dyDescent="0.3">
      <c r="CO3076" s="15"/>
    </row>
    <row r="3077" spans="93:93" x14ac:dyDescent="0.3">
      <c r="CO3077" s="15"/>
    </row>
    <row r="3078" spans="93:93" x14ac:dyDescent="0.3">
      <c r="CO3078" s="15"/>
    </row>
    <row r="3079" spans="93:93" x14ac:dyDescent="0.3">
      <c r="CO3079" s="15"/>
    </row>
    <row r="3080" spans="93:93" x14ac:dyDescent="0.3">
      <c r="CO3080" s="15"/>
    </row>
    <row r="3081" spans="93:93" x14ac:dyDescent="0.3">
      <c r="CO3081" s="15"/>
    </row>
    <row r="3082" spans="93:93" x14ac:dyDescent="0.3">
      <c r="CO3082" s="15"/>
    </row>
    <row r="3083" spans="93:93" x14ac:dyDescent="0.3">
      <c r="CO3083" s="15"/>
    </row>
    <row r="3084" spans="93:93" x14ac:dyDescent="0.3">
      <c r="CO3084" s="15"/>
    </row>
    <row r="3085" spans="93:93" x14ac:dyDescent="0.3">
      <c r="CO3085" s="15"/>
    </row>
    <row r="3086" spans="93:93" x14ac:dyDescent="0.3">
      <c r="CO3086" s="15"/>
    </row>
    <row r="3087" spans="93:93" x14ac:dyDescent="0.3">
      <c r="CO3087" s="15"/>
    </row>
    <row r="3088" spans="93:93" x14ac:dyDescent="0.3">
      <c r="CO3088" s="15"/>
    </row>
    <row r="3089" spans="93:93" x14ac:dyDescent="0.3">
      <c r="CO3089" s="15"/>
    </row>
    <row r="3090" spans="93:93" x14ac:dyDescent="0.3">
      <c r="CO3090" s="15"/>
    </row>
    <row r="3091" spans="93:93" x14ac:dyDescent="0.3">
      <c r="CO3091" s="15"/>
    </row>
    <row r="3092" spans="93:93" x14ac:dyDescent="0.3">
      <c r="CO3092" s="15"/>
    </row>
    <row r="3093" spans="93:93" x14ac:dyDescent="0.3">
      <c r="CO3093" s="15"/>
    </row>
    <row r="3094" spans="93:93" x14ac:dyDescent="0.3">
      <c r="CO3094" s="15"/>
    </row>
    <row r="3095" spans="93:93" x14ac:dyDescent="0.3">
      <c r="CO3095" s="15"/>
    </row>
    <row r="3096" spans="93:93" x14ac:dyDescent="0.3">
      <c r="CO3096" s="15"/>
    </row>
    <row r="3097" spans="93:93" x14ac:dyDescent="0.3">
      <c r="CO3097" s="15"/>
    </row>
    <row r="3098" spans="93:93" x14ac:dyDescent="0.3">
      <c r="CO3098" s="15"/>
    </row>
    <row r="3099" spans="93:93" x14ac:dyDescent="0.3">
      <c r="CO3099" s="15"/>
    </row>
    <row r="3100" spans="93:93" x14ac:dyDescent="0.3">
      <c r="CO3100" s="15"/>
    </row>
    <row r="3101" spans="93:93" x14ac:dyDescent="0.3">
      <c r="CO3101" s="15"/>
    </row>
    <row r="3102" spans="93:93" x14ac:dyDescent="0.3">
      <c r="CO3102" s="15"/>
    </row>
    <row r="3103" spans="93:93" x14ac:dyDescent="0.3">
      <c r="CO3103" s="15"/>
    </row>
    <row r="3104" spans="93:93" x14ac:dyDescent="0.3">
      <c r="CO3104" s="15"/>
    </row>
    <row r="3105" spans="93:93" x14ac:dyDescent="0.3">
      <c r="CO3105" s="15"/>
    </row>
    <row r="3106" spans="93:93" x14ac:dyDescent="0.3">
      <c r="CO3106" s="15"/>
    </row>
    <row r="3107" spans="93:93" x14ac:dyDescent="0.3">
      <c r="CO3107" s="15"/>
    </row>
    <row r="3108" spans="93:93" x14ac:dyDescent="0.3">
      <c r="CO3108" s="15"/>
    </row>
    <row r="3109" spans="93:93" x14ac:dyDescent="0.3">
      <c r="CO3109" s="15"/>
    </row>
    <row r="3110" spans="93:93" x14ac:dyDescent="0.3">
      <c r="CO3110" s="15"/>
    </row>
    <row r="3111" spans="93:93" x14ac:dyDescent="0.3">
      <c r="CO3111" s="15"/>
    </row>
    <row r="3112" spans="93:93" x14ac:dyDescent="0.3">
      <c r="CO3112" s="15"/>
    </row>
    <row r="3113" spans="93:93" x14ac:dyDescent="0.3">
      <c r="CO3113" s="15"/>
    </row>
    <row r="3114" spans="93:93" x14ac:dyDescent="0.3">
      <c r="CO3114" s="15"/>
    </row>
    <row r="3115" spans="93:93" x14ac:dyDescent="0.3">
      <c r="CO3115" s="15"/>
    </row>
    <row r="3116" spans="93:93" x14ac:dyDescent="0.3">
      <c r="CO3116" s="15"/>
    </row>
    <row r="3117" spans="93:93" x14ac:dyDescent="0.3">
      <c r="CO3117" s="15"/>
    </row>
    <row r="3118" spans="93:93" x14ac:dyDescent="0.3">
      <c r="CO3118" s="15"/>
    </row>
    <row r="3119" spans="93:93" x14ac:dyDescent="0.3">
      <c r="CO3119" s="15"/>
    </row>
    <row r="3120" spans="93:93" x14ac:dyDescent="0.3">
      <c r="CO3120" s="15"/>
    </row>
    <row r="3121" spans="93:93" x14ac:dyDescent="0.3">
      <c r="CO3121" s="15"/>
    </row>
    <row r="3122" spans="93:93" x14ac:dyDescent="0.3">
      <c r="CO3122" s="15"/>
    </row>
    <row r="3123" spans="93:93" x14ac:dyDescent="0.3">
      <c r="CO3123" s="15"/>
    </row>
    <row r="3124" spans="93:93" x14ac:dyDescent="0.3">
      <c r="CO3124" s="15"/>
    </row>
    <row r="3125" spans="93:93" x14ac:dyDescent="0.3">
      <c r="CO3125" s="15"/>
    </row>
    <row r="3126" spans="93:93" x14ac:dyDescent="0.3">
      <c r="CO3126" s="15"/>
    </row>
    <row r="3127" spans="93:93" x14ac:dyDescent="0.3">
      <c r="CO3127" s="15"/>
    </row>
    <row r="3128" spans="93:93" x14ac:dyDescent="0.3">
      <c r="CO3128" s="15"/>
    </row>
    <row r="3129" spans="93:93" x14ac:dyDescent="0.3">
      <c r="CO3129" s="15"/>
    </row>
    <row r="3130" spans="93:93" x14ac:dyDescent="0.3">
      <c r="CO3130" s="15"/>
    </row>
    <row r="3131" spans="93:93" x14ac:dyDescent="0.3">
      <c r="CO3131" s="15"/>
    </row>
    <row r="3132" spans="93:93" x14ac:dyDescent="0.3">
      <c r="CO3132" s="15"/>
    </row>
    <row r="3133" spans="93:93" x14ac:dyDescent="0.3">
      <c r="CO3133" s="15"/>
    </row>
    <row r="3134" spans="93:93" x14ac:dyDescent="0.3">
      <c r="CO3134" s="15"/>
    </row>
    <row r="3135" spans="93:93" x14ac:dyDescent="0.3">
      <c r="CO3135" s="15"/>
    </row>
    <row r="3136" spans="93:93" x14ac:dyDescent="0.3">
      <c r="CO3136" s="15"/>
    </row>
    <row r="3137" spans="93:93" x14ac:dyDescent="0.3">
      <c r="CO3137" s="15"/>
    </row>
    <row r="3138" spans="93:93" x14ac:dyDescent="0.3">
      <c r="CO3138" s="15"/>
    </row>
    <row r="3139" spans="93:93" x14ac:dyDescent="0.3">
      <c r="CO3139" s="15"/>
    </row>
    <row r="3140" spans="93:93" x14ac:dyDescent="0.3">
      <c r="CO3140" s="15"/>
    </row>
    <row r="3141" spans="93:93" x14ac:dyDescent="0.3">
      <c r="CO3141" s="15"/>
    </row>
    <row r="3142" spans="93:93" x14ac:dyDescent="0.3">
      <c r="CO3142" s="15"/>
    </row>
    <row r="3143" spans="93:93" x14ac:dyDescent="0.3">
      <c r="CO3143" s="15"/>
    </row>
    <row r="3144" spans="93:93" x14ac:dyDescent="0.3">
      <c r="CO3144" s="15"/>
    </row>
    <row r="3145" spans="93:93" x14ac:dyDescent="0.3">
      <c r="CO3145" s="15"/>
    </row>
    <row r="3146" spans="93:93" x14ac:dyDescent="0.3">
      <c r="CO3146" s="15"/>
    </row>
    <row r="3147" spans="93:93" x14ac:dyDescent="0.3">
      <c r="CO3147" s="15"/>
    </row>
    <row r="3148" spans="93:93" x14ac:dyDescent="0.3">
      <c r="CO3148" s="15"/>
    </row>
    <row r="3149" spans="93:93" x14ac:dyDescent="0.3">
      <c r="CO3149" s="15"/>
    </row>
    <row r="3150" spans="93:93" x14ac:dyDescent="0.3">
      <c r="CO3150" s="15"/>
    </row>
    <row r="3151" spans="93:93" x14ac:dyDescent="0.3">
      <c r="CO3151" s="15"/>
    </row>
    <row r="3152" spans="93:93" x14ac:dyDescent="0.3">
      <c r="CO3152" s="15"/>
    </row>
    <row r="3153" spans="93:93" x14ac:dyDescent="0.3">
      <c r="CO3153" s="15"/>
    </row>
    <row r="3154" spans="93:93" x14ac:dyDescent="0.3">
      <c r="CO3154" s="15"/>
    </row>
    <row r="3155" spans="93:93" x14ac:dyDescent="0.3">
      <c r="CO3155" s="15"/>
    </row>
    <row r="3156" spans="93:93" x14ac:dyDescent="0.3">
      <c r="CO3156" s="15"/>
    </row>
    <row r="3157" spans="93:93" x14ac:dyDescent="0.3">
      <c r="CO3157" s="15"/>
    </row>
    <row r="3158" spans="93:93" x14ac:dyDescent="0.3">
      <c r="CO3158" s="15"/>
    </row>
    <row r="3159" spans="93:93" x14ac:dyDescent="0.3">
      <c r="CO3159" s="15"/>
    </row>
    <row r="3160" spans="93:93" x14ac:dyDescent="0.3">
      <c r="CO3160" s="15"/>
    </row>
    <row r="3161" spans="93:93" x14ac:dyDescent="0.3">
      <c r="CO3161" s="15"/>
    </row>
    <row r="3162" spans="93:93" x14ac:dyDescent="0.3">
      <c r="CO3162" s="15"/>
    </row>
    <row r="3163" spans="93:93" x14ac:dyDescent="0.3">
      <c r="CO3163" s="15"/>
    </row>
    <row r="3164" spans="93:93" x14ac:dyDescent="0.3">
      <c r="CO3164" s="15"/>
    </row>
    <row r="3165" spans="93:93" x14ac:dyDescent="0.3">
      <c r="CO3165" s="15"/>
    </row>
    <row r="3166" spans="93:93" x14ac:dyDescent="0.3">
      <c r="CO3166" s="15"/>
    </row>
    <row r="3167" spans="93:93" x14ac:dyDescent="0.3">
      <c r="CO3167" s="15"/>
    </row>
    <row r="3168" spans="93:93" x14ac:dyDescent="0.3">
      <c r="CO3168" s="15"/>
    </row>
    <row r="3169" spans="93:93" x14ac:dyDescent="0.3">
      <c r="CO3169" s="15"/>
    </row>
    <row r="3170" spans="93:93" x14ac:dyDescent="0.3">
      <c r="CO3170" s="15"/>
    </row>
    <row r="3171" spans="93:93" x14ac:dyDescent="0.3">
      <c r="CO3171" s="15"/>
    </row>
    <row r="3172" spans="93:93" x14ac:dyDescent="0.3">
      <c r="CO3172" s="15"/>
    </row>
    <row r="3173" spans="93:93" x14ac:dyDescent="0.3">
      <c r="CO3173" s="15"/>
    </row>
    <row r="3174" spans="93:93" x14ac:dyDescent="0.3">
      <c r="CO3174" s="15"/>
    </row>
    <row r="3175" spans="93:93" x14ac:dyDescent="0.3">
      <c r="CO3175" s="15"/>
    </row>
    <row r="3176" spans="93:93" x14ac:dyDescent="0.3">
      <c r="CO3176" s="15"/>
    </row>
    <row r="3177" spans="93:93" x14ac:dyDescent="0.3">
      <c r="CO3177" s="15"/>
    </row>
    <row r="3178" spans="93:93" x14ac:dyDescent="0.3">
      <c r="CO3178" s="15"/>
    </row>
    <row r="3179" spans="93:93" x14ac:dyDescent="0.3">
      <c r="CO3179" s="15"/>
    </row>
    <row r="3180" spans="93:93" x14ac:dyDescent="0.3">
      <c r="CO3180" s="15"/>
    </row>
    <row r="3181" spans="93:93" x14ac:dyDescent="0.3">
      <c r="CO3181" s="15"/>
    </row>
    <row r="3182" spans="93:93" x14ac:dyDescent="0.3">
      <c r="CO3182" s="15"/>
    </row>
    <row r="3183" spans="93:93" x14ac:dyDescent="0.3">
      <c r="CO3183" s="15"/>
    </row>
    <row r="3184" spans="93:93" x14ac:dyDescent="0.3">
      <c r="CO3184" s="15"/>
    </row>
    <row r="3185" spans="93:93" x14ac:dyDescent="0.3">
      <c r="CO3185" s="15"/>
    </row>
    <row r="3186" spans="93:93" x14ac:dyDescent="0.3">
      <c r="CO3186" s="15"/>
    </row>
    <row r="3187" spans="93:93" x14ac:dyDescent="0.3">
      <c r="CO3187" s="15"/>
    </row>
    <row r="3188" spans="93:93" x14ac:dyDescent="0.3">
      <c r="CO3188" s="15"/>
    </row>
    <row r="3189" spans="93:93" x14ac:dyDescent="0.3">
      <c r="CO3189" s="15"/>
    </row>
    <row r="3190" spans="93:93" x14ac:dyDescent="0.3">
      <c r="CO3190" s="15"/>
    </row>
    <row r="3191" spans="93:93" x14ac:dyDescent="0.3">
      <c r="CO3191" s="15"/>
    </row>
    <row r="3192" spans="93:93" x14ac:dyDescent="0.3">
      <c r="CO3192" s="15"/>
    </row>
    <row r="3193" spans="93:93" x14ac:dyDescent="0.3">
      <c r="CO3193" s="15"/>
    </row>
    <row r="3194" spans="93:93" x14ac:dyDescent="0.3">
      <c r="CO3194" s="15"/>
    </row>
    <row r="3195" spans="93:93" x14ac:dyDescent="0.3">
      <c r="CO3195" s="15"/>
    </row>
    <row r="3196" spans="93:93" x14ac:dyDescent="0.3">
      <c r="CO3196" s="15"/>
    </row>
    <row r="3197" spans="93:93" x14ac:dyDescent="0.3">
      <c r="CO3197" s="15"/>
    </row>
    <row r="3198" spans="93:93" x14ac:dyDescent="0.3">
      <c r="CO3198" s="15"/>
    </row>
    <row r="3199" spans="93:93" x14ac:dyDescent="0.3">
      <c r="CO3199" s="15"/>
    </row>
    <row r="3200" spans="93:93" x14ac:dyDescent="0.3">
      <c r="CO3200" s="15"/>
    </row>
    <row r="3201" spans="93:93" x14ac:dyDescent="0.3">
      <c r="CO3201" s="15"/>
    </row>
    <row r="3202" spans="93:93" x14ac:dyDescent="0.3">
      <c r="CO3202" s="15"/>
    </row>
    <row r="3203" spans="93:93" x14ac:dyDescent="0.3">
      <c r="CO3203" s="15"/>
    </row>
    <row r="3204" spans="93:93" x14ac:dyDescent="0.3">
      <c r="CO3204" s="15"/>
    </row>
    <row r="3205" spans="93:93" x14ac:dyDescent="0.3">
      <c r="CO3205" s="15"/>
    </row>
    <row r="3206" spans="93:93" x14ac:dyDescent="0.3">
      <c r="CO3206" s="15"/>
    </row>
    <row r="3207" spans="93:93" x14ac:dyDescent="0.3">
      <c r="CO3207" s="15"/>
    </row>
    <row r="3208" spans="93:93" x14ac:dyDescent="0.3">
      <c r="CO3208" s="15"/>
    </row>
    <row r="3209" spans="93:93" x14ac:dyDescent="0.3">
      <c r="CO3209" s="15"/>
    </row>
    <row r="3210" spans="93:93" x14ac:dyDescent="0.3">
      <c r="CO3210" s="15"/>
    </row>
    <row r="3211" spans="93:93" x14ac:dyDescent="0.3">
      <c r="CO3211" s="15"/>
    </row>
    <row r="3212" spans="93:93" x14ac:dyDescent="0.3">
      <c r="CO3212" s="15"/>
    </row>
    <row r="3213" spans="93:93" x14ac:dyDescent="0.3">
      <c r="CO3213" s="15"/>
    </row>
    <row r="3214" spans="93:93" x14ac:dyDescent="0.3">
      <c r="CO3214" s="15"/>
    </row>
    <row r="3215" spans="93:93" x14ac:dyDescent="0.3">
      <c r="CO3215" s="15"/>
    </row>
    <row r="3216" spans="93:93" x14ac:dyDescent="0.3">
      <c r="CO3216" s="15"/>
    </row>
    <row r="3217" spans="93:93" x14ac:dyDescent="0.3">
      <c r="CO3217" s="15"/>
    </row>
    <row r="3218" spans="93:93" x14ac:dyDescent="0.3">
      <c r="CO3218" s="15"/>
    </row>
    <row r="3219" spans="93:93" x14ac:dyDescent="0.3">
      <c r="CO3219" s="15"/>
    </row>
    <row r="3220" spans="93:93" x14ac:dyDescent="0.3">
      <c r="CO3220" s="15"/>
    </row>
    <row r="3221" spans="93:93" x14ac:dyDescent="0.3">
      <c r="CO3221" s="15"/>
    </row>
    <row r="3222" spans="93:93" x14ac:dyDescent="0.3">
      <c r="CO3222" s="15"/>
    </row>
    <row r="3223" spans="93:93" x14ac:dyDescent="0.3">
      <c r="CO3223" s="15"/>
    </row>
    <row r="3224" spans="93:93" x14ac:dyDescent="0.3">
      <c r="CO3224" s="15"/>
    </row>
    <row r="3225" spans="93:93" x14ac:dyDescent="0.3">
      <c r="CO3225" s="15"/>
    </row>
    <row r="3226" spans="93:93" x14ac:dyDescent="0.3">
      <c r="CO3226" s="15"/>
    </row>
    <row r="3227" spans="93:93" x14ac:dyDescent="0.3">
      <c r="CO3227" s="15"/>
    </row>
    <row r="3228" spans="93:93" x14ac:dyDescent="0.3">
      <c r="CO3228" s="15"/>
    </row>
    <row r="3229" spans="93:93" x14ac:dyDescent="0.3">
      <c r="CO3229" s="15"/>
    </row>
    <row r="3230" spans="93:93" x14ac:dyDescent="0.3">
      <c r="CO3230" s="15"/>
    </row>
    <row r="3231" spans="93:93" x14ac:dyDescent="0.3">
      <c r="CO3231" s="15"/>
    </row>
    <row r="3232" spans="93:93" x14ac:dyDescent="0.3">
      <c r="CO3232" s="15"/>
    </row>
    <row r="3233" spans="93:93" x14ac:dyDescent="0.3">
      <c r="CO3233" s="15"/>
    </row>
    <row r="3234" spans="93:93" x14ac:dyDescent="0.3">
      <c r="CO3234" s="15"/>
    </row>
    <row r="3235" spans="93:93" x14ac:dyDescent="0.3">
      <c r="CO3235" s="15"/>
    </row>
    <row r="3236" spans="93:93" x14ac:dyDescent="0.3">
      <c r="CO3236" s="15"/>
    </row>
    <row r="3237" spans="93:93" x14ac:dyDescent="0.3">
      <c r="CO3237" s="15"/>
    </row>
    <row r="3238" spans="93:93" x14ac:dyDescent="0.3">
      <c r="CO3238" s="15"/>
    </row>
    <row r="3239" spans="93:93" x14ac:dyDescent="0.3">
      <c r="CO3239" s="15"/>
    </row>
    <row r="3240" spans="93:93" x14ac:dyDescent="0.3">
      <c r="CO3240" s="15"/>
    </row>
    <row r="3241" spans="93:93" x14ac:dyDescent="0.3">
      <c r="CO3241" s="15"/>
    </row>
    <row r="3242" spans="93:93" x14ac:dyDescent="0.3">
      <c r="CO3242" s="15"/>
    </row>
    <row r="3243" spans="93:93" x14ac:dyDescent="0.3">
      <c r="CO3243" s="15"/>
    </row>
    <row r="3244" spans="93:93" x14ac:dyDescent="0.3">
      <c r="CO3244" s="15"/>
    </row>
    <row r="3245" spans="93:93" x14ac:dyDescent="0.3">
      <c r="CO3245" s="15"/>
    </row>
    <row r="3246" spans="93:93" x14ac:dyDescent="0.3">
      <c r="CO3246" s="15"/>
    </row>
    <row r="3247" spans="93:93" x14ac:dyDescent="0.3">
      <c r="CO3247" s="15"/>
    </row>
    <row r="3248" spans="93:93" x14ac:dyDescent="0.3">
      <c r="CO3248" s="15"/>
    </row>
    <row r="3249" spans="93:93" x14ac:dyDescent="0.3">
      <c r="CO3249" s="15"/>
    </row>
    <row r="3250" spans="93:93" x14ac:dyDescent="0.3">
      <c r="CO3250" s="15"/>
    </row>
    <row r="3251" spans="93:93" x14ac:dyDescent="0.3">
      <c r="CO3251" s="15"/>
    </row>
    <row r="3252" spans="93:93" x14ac:dyDescent="0.3">
      <c r="CO3252" s="15"/>
    </row>
    <row r="3253" spans="93:93" x14ac:dyDescent="0.3">
      <c r="CO3253" s="15"/>
    </row>
    <row r="3254" spans="93:93" x14ac:dyDescent="0.3">
      <c r="CO3254" s="15"/>
    </row>
    <row r="3255" spans="93:93" x14ac:dyDescent="0.3">
      <c r="CO3255" s="15"/>
    </row>
    <row r="3256" spans="93:93" x14ac:dyDescent="0.3">
      <c r="CO3256" s="15"/>
    </row>
    <row r="3257" spans="93:93" x14ac:dyDescent="0.3">
      <c r="CO3257" s="15"/>
    </row>
    <row r="3258" spans="93:93" x14ac:dyDescent="0.3">
      <c r="CO3258" s="15"/>
    </row>
    <row r="3259" spans="93:93" x14ac:dyDescent="0.3">
      <c r="CO3259" s="15"/>
    </row>
    <row r="3260" spans="93:93" x14ac:dyDescent="0.3">
      <c r="CO3260" s="15"/>
    </row>
    <row r="3261" spans="93:93" x14ac:dyDescent="0.3">
      <c r="CO3261" s="15"/>
    </row>
    <row r="3262" spans="93:93" x14ac:dyDescent="0.3">
      <c r="CO3262" s="15"/>
    </row>
    <row r="3263" spans="93:93" x14ac:dyDescent="0.3">
      <c r="CO3263" s="15"/>
    </row>
    <row r="3264" spans="93:93" x14ac:dyDescent="0.3">
      <c r="CO3264" s="15"/>
    </row>
    <row r="3265" spans="93:93" x14ac:dyDescent="0.3">
      <c r="CO3265" s="15"/>
    </row>
    <row r="3266" spans="93:93" x14ac:dyDescent="0.3">
      <c r="CO3266" s="15"/>
    </row>
    <row r="3267" spans="93:93" x14ac:dyDescent="0.3">
      <c r="CO3267" s="15"/>
    </row>
    <row r="3268" spans="93:93" x14ac:dyDescent="0.3">
      <c r="CO3268" s="15"/>
    </row>
    <row r="3269" spans="93:93" x14ac:dyDescent="0.3">
      <c r="CO3269" s="15"/>
    </row>
    <row r="3270" spans="93:93" x14ac:dyDescent="0.3">
      <c r="CO3270" s="15"/>
    </row>
    <row r="3271" spans="93:93" x14ac:dyDescent="0.3">
      <c r="CO3271" s="15"/>
    </row>
    <row r="3272" spans="93:93" x14ac:dyDescent="0.3">
      <c r="CO3272" s="15"/>
    </row>
    <row r="3273" spans="93:93" x14ac:dyDescent="0.3">
      <c r="CO3273" s="15"/>
    </row>
    <row r="3274" spans="93:93" x14ac:dyDescent="0.3">
      <c r="CO3274" s="15"/>
    </row>
    <row r="3275" spans="93:93" x14ac:dyDescent="0.3">
      <c r="CO3275" s="15"/>
    </row>
    <row r="3276" spans="93:93" x14ac:dyDescent="0.3">
      <c r="CO3276" s="15"/>
    </row>
    <row r="3277" spans="93:93" x14ac:dyDescent="0.3">
      <c r="CO3277" s="15"/>
    </row>
    <row r="3278" spans="93:93" x14ac:dyDescent="0.3">
      <c r="CO3278" s="15"/>
    </row>
    <row r="3279" spans="93:93" x14ac:dyDescent="0.3">
      <c r="CO3279" s="15"/>
    </row>
    <row r="3280" spans="93:93" x14ac:dyDescent="0.3">
      <c r="CO3280" s="15"/>
    </row>
    <row r="3281" spans="93:93" x14ac:dyDescent="0.3">
      <c r="CO3281" s="15"/>
    </row>
    <row r="3282" spans="93:93" x14ac:dyDescent="0.3">
      <c r="CO3282" s="15"/>
    </row>
    <row r="3283" spans="93:93" x14ac:dyDescent="0.3">
      <c r="CO3283" s="15"/>
    </row>
    <row r="3284" spans="93:93" x14ac:dyDescent="0.3">
      <c r="CO3284" s="15"/>
    </row>
    <row r="3285" spans="93:93" x14ac:dyDescent="0.3">
      <c r="CO3285" s="15"/>
    </row>
    <row r="3286" spans="93:93" x14ac:dyDescent="0.3">
      <c r="CO3286" s="15"/>
    </row>
    <row r="3287" spans="93:93" x14ac:dyDescent="0.3">
      <c r="CO3287" s="15"/>
    </row>
    <row r="3288" spans="93:93" x14ac:dyDescent="0.3">
      <c r="CO3288" s="15"/>
    </row>
    <row r="3289" spans="93:93" x14ac:dyDescent="0.3">
      <c r="CO3289" s="15"/>
    </row>
    <row r="3290" spans="93:93" x14ac:dyDescent="0.3">
      <c r="CO3290" s="15"/>
    </row>
    <row r="3291" spans="93:93" x14ac:dyDescent="0.3">
      <c r="CO3291" s="15"/>
    </row>
    <row r="3292" spans="93:93" x14ac:dyDescent="0.3">
      <c r="CO3292" s="15"/>
    </row>
    <row r="3293" spans="93:93" x14ac:dyDescent="0.3">
      <c r="CO3293" s="15"/>
    </row>
    <row r="3294" spans="93:93" x14ac:dyDescent="0.3">
      <c r="CO3294" s="15"/>
    </row>
    <row r="3295" spans="93:93" x14ac:dyDescent="0.3">
      <c r="CO3295" s="15"/>
    </row>
    <row r="3296" spans="93:93" x14ac:dyDescent="0.3">
      <c r="CO3296" s="15"/>
    </row>
    <row r="3297" spans="93:93" x14ac:dyDescent="0.3">
      <c r="CO3297" s="15"/>
    </row>
    <row r="3298" spans="93:93" x14ac:dyDescent="0.3">
      <c r="CO3298" s="15"/>
    </row>
    <row r="3299" spans="93:93" x14ac:dyDescent="0.3">
      <c r="CO3299" s="15"/>
    </row>
    <row r="3300" spans="93:93" x14ac:dyDescent="0.3">
      <c r="CO3300" s="15"/>
    </row>
    <row r="3301" spans="93:93" x14ac:dyDescent="0.3">
      <c r="CO3301" s="15"/>
    </row>
    <row r="3302" spans="93:93" x14ac:dyDescent="0.3">
      <c r="CO3302" s="15"/>
    </row>
    <row r="3303" spans="93:93" x14ac:dyDescent="0.3">
      <c r="CO3303" s="15"/>
    </row>
    <row r="3304" spans="93:93" x14ac:dyDescent="0.3">
      <c r="CO3304" s="15"/>
    </row>
    <row r="3305" spans="93:93" x14ac:dyDescent="0.3">
      <c r="CO3305" s="15"/>
    </row>
    <row r="3306" spans="93:93" x14ac:dyDescent="0.3">
      <c r="CO3306" s="15"/>
    </row>
    <row r="3307" spans="93:93" x14ac:dyDescent="0.3">
      <c r="CO3307" s="15"/>
    </row>
    <row r="3308" spans="93:93" x14ac:dyDescent="0.3">
      <c r="CO3308" s="15"/>
    </row>
    <row r="3309" spans="93:93" x14ac:dyDescent="0.3">
      <c r="CO3309" s="15"/>
    </row>
    <row r="3310" spans="93:93" x14ac:dyDescent="0.3">
      <c r="CO3310" s="15"/>
    </row>
    <row r="3311" spans="93:93" x14ac:dyDescent="0.3">
      <c r="CO3311" s="15"/>
    </row>
    <row r="3312" spans="93:93" x14ac:dyDescent="0.3">
      <c r="CO3312" s="15"/>
    </row>
    <row r="3313" spans="93:93" x14ac:dyDescent="0.3">
      <c r="CO3313" s="15"/>
    </row>
    <row r="3314" spans="93:93" x14ac:dyDescent="0.3">
      <c r="CO3314" s="15"/>
    </row>
    <row r="3315" spans="93:93" x14ac:dyDescent="0.3">
      <c r="CO3315" s="15"/>
    </row>
    <row r="3316" spans="93:93" x14ac:dyDescent="0.3">
      <c r="CO3316" s="15"/>
    </row>
    <row r="3317" spans="93:93" x14ac:dyDescent="0.3">
      <c r="CO3317" s="15"/>
    </row>
    <row r="3318" spans="93:93" x14ac:dyDescent="0.3">
      <c r="CO3318" s="15"/>
    </row>
    <row r="3319" spans="93:93" x14ac:dyDescent="0.3">
      <c r="CO3319" s="15"/>
    </row>
    <row r="3320" spans="93:93" x14ac:dyDescent="0.3">
      <c r="CO3320" s="15"/>
    </row>
    <row r="3321" spans="93:93" x14ac:dyDescent="0.3">
      <c r="CO3321" s="15"/>
    </row>
    <row r="3322" spans="93:93" x14ac:dyDescent="0.3">
      <c r="CO3322" s="15"/>
    </row>
    <row r="3323" spans="93:93" x14ac:dyDescent="0.3">
      <c r="CO3323" s="15"/>
    </row>
    <row r="3324" spans="93:93" x14ac:dyDescent="0.3">
      <c r="CO3324" s="15"/>
    </row>
    <row r="3325" spans="93:93" x14ac:dyDescent="0.3">
      <c r="CO3325" s="15"/>
    </row>
    <row r="3326" spans="93:93" x14ac:dyDescent="0.3">
      <c r="CO3326" s="15"/>
    </row>
    <row r="3327" spans="93:93" x14ac:dyDescent="0.3">
      <c r="CO3327" s="15"/>
    </row>
    <row r="3328" spans="93:93" x14ac:dyDescent="0.3">
      <c r="CO3328" s="15"/>
    </row>
    <row r="3329" spans="93:93" x14ac:dyDescent="0.3">
      <c r="CO3329" s="15"/>
    </row>
    <row r="3330" spans="93:93" x14ac:dyDescent="0.3">
      <c r="CO3330" s="15"/>
    </row>
    <row r="3331" spans="93:93" x14ac:dyDescent="0.3">
      <c r="CO3331" s="15"/>
    </row>
    <row r="3332" spans="93:93" x14ac:dyDescent="0.3">
      <c r="CO3332" s="15"/>
    </row>
    <row r="3333" spans="93:93" x14ac:dyDescent="0.3">
      <c r="CO3333" s="15"/>
    </row>
    <row r="3334" spans="93:93" x14ac:dyDescent="0.3">
      <c r="CO3334" s="15"/>
    </row>
    <row r="3335" spans="93:93" x14ac:dyDescent="0.3">
      <c r="CO3335" s="15"/>
    </row>
    <row r="3336" spans="93:93" x14ac:dyDescent="0.3">
      <c r="CO3336" s="15"/>
    </row>
    <row r="3337" spans="93:93" x14ac:dyDescent="0.3">
      <c r="CO3337" s="15"/>
    </row>
    <row r="3338" spans="93:93" x14ac:dyDescent="0.3">
      <c r="CO3338" s="15"/>
    </row>
    <row r="3339" spans="93:93" x14ac:dyDescent="0.3">
      <c r="CO3339" s="15"/>
    </row>
    <row r="3340" spans="93:93" x14ac:dyDescent="0.3">
      <c r="CO3340" s="15"/>
    </row>
    <row r="3341" spans="93:93" x14ac:dyDescent="0.3">
      <c r="CO3341" s="15"/>
    </row>
    <row r="3342" spans="93:93" x14ac:dyDescent="0.3">
      <c r="CO3342" s="15"/>
    </row>
    <row r="3343" spans="93:93" x14ac:dyDescent="0.3">
      <c r="CO3343" s="15"/>
    </row>
    <row r="3344" spans="93:93" x14ac:dyDescent="0.3">
      <c r="CO3344" s="15"/>
    </row>
    <row r="3345" spans="93:93" x14ac:dyDescent="0.3">
      <c r="CO3345" s="15"/>
    </row>
    <row r="3346" spans="93:93" x14ac:dyDescent="0.3">
      <c r="CO3346" s="15"/>
    </row>
    <row r="3347" spans="93:93" x14ac:dyDescent="0.3">
      <c r="CO3347" s="15"/>
    </row>
    <row r="3348" spans="93:93" x14ac:dyDescent="0.3">
      <c r="CO3348" s="15"/>
    </row>
    <row r="3349" spans="93:93" x14ac:dyDescent="0.3">
      <c r="CO3349" s="15"/>
    </row>
    <row r="3350" spans="93:93" x14ac:dyDescent="0.3">
      <c r="CO3350" s="15"/>
    </row>
    <row r="3351" spans="93:93" x14ac:dyDescent="0.3">
      <c r="CO3351" s="15"/>
    </row>
    <row r="3352" spans="93:93" x14ac:dyDescent="0.3">
      <c r="CO3352" s="15"/>
    </row>
    <row r="3353" spans="93:93" x14ac:dyDescent="0.3">
      <c r="CO3353" s="15"/>
    </row>
    <row r="3354" spans="93:93" x14ac:dyDescent="0.3">
      <c r="CO3354" s="15"/>
    </row>
    <row r="3355" spans="93:93" x14ac:dyDescent="0.3">
      <c r="CO3355" s="15"/>
    </row>
    <row r="3356" spans="93:93" x14ac:dyDescent="0.3">
      <c r="CO3356" s="15"/>
    </row>
    <row r="3357" spans="93:93" x14ac:dyDescent="0.3">
      <c r="CO3357" s="15"/>
    </row>
    <row r="3358" spans="93:93" x14ac:dyDescent="0.3">
      <c r="CO3358" s="15"/>
    </row>
    <row r="3359" spans="93:93" x14ac:dyDescent="0.3">
      <c r="CO3359" s="15"/>
    </row>
    <row r="3360" spans="93:93" x14ac:dyDescent="0.3">
      <c r="CO3360" s="15"/>
    </row>
    <row r="3361" spans="93:93" x14ac:dyDescent="0.3">
      <c r="CO3361" s="15"/>
    </row>
    <row r="3362" spans="93:93" x14ac:dyDescent="0.3">
      <c r="CO3362" s="15"/>
    </row>
    <row r="3363" spans="93:93" x14ac:dyDescent="0.3">
      <c r="CO3363" s="15"/>
    </row>
    <row r="3364" spans="93:93" x14ac:dyDescent="0.3">
      <c r="CO3364" s="15"/>
    </row>
    <row r="3365" spans="93:93" x14ac:dyDescent="0.3">
      <c r="CO3365" s="15"/>
    </row>
    <row r="3366" spans="93:93" x14ac:dyDescent="0.3">
      <c r="CO3366" s="15"/>
    </row>
    <row r="3367" spans="93:93" x14ac:dyDescent="0.3">
      <c r="CO3367" s="15"/>
    </row>
    <row r="3368" spans="93:93" x14ac:dyDescent="0.3">
      <c r="CO3368" s="15"/>
    </row>
    <row r="3369" spans="93:93" x14ac:dyDescent="0.3">
      <c r="CO3369" s="15"/>
    </row>
    <row r="3370" spans="93:93" x14ac:dyDescent="0.3">
      <c r="CO3370" s="15"/>
    </row>
    <row r="3371" spans="93:93" x14ac:dyDescent="0.3">
      <c r="CO3371" s="15"/>
    </row>
    <row r="3372" spans="93:93" x14ac:dyDescent="0.3">
      <c r="CO3372" s="15"/>
    </row>
    <row r="3373" spans="93:93" x14ac:dyDescent="0.3">
      <c r="CO3373" s="15"/>
    </row>
    <row r="3374" spans="93:93" x14ac:dyDescent="0.3">
      <c r="CO3374" s="15"/>
    </row>
    <row r="3375" spans="93:93" x14ac:dyDescent="0.3">
      <c r="CO3375" s="15"/>
    </row>
    <row r="3376" spans="93:93" x14ac:dyDescent="0.3">
      <c r="CO3376" s="15"/>
    </row>
    <row r="3377" spans="93:93" x14ac:dyDescent="0.3">
      <c r="CO3377" s="15"/>
    </row>
    <row r="3378" spans="93:93" x14ac:dyDescent="0.3">
      <c r="CO3378" s="15"/>
    </row>
    <row r="3379" spans="93:93" x14ac:dyDescent="0.3">
      <c r="CO3379" s="15"/>
    </row>
    <row r="3380" spans="93:93" x14ac:dyDescent="0.3">
      <c r="CO3380" s="15"/>
    </row>
    <row r="3381" spans="93:93" x14ac:dyDescent="0.3">
      <c r="CO3381" s="15"/>
    </row>
    <row r="3382" spans="93:93" x14ac:dyDescent="0.3">
      <c r="CO3382" s="15"/>
    </row>
    <row r="3383" spans="93:93" x14ac:dyDescent="0.3">
      <c r="CO3383" s="15"/>
    </row>
    <row r="3384" spans="93:93" x14ac:dyDescent="0.3">
      <c r="CO3384" s="15"/>
    </row>
    <row r="3385" spans="93:93" x14ac:dyDescent="0.3">
      <c r="CO3385" s="15"/>
    </row>
    <row r="3386" spans="93:93" x14ac:dyDescent="0.3">
      <c r="CO3386" s="15"/>
    </row>
    <row r="3387" spans="93:93" x14ac:dyDescent="0.3">
      <c r="CO3387" s="15"/>
    </row>
    <row r="3388" spans="93:93" x14ac:dyDescent="0.3">
      <c r="CO3388" s="15"/>
    </row>
    <row r="3389" spans="93:93" x14ac:dyDescent="0.3">
      <c r="CO3389" s="15"/>
    </row>
    <row r="3390" spans="93:93" x14ac:dyDescent="0.3">
      <c r="CO3390" s="15"/>
    </row>
    <row r="3391" spans="93:93" x14ac:dyDescent="0.3">
      <c r="CO3391" s="15"/>
    </row>
    <row r="3392" spans="93:93" x14ac:dyDescent="0.3">
      <c r="CO3392" s="15"/>
    </row>
    <row r="3393" spans="93:93" x14ac:dyDescent="0.3">
      <c r="CO3393" s="15"/>
    </row>
    <row r="3394" spans="93:93" x14ac:dyDescent="0.3">
      <c r="CO3394" s="15"/>
    </row>
    <row r="3395" spans="93:93" x14ac:dyDescent="0.3">
      <c r="CO3395" s="15"/>
    </row>
    <row r="3396" spans="93:93" x14ac:dyDescent="0.3">
      <c r="CO3396" s="15"/>
    </row>
    <row r="3397" spans="93:93" x14ac:dyDescent="0.3">
      <c r="CO3397" s="15"/>
    </row>
    <row r="3398" spans="93:93" x14ac:dyDescent="0.3">
      <c r="CO3398" s="15"/>
    </row>
    <row r="3399" spans="93:93" x14ac:dyDescent="0.3">
      <c r="CO3399" s="15"/>
    </row>
    <row r="3400" spans="93:93" x14ac:dyDescent="0.3">
      <c r="CO3400" s="15"/>
    </row>
    <row r="3401" spans="93:93" x14ac:dyDescent="0.3">
      <c r="CO3401" s="15"/>
    </row>
    <row r="3402" spans="93:93" x14ac:dyDescent="0.3">
      <c r="CO3402" s="15"/>
    </row>
    <row r="3403" spans="93:93" x14ac:dyDescent="0.3">
      <c r="CO3403" s="15"/>
    </row>
    <row r="3404" spans="93:93" x14ac:dyDescent="0.3">
      <c r="CO3404" s="15"/>
    </row>
    <row r="3405" spans="93:93" x14ac:dyDescent="0.3">
      <c r="CO3405" s="15"/>
    </row>
    <row r="3406" spans="93:93" x14ac:dyDescent="0.3">
      <c r="CO3406" s="15"/>
    </row>
    <row r="3407" spans="93:93" x14ac:dyDescent="0.3">
      <c r="CO3407" s="15"/>
    </row>
    <row r="3408" spans="93:93" x14ac:dyDescent="0.3">
      <c r="CO3408" s="15"/>
    </row>
    <row r="3409" spans="93:93" x14ac:dyDescent="0.3">
      <c r="CO3409" s="15"/>
    </row>
    <row r="3410" spans="93:93" x14ac:dyDescent="0.3">
      <c r="CO3410" s="15"/>
    </row>
    <row r="3411" spans="93:93" x14ac:dyDescent="0.3">
      <c r="CO3411" s="15"/>
    </row>
    <row r="3412" spans="93:93" x14ac:dyDescent="0.3">
      <c r="CO3412" s="15"/>
    </row>
    <row r="3413" spans="93:93" x14ac:dyDescent="0.3">
      <c r="CO3413" s="15"/>
    </row>
    <row r="3414" spans="93:93" x14ac:dyDescent="0.3">
      <c r="CO3414" s="15"/>
    </row>
    <row r="3415" spans="93:93" x14ac:dyDescent="0.3">
      <c r="CO3415" s="15"/>
    </row>
    <row r="3416" spans="93:93" x14ac:dyDescent="0.3">
      <c r="CO3416" s="15"/>
    </row>
    <row r="3417" spans="93:93" x14ac:dyDescent="0.3">
      <c r="CO3417" s="15"/>
    </row>
    <row r="3418" spans="93:93" x14ac:dyDescent="0.3">
      <c r="CO3418" s="15"/>
    </row>
    <row r="3419" spans="93:93" x14ac:dyDescent="0.3">
      <c r="CO3419" s="15"/>
    </row>
    <row r="3420" spans="93:93" x14ac:dyDescent="0.3">
      <c r="CO3420" s="15"/>
    </row>
    <row r="3421" spans="93:93" x14ac:dyDescent="0.3">
      <c r="CO3421" s="15"/>
    </row>
    <row r="3422" spans="93:93" x14ac:dyDescent="0.3">
      <c r="CO3422" s="15"/>
    </row>
    <row r="3423" spans="93:93" x14ac:dyDescent="0.3">
      <c r="CO3423" s="15"/>
    </row>
    <row r="3424" spans="93:93" x14ac:dyDescent="0.3">
      <c r="CO3424" s="15"/>
    </row>
    <row r="3425" spans="93:93" x14ac:dyDescent="0.3">
      <c r="CO3425" s="15"/>
    </row>
    <row r="3426" spans="93:93" x14ac:dyDescent="0.3">
      <c r="CO3426" s="15"/>
    </row>
    <row r="3427" spans="93:93" x14ac:dyDescent="0.3">
      <c r="CO3427" s="15"/>
    </row>
    <row r="3428" spans="93:93" x14ac:dyDescent="0.3">
      <c r="CO3428" s="15"/>
    </row>
    <row r="3429" spans="93:93" x14ac:dyDescent="0.3">
      <c r="CO3429" s="15"/>
    </row>
    <row r="3430" spans="93:93" x14ac:dyDescent="0.3">
      <c r="CO3430" s="15"/>
    </row>
    <row r="3431" spans="93:93" x14ac:dyDescent="0.3">
      <c r="CO3431" s="15"/>
    </row>
    <row r="3432" spans="93:93" x14ac:dyDescent="0.3">
      <c r="CO3432" s="15"/>
    </row>
    <row r="3433" spans="93:93" x14ac:dyDescent="0.3">
      <c r="CO3433" s="15"/>
    </row>
    <row r="3434" spans="93:93" x14ac:dyDescent="0.3">
      <c r="CO3434" s="15"/>
    </row>
    <row r="3435" spans="93:93" x14ac:dyDescent="0.3">
      <c r="CO3435" s="15"/>
    </row>
    <row r="3436" spans="93:93" x14ac:dyDescent="0.3">
      <c r="CO3436" s="15"/>
    </row>
    <row r="3437" spans="93:93" x14ac:dyDescent="0.3">
      <c r="CO3437" s="15"/>
    </row>
    <row r="3438" spans="93:93" x14ac:dyDescent="0.3">
      <c r="CO3438" s="15"/>
    </row>
    <row r="3439" spans="93:93" x14ac:dyDescent="0.3">
      <c r="CO3439" s="15"/>
    </row>
    <row r="3440" spans="93:93" x14ac:dyDescent="0.3">
      <c r="CO3440" s="15"/>
    </row>
    <row r="3441" spans="93:93" x14ac:dyDescent="0.3">
      <c r="CO3441" s="15"/>
    </row>
    <row r="3442" spans="93:93" x14ac:dyDescent="0.3">
      <c r="CO3442" s="15"/>
    </row>
    <row r="3443" spans="93:93" x14ac:dyDescent="0.3">
      <c r="CO3443" s="15"/>
    </row>
    <row r="3444" spans="93:93" x14ac:dyDescent="0.3">
      <c r="CO3444" s="15"/>
    </row>
    <row r="3445" spans="93:93" x14ac:dyDescent="0.3">
      <c r="CO3445" s="15"/>
    </row>
    <row r="3446" spans="93:93" x14ac:dyDescent="0.3">
      <c r="CO3446" s="15"/>
    </row>
    <row r="3447" spans="93:93" x14ac:dyDescent="0.3">
      <c r="CO3447" s="15"/>
    </row>
    <row r="3448" spans="93:93" x14ac:dyDescent="0.3">
      <c r="CO3448" s="15"/>
    </row>
    <row r="3449" spans="93:93" x14ac:dyDescent="0.3">
      <c r="CO3449" s="15"/>
    </row>
    <row r="3450" spans="93:93" x14ac:dyDescent="0.3">
      <c r="CO3450" s="15"/>
    </row>
    <row r="3451" spans="93:93" x14ac:dyDescent="0.3">
      <c r="CO3451" s="15"/>
    </row>
    <row r="3452" spans="93:93" x14ac:dyDescent="0.3">
      <c r="CO3452" s="15"/>
    </row>
    <row r="3453" spans="93:93" x14ac:dyDescent="0.3">
      <c r="CO3453" s="15"/>
    </row>
    <row r="3454" spans="93:93" x14ac:dyDescent="0.3">
      <c r="CO3454" s="15"/>
    </row>
    <row r="3455" spans="93:93" x14ac:dyDescent="0.3">
      <c r="CO3455" s="15"/>
    </row>
    <row r="3456" spans="93:93" x14ac:dyDescent="0.3">
      <c r="CO3456" s="15"/>
    </row>
    <row r="3457" spans="93:93" x14ac:dyDescent="0.3">
      <c r="CO3457" s="15"/>
    </row>
    <row r="3458" spans="93:93" x14ac:dyDescent="0.3">
      <c r="CO3458" s="15"/>
    </row>
    <row r="3459" spans="93:93" x14ac:dyDescent="0.3">
      <c r="CO3459" s="15"/>
    </row>
    <row r="3460" spans="93:93" x14ac:dyDescent="0.3">
      <c r="CO3460" s="15"/>
    </row>
    <row r="3461" spans="93:93" x14ac:dyDescent="0.3">
      <c r="CO3461" s="15"/>
    </row>
    <row r="3462" spans="93:93" x14ac:dyDescent="0.3">
      <c r="CO3462" s="15"/>
    </row>
    <row r="3463" spans="93:93" x14ac:dyDescent="0.3">
      <c r="CO3463" s="15"/>
    </row>
    <row r="3464" spans="93:93" x14ac:dyDescent="0.3">
      <c r="CO3464" s="15"/>
    </row>
    <row r="3465" spans="93:93" x14ac:dyDescent="0.3">
      <c r="CO3465" s="15"/>
    </row>
    <row r="3466" spans="93:93" x14ac:dyDescent="0.3">
      <c r="CO3466" s="15"/>
    </row>
    <row r="3467" spans="93:93" x14ac:dyDescent="0.3">
      <c r="CO3467" s="15"/>
    </row>
    <row r="3468" spans="93:93" x14ac:dyDescent="0.3">
      <c r="CO3468" s="15"/>
    </row>
    <row r="3469" spans="93:93" x14ac:dyDescent="0.3">
      <c r="CO3469" s="15"/>
    </row>
    <row r="3470" spans="93:93" x14ac:dyDescent="0.3">
      <c r="CO3470" s="15"/>
    </row>
    <row r="3471" spans="93:93" x14ac:dyDescent="0.3">
      <c r="CO3471" s="15"/>
    </row>
    <row r="3472" spans="93:93" x14ac:dyDescent="0.3">
      <c r="CO3472" s="15"/>
    </row>
    <row r="3473" spans="93:93" x14ac:dyDescent="0.3">
      <c r="CO3473" s="15"/>
    </row>
    <row r="3474" spans="93:93" x14ac:dyDescent="0.3">
      <c r="CO3474" s="15"/>
    </row>
    <row r="3475" spans="93:93" x14ac:dyDescent="0.3">
      <c r="CO3475" s="15"/>
    </row>
    <row r="3476" spans="93:93" x14ac:dyDescent="0.3">
      <c r="CO3476" s="15"/>
    </row>
    <row r="3477" spans="93:93" x14ac:dyDescent="0.3">
      <c r="CO3477" s="15"/>
    </row>
    <row r="3478" spans="93:93" x14ac:dyDescent="0.3">
      <c r="CO3478" s="15"/>
    </row>
    <row r="3479" spans="93:93" x14ac:dyDescent="0.3">
      <c r="CO3479" s="15"/>
    </row>
    <row r="3480" spans="93:93" x14ac:dyDescent="0.3">
      <c r="CO3480" s="15"/>
    </row>
    <row r="3481" spans="93:93" x14ac:dyDescent="0.3">
      <c r="CO3481" s="15"/>
    </row>
    <row r="3482" spans="93:93" x14ac:dyDescent="0.3">
      <c r="CO3482" s="15"/>
    </row>
    <row r="3483" spans="93:93" x14ac:dyDescent="0.3">
      <c r="CO3483" s="15"/>
    </row>
    <row r="3484" spans="93:93" x14ac:dyDescent="0.3">
      <c r="CO3484" s="15"/>
    </row>
    <row r="3485" spans="93:93" x14ac:dyDescent="0.3">
      <c r="CO3485" s="15"/>
    </row>
    <row r="3486" spans="93:93" x14ac:dyDescent="0.3">
      <c r="CO3486" s="15"/>
    </row>
    <row r="3487" spans="93:93" x14ac:dyDescent="0.3">
      <c r="CO3487" s="15"/>
    </row>
    <row r="3488" spans="93:93" x14ac:dyDescent="0.3">
      <c r="CO3488" s="15"/>
    </row>
    <row r="3489" spans="93:93" x14ac:dyDescent="0.3">
      <c r="CO3489" s="15"/>
    </row>
    <row r="3490" spans="93:93" x14ac:dyDescent="0.3">
      <c r="CO3490" s="15"/>
    </row>
    <row r="3491" spans="93:93" x14ac:dyDescent="0.3">
      <c r="CO3491" s="15"/>
    </row>
    <row r="3492" spans="93:93" x14ac:dyDescent="0.3">
      <c r="CO3492" s="15"/>
    </row>
    <row r="3493" spans="93:93" x14ac:dyDescent="0.3">
      <c r="CO3493" s="15"/>
    </row>
    <row r="3494" spans="93:93" x14ac:dyDescent="0.3">
      <c r="CO3494" s="15"/>
    </row>
    <row r="3495" spans="93:93" x14ac:dyDescent="0.3">
      <c r="CO3495" s="15"/>
    </row>
    <row r="3496" spans="93:93" x14ac:dyDescent="0.3">
      <c r="CO3496" s="15"/>
    </row>
    <row r="3497" spans="93:93" x14ac:dyDescent="0.3">
      <c r="CO3497" s="15"/>
    </row>
    <row r="3498" spans="93:93" x14ac:dyDescent="0.3">
      <c r="CO3498" s="15"/>
    </row>
    <row r="3499" spans="93:93" x14ac:dyDescent="0.3">
      <c r="CO3499" s="15"/>
    </row>
    <row r="3500" spans="93:93" x14ac:dyDescent="0.3">
      <c r="CO3500" s="15"/>
    </row>
    <row r="3501" spans="93:93" x14ac:dyDescent="0.3">
      <c r="CO3501" s="15"/>
    </row>
    <row r="3502" spans="93:93" x14ac:dyDescent="0.3">
      <c r="CO3502" s="15"/>
    </row>
    <row r="3503" spans="93:93" x14ac:dyDescent="0.3">
      <c r="CO3503" s="15"/>
    </row>
    <row r="3504" spans="93:93" x14ac:dyDescent="0.3">
      <c r="CO3504" s="15"/>
    </row>
    <row r="3505" spans="93:93" x14ac:dyDescent="0.3">
      <c r="CO3505" s="15"/>
    </row>
    <row r="3506" spans="93:93" x14ac:dyDescent="0.3">
      <c r="CO3506" s="15"/>
    </row>
    <row r="3507" spans="93:93" x14ac:dyDescent="0.3">
      <c r="CO3507" s="15"/>
    </row>
    <row r="3508" spans="93:93" x14ac:dyDescent="0.3">
      <c r="CO3508" s="15"/>
    </row>
    <row r="3509" spans="93:93" x14ac:dyDescent="0.3">
      <c r="CO3509" s="15"/>
    </row>
    <row r="3510" spans="93:93" x14ac:dyDescent="0.3">
      <c r="CO3510" s="15"/>
    </row>
    <row r="3511" spans="93:93" x14ac:dyDescent="0.3">
      <c r="CO3511" s="15"/>
    </row>
    <row r="3512" spans="93:93" x14ac:dyDescent="0.3">
      <c r="CO3512" s="15"/>
    </row>
    <row r="3513" spans="93:93" x14ac:dyDescent="0.3">
      <c r="CO3513" s="15"/>
    </row>
    <row r="3514" spans="93:93" x14ac:dyDescent="0.3">
      <c r="CO3514" s="15"/>
    </row>
    <row r="3515" spans="93:93" x14ac:dyDescent="0.3">
      <c r="CO3515" s="15"/>
    </row>
    <row r="3516" spans="93:93" x14ac:dyDescent="0.3">
      <c r="CO3516" s="15"/>
    </row>
    <row r="3517" spans="93:93" x14ac:dyDescent="0.3">
      <c r="CO3517" s="15"/>
    </row>
    <row r="3518" spans="93:93" x14ac:dyDescent="0.3">
      <c r="CO3518" s="15"/>
    </row>
    <row r="3519" spans="93:93" x14ac:dyDescent="0.3">
      <c r="CO3519" s="15"/>
    </row>
    <row r="3520" spans="93:93" x14ac:dyDescent="0.3">
      <c r="CO3520" s="15"/>
    </row>
    <row r="3521" spans="93:93" x14ac:dyDescent="0.3">
      <c r="CO3521" s="15"/>
    </row>
    <row r="3522" spans="93:93" x14ac:dyDescent="0.3">
      <c r="CO3522" s="15"/>
    </row>
    <row r="3523" spans="93:93" x14ac:dyDescent="0.3">
      <c r="CO3523" s="15"/>
    </row>
    <row r="3524" spans="93:93" x14ac:dyDescent="0.3">
      <c r="CO3524" s="15"/>
    </row>
    <row r="3525" spans="93:93" x14ac:dyDescent="0.3">
      <c r="CO3525" s="15"/>
    </row>
    <row r="3526" spans="93:93" x14ac:dyDescent="0.3">
      <c r="CO3526" s="15"/>
    </row>
    <row r="3527" spans="93:93" x14ac:dyDescent="0.3">
      <c r="CO3527" s="15"/>
    </row>
    <row r="3528" spans="93:93" x14ac:dyDescent="0.3">
      <c r="CO3528" s="15"/>
    </row>
    <row r="3529" spans="93:93" x14ac:dyDescent="0.3">
      <c r="CO3529" s="15"/>
    </row>
    <row r="3530" spans="93:93" x14ac:dyDescent="0.3">
      <c r="CO3530" s="15"/>
    </row>
    <row r="3531" spans="93:93" x14ac:dyDescent="0.3">
      <c r="CO3531" s="15"/>
    </row>
    <row r="3532" spans="93:93" x14ac:dyDescent="0.3">
      <c r="CO3532" s="15"/>
    </row>
    <row r="3533" spans="93:93" x14ac:dyDescent="0.3">
      <c r="CO3533" s="15"/>
    </row>
    <row r="3534" spans="93:93" x14ac:dyDescent="0.3">
      <c r="CO3534" s="15"/>
    </row>
    <row r="3535" spans="93:93" x14ac:dyDescent="0.3">
      <c r="CO3535" s="15"/>
    </row>
    <row r="3536" spans="93:93" x14ac:dyDescent="0.3">
      <c r="CO3536" s="15"/>
    </row>
    <row r="3537" spans="93:93" x14ac:dyDescent="0.3">
      <c r="CO3537" s="15"/>
    </row>
    <row r="3538" spans="93:93" x14ac:dyDescent="0.3">
      <c r="CO3538" s="15"/>
    </row>
    <row r="3539" spans="93:93" x14ac:dyDescent="0.3">
      <c r="CO3539" s="15"/>
    </row>
    <row r="3540" spans="93:93" x14ac:dyDescent="0.3">
      <c r="CO3540" s="15"/>
    </row>
    <row r="3541" spans="93:93" x14ac:dyDescent="0.3">
      <c r="CO3541" s="15"/>
    </row>
    <row r="3542" spans="93:93" x14ac:dyDescent="0.3">
      <c r="CO3542" s="15"/>
    </row>
    <row r="3543" spans="93:93" x14ac:dyDescent="0.3">
      <c r="CO3543" s="15"/>
    </row>
    <row r="3544" spans="93:93" x14ac:dyDescent="0.3">
      <c r="CO3544" s="15"/>
    </row>
    <row r="3545" spans="93:93" x14ac:dyDescent="0.3">
      <c r="CO3545" s="15"/>
    </row>
    <row r="3546" spans="93:93" x14ac:dyDescent="0.3">
      <c r="CO3546" s="15"/>
    </row>
    <row r="3547" spans="93:93" x14ac:dyDescent="0.3">
      <c r="CO3547" s="15"/>
    </row>
    <row r="3548" spans="93:93" x14ac:dyDescent="0.3">
      <c r="CO3548" s="15"/>
    </row>
    <row r="3549" spans="93:93" x14ac:dyDescent="0.3">
      <c r="CO3549" s="15"/>
    </row>
    <row r="3550" spans="93:93" x14ac:dyDescent="0.3">
      <c r="CO3550" s="15"/>
    </row>
    <row r="3551" spans="93:93" x14ac:dyDescent="0.3">
      <c r="CO3551" s="15"/>
    </row>
    <row r="3552" spans="93:93" x14ac:dyDescent="0.3">
      <c r="CO3552" s="15"/>
    </row>
    <row r="3553" spans="93:93" x14ac:dyDescent="0.3">
      <c r="CO3553" s="15"/>
    </row>
    <row r="3554" spans="93:93" x14ac:dyDescent="0.3">
      <c r="CO3554" s="15"/>
    </row>
    <row r="3555" spans="93:93" x14ac:dyDescent="0.3">
      <c r="CO3555" s="15"/>
    </row>
    <row r="3556" spans="93:93" x14ac:dyDescent="0.3">
      <c r="CO3556" s="15"/>
    </row>
    <row r="3557" spans="93:93" x14ac:dyDescent="0.3">
      <c r="CO3557" s="15"/>
    </row>
    <row r="3558" spans="93:93" x14ac:dyDescent="0.3">
      <c r="CO3558" s="15"/>
    </row>
    <row r="3559" spans="93:93" x14ac:dyDescent="0.3">
      <c r="CO3559" s="15"/>
    </row>
    <row r="3560" spans="93:93" x14ac:dyDescent="0.3">
      <c r="CO3560" s="15"/>
    </row>
    <row r="3561" spans="93:93" x14ac:dyDescent="0.3">
      <c r="CO3561" s="15"/>
    </row>
    <row r="3562" spans="93:93" x14ac:dyDescent="0.3">
      <c r="CO3562" s="15"/>
    </row>
    <row r="3563" spans="93:93" x14ac:dyDescent="0.3">
      <c r="CO3563" s="15"/>
    </row>
    <row r="3564" spans="93:93" x14ac:dyDescent="0.3">
      <c r="CO3564" s="15"/>
    </row>
    <row r="3565" spans="93:93" x14ac:dyDescent="0.3">
      <c r="CO3565" s="15"/>
    </row>
    <row r="3566" spans="93:93" x14ac:dyDescent="0.3">
      <c r="CO3566" s="15"/>
    </row>
    <row r="3567" spans="93:93" x14ac:dyDescent="0.3">
      <c r="CO3567" s="15"/>
    </row>
    <row r="3568" spans="93:93" x14ac:dyDescent="0.3">
      <c r="CO3568" s="15"/>
    </row>
    <row r="3569" spans="93:93" x14ac:dyDescent="0.3">
      <c r="CO3569" s="15"/>
    </row>
    <row r="3570" spans="93:93" x14ac:dyDescent="0.3">
      <c r="CO3570" s="15"/>
    </row>
    <row r="3571" spans="93:93" x14ac:dyDescent="0.3">
      <c r="CO3571" s="15"/>
    </row>
    <row r="3572" spans="93:93" x14ac:dyDescent="0.3">
      <c r="CO3572" s="15"/>
    </row>
    <row r="3573" spans="93:93" x14ac:dyDescent="0.3">
      <c r="CO3573" s="15"/>
    </row>
    <row r="3574" spans="93:93" x14ac:dyDescent="0.3">
      <c r="CO3574" s="15"/>
    </row>
    <row r="3575" spans="93:93" x14ac:dyDescent="0.3">
      <c r="CO3575" s="15"/>
    </row>
    <row r="3576" spans="93:93" x14ac:dyDescent="0.3">
      <c r="CO3576" s="15"/>
    </row>
    <row r="3577" spans="93:93" x14ac:dyDescent="0.3">
      <c r="CO3577" s="15"/>
    </row>
    <row r="3578" spans="93:93" x14ac:dyDescent="0.3">
      <c r="CO3578" s="15"/>
    </row>
    <row r="3579" spans="93:93" x14ac:dyDescent="0.3">
      <c r="CO3579" s="15"/>
    </row>
    <row r="3580" spans="93:93" x14ac:dyDescent="0.3">
      <c r="CO3580" s="15"/>
    </row>
    <row r="3581" spans="93:93" x14ac:dyDescent="0.3">
      <c r="CO3581" s="15"/>
    </row>
    <row r="3582" spans="93:93" x14ac:dyDescent="0.3">
      <c r="CO3582" s="15"/>
    </row>
    <row r="3583" spans="93:93" x14ac:dyDescent="0.3">
      <c r="CO3583" s="15"/>
    </row>
    <row r="3584" spans="93:93" x14ac:dyDescent="0.3">
      <c r="CO3584" s="15"/>
    </row>
    <row r="3585" spans="93:93" x14ac:dyDescent="0.3">
      <c r="CO3585" s="15"/>
    </row>
    <row r="3586" spans="93:93" x14ac:dyDescent="0.3">
      <c r="CO3586" s="15"/>
    </row>
    <row r="3587" spans="93:93" x14ac:dyDescent="0.3">
      <c r="CO3587" s="15"/>
    </row>
    <row r="3588" spans="93:93" x14ac:dyDescent="0.3">
      <c r="CO3588" s="15"/>
    </row>
    <row r="3589" spans="93:93" x14ac:dyDescent="0.3">
      <c r="CO3589" s="15"/>
    </row>
    <row r="3590" spans="93:93" x14ac:dyDescent="0.3">
      <c r="CO3590" s="15"/>
    </row>
    <row r="3591" spans="93:93" x14ac:dyDescent="0.3">
      <c r="CO3591" s="15"/>
    </row>
    <row r="3592" spans="93:93" x14ac:dyDescent="0.3">
      <c r="CO3592" s="15"/>
    </row>
    <row r="3593" spans="93:93" x14ac:dyDescent="0.3">
      <c r="CO3593" s="15"/>
    </row>
    <row r="3594" spans="93:93" x14ac:dyDescent="0.3">
      <c r="CO3594" s="15"/>
    </row>
    <row r="3595" spans="93:93" x14ac:dyDescent="0.3">
      <c r="CO3595" s="15"/>
    </row>
    <row r="3596" spans="93:93" x14ac:dyDescent="0.3">
      <c r="CO3596" s="15"/>
    </row>
    <row r="3597" spans="93:93" x14ac:dyDescent="0.3">
      <c r="CO3597" s="15"/>
    </row>
    <row r="3598" spans="93:93" x14ac:dyDescent="0.3">
      <c r="CO3598" s="15"/>
    </row>
    <row r="3599" spans="93:93" x14ac:dyDescent="0.3">
      <c r="CO3599" s="15"/>
    </row>
    <row r="3600" spans="93:93" x14ac:dyDescent="0.3">
      <c r="CO3600" s="15"/>
    </row>
    <row r="3601" spans="93:93" x14ac:dyDescent="0.3">
      <c r="CO3601" s="15"/>
    </row>
    <row r="3602" spans="93:93" x14ac:dyDescent="0.3">
      <c r="CO3602" s="15"/>
    </row>
    <row r="3603" spans="93:93" x14ac:dyDescent="0.3">
      <c r="CO3603" s="15"/>
    </row>
    <row r="3604" spans="93:93" x14ac:dyDescent="0.3">
      <c r="CO3604" s="15"/>
    </row>
    <row r="3605" spans="93:93" x14ac:dyDescent="0.3">
      <c r="CO3605" s="15"/>
    </row>
    <row r="3606" spans="93:93" x14ac:dyDescent="0.3">
      <c r="CO3606" s="15"/>
    </row>
    <row r="3607" spans="93:93" x14ac:dyDescent="0.3">
      <c r="CO3607" s="15"/>
    </row>
    <row r="3608" spans="93:93" x14ac:dyDescent="0.3">
      <c r="CO3608" s="15"/>
    </row>
    <row r="3609" spans="93:93" x14ac:dyDescent="0.3">
      <c r="CO3609" s="15"/>
    </row>
    <row r="3610" spans="93:93" x14ac:dyDescent="0.3">
      <c r="CO3610" s="15"/>
    </row>
    <row r="3611" spans="93:93" x14ac:dyDescent="0.3">
      <c r="CO3611" s="15"/>
    </row>
    <row r="3612" spans="93:93" x14ac:dyDescent="0.3">
      <c r="CO3612" s="15"/>
    </row>
    <row r="3613" spans="93:93" x14ac:dyDescent="0.3">
      <c r="CO3613" s="15"/>
    </row>
    <row r="3614" spans="93:93" x14ac:dyDescent="0.3">
      <c r="CO3614" s="15"/>
    </row>
    <row r="3615" spans="93:93" x14ac:dyDescent="0.3">
      <c r="CO3615" s="15"/>
    </row>
    <row r="3616" spans="93:93" x14ac:dyDescent="0.3">
      <c r="CO3616" s="15"/>
    </row>
    <row r="3617" spans="93:93" x14ac:dyDescent="0.3">
      <c r="CO3617" s="15"/>
    </row>
    <row r="3618" spans="93:93" x14ac:dyDescent="0.3">
      <c r="CO3618" s="15"/>
    </row>
    <row r="3619" spans="93:93" x14ac:dyDescent="0.3">
      <c r="CO3619" s="15"/>
    </row>
    <row r="3620" spans="93:93" x14ac:dyDescent="0.3">
      <c r="CO3620" s="15"/>
    </row>
    <row r="3621" spans="93:93" x14ac:dyDescent="0.3">
      <c r="CO3621" s="15"/>
    </row>
    <row r="3622" spans="93:93" x14ac:dyDescent="0.3">
      <c r="CO3622" s="15"/>
    </row>
    <row r="3623" spans="93:93" x14ac:dyDescent="0.3">
      <c r="CO3623" s="15"/>
    </row>
    <row r="3624" spans="93:93" x14ac:dyDescent="0.3">
      <c r="CO3624" s="15"/>
    </row>
    <row r="3625" spans="93:93" x14ac:dyDescent="0.3">
      <c r="CO3625" s="15"/>
    </row>
    <row r="3626" spans="93:93" x14ac:dyDescent="0.3">
      <c r="CO3626" s="15"/>
    </row>
    <row r="3627" spans="93:93" x14ac:dyDescent="0.3">
      <c r="CO3627" s="15"/>
    </row>
    <row r="3628" spans="93:93" x14ac:dyDescent="0.3">
      <c r="CO3628" s="15"/>
    </row>
    <row r="3629" spans="93:93" x14ac:dyDescent="0.3">
      <c r="CO3629" s="15"/>
    </row>
    <row r="3630" spans="93:93" x14ac:dyDescent="0.3">
      <c r="CO3630" s="15"/>
    </row>
    <row r="3631" spans="93:93" x14ac:dyDescent="0.3">
      <c r="CO3631" s="15"/>
    </row>
    <row r="3632" spans="93:93" x14ac:dyDescent="0.3">
      <c r="CO3632" s="15"/>
    </row>
    <row r="3633" spans="93:93" x14ac:dyDescent="0.3">
      <c r="CO3633" s="15"/>
    </row>
    <row r="3634" spans="93:93" x14ac:dyDescent="0.3">
      <c r="CO3634" s="15"/>
    </row>
    <row r="3635" spans="93:93" x14ac:dyDescent="0.3">
      <c r="CO3635" s="15"/>
    </row>
    <row r="3636" spans="93:93" x14ac:dyDescent="0.3">
      <c r="CO3636" s="15"/>
    </row>
    <row r="3637" spans="93:93" x14ac:dyDescent="0.3">
      <c r="CO3637" s="15"/>
    </row>
    <row r="3638" spans="93:93" x14ac:dyDescent="0.3">
      <c r="CO3638" s="15"/>
    </row>
    <row r="3639" spans="93:93" x14ac:dyDescent="0.3">
      <c r="CO3639" s="15"/>
    </row>
    <row r="3640" spans="93:93" x14ac:dyDescent="0.3">
      <c r="CO3640" s="15"/>
    </row>
    <row r="3641" spans="93:93" x14ac:dyDescent="0.3">
      <c r="CO3641" s="15"/>
    </row>
    <row r="3642" spans="93:93" x14ac:dyDescent="0.3">
      <c r="CO3642" s="15"/>
    </row>
    <row r="3643" spans="93:93" x14ac:dyDescent="0.3">
      <c r="CO3643" s="15"/>
    </row>
    <row r="3644" spans="93:93" x14ac:dyDescent="0.3">
      <c r="CO3644" s="15"/>
    </row>
    <row r="3645" spans="93:93" x14ac:dyDescent="0.3">
      <c r="CO3645" s="15"/>
    </row>
    <row r="3646" spans="93:93" x14ac:dyDescent="0.3">
      <c r="CO3646" s="15"/>
    </row>
    <row r="3647" spans="93:93" x14ac:dyDescent="0.3">
      <c r="CO3647" s="15"/>
    </row>
    <row r="3648" spans="93:93" x14ac:dyDescent="0.3">
      <c r="CO3648" s="15"/>
    </row>
    <row r="3649" spans="93:93" x14ac:dyDescent="0.3">
      <c r="CO3649" s="15"/>
    </row>
    <row r="3650" spans="93:93" x14ac:dyDescent="0.3">
      <c r="CO3650" s="15"/>
    </row>
    <row r="3651" spans="93:93" x14ac:dyDescent="0.3">
      <c r="CO3651" s="15"/>
    </row>
    <row r="3652" spans="93:93" x14ac:dyDescent="0.3">
      <c r="CO3652" s="15"/>
    </row>
    <row r="3653" spans="93:93" x14ac:dyDescent="0.3">
      <c r="CO3653" s="15"/>
    </row>
    <row r="3654" spans="93:93" x14ac:dyDescent="0.3">
      <c r="CO3654" s="15"/>
    </row>
    <row r="3655" spans="93:93" x14ac:dyDescent="0.3">
      <c r="CO3655" s="15"/>
    </row>
    <row r="3656" spans="93:93" x14ac:dyDescent="0.3">
      <c r="CO3656" s="15"/>
    </row>
    <row r="3657" spans="93:93" x14ac:dyDescent="0.3">
      <c r="CO3657" s="15"/>
    </row>
    <row r="3658" spans="93:93" x14ac:dyDescent="0.3">
      <c r="CO3658" s="15"/>
    </row>
    <row r="3659" spans="93:93" x14ac:dyDescent="0.3">
      <c r="CO3659" s="15"/>
    </row>
    <row r="3660" spans="93:93" x14ac:dyDescent="0.3">
      <c r="CO3660" s="15"/>
    </row>
    <row r="3661" spans="93:93" x14ac:dyDescent="0.3">
      <c r="CO3661" s="15"/>
    </row>
    <row r="3662" spans="93:93" x14ac:dyDescent="0.3">
      <c r="CO3662" s="15"/>
    </row>
    <row r="3663" spans="93:93" x14ac:dyDescent="0.3">
      <c r="CO3663" s="15"/>
    </row>
    <row r="3664" spans="93:93" x14ac:dyDescent="0.3">
      <c r="CO3664" s="15"/>
    </row>
    <row r="3665" spans="93:93" x14ac:dyDescent="0.3">
      <c r="CO3665" s="15"/>
    </row>
    <row r="3666" spans="93:93" x14ac:dyDescent="0.3">
      <c r="CO3666" s="15"/>
    </row>
    <row r="3667" spans="93:93" x14ac:dyDescent="0.3">
      <c r="CO3667" s="15"/>
    </row>
    <row r="3668" spans="93:93" x14ac:dyDescent="0.3">
      <c r="CO3668" s="15"/>
    </row>
    <row r="3669" spans="93:93" x14ac:dyDescent="0.3">
      <c r="CO3669" s="15"/>
    </row>
    <row r="3670" spans="93:93" x14ac:dyDescent="0.3">
      <c r="CO3670" s="15"/>
    </row>
    <row r="3671" spans="93:93" x14ac:dyDescent="0.3">
      <c r="CO3671" s="15"/>
    </row>
    <row r="3672" spans="93:93" x14ac:dyDescent="0.3">
      <c r="CO3672" s="15"/>
    </row>
    <row r="3673" spans="93:93" x14ac:dyDescent="0.3">
      <c r="CO3673" s="15"/>
    </row>
    <row r="3674" spans="93:93" x14ac:dyDescent="0.3">
      <c r="CO3674" s="15"/>
    </row>
    <row r="3675" spans="93:93" x14ac:dyDescent="0.3">
      <c r="CO3675" s="15"/>
    </row>
    <row r="3676" spans="93:93" x14ac:dyDescent="0.3">
      <c r="CO3676" s="15"/>
    </row>
    <row r="3677" spans="93:93" x14ac:dyDescent="0.3">
      <c r="CO3677" s="15"/>
    </row>
    <row r="3678" spans="93:93" x14ac:dyDescent="0.3">
      <c r="CO3678" s="15"/>
    </row>
    <row r="3679" spans="93:93" x14ac:dyDescent="0.3">
      <c r="CO3679" s="15"/>
    </row>
    <row r="3680" spans="93:93" x14ac:dyDescent="0.3">
      <c r="CO3680" s="15"/>
    </row>
    <row r="3681" spans="93:93" x14ac:dyDescent="0.3">
      <c r="CO3681" s="15"/>
    </row>
    <row r="3682" spans="93:93" x14ac:dyDescent="0.3">
      <c r="CO3682" s="15"/>
    </row>
    <row r="3683" spans="93:93" x14ac:dyDescent="0.3">
      <c r="CO3683" s="15"/>
    </row>
    <row r="3684" spans="93:93" x14ac:dyDescent="0.3">
      <c r="CO3684" s="15"/>
    </row>
    <row r="3685" spans="93:93" x14ac:dyDescent="0.3">
      <c r="CO3685" s="15"/>
    </row>
    <row r="3686" spans="93:93" x14ac:dyDescent="0.3">
      <c r="CO3686" s="15"/>
    </row>
    <row r="3687" spans="93:93" x14ac:dyDescent="0.3">
      <c r="CO3687" s="15"/>
    </row>
    <row r="3688" spans="93:93" x14ac:dyDescent="0.3">
      <c r="CO3688" s="15"/>
    </row>
    <row r="3689" spans="93:93" x14ac:dyDescent="0.3">
      <c r="CO3689" s="15"/>
    </row>
    <row r="3690" spans="93:93" x14ac:dyDescent="0.3">
      <c r="CO3690" s="15"/>
    </row>
    <row r="3691" spans="93:93" x14ac:dyDescent="0.3">
      <c r="CO3691" s="15"/>
    </row>
    <row r="3692" spans="93:93" x14ac:dyDescent="0.3">
      <c r="CO3692" s="15"/>
    </row>
    <row r="3693" spans="93:93" x14ac:dyDescent="0.3">
      <c r="CO3693" s="15"/>
    </row>
    <row r="3694" spans="93:93" x14ac:dyDescent="0.3">
      <c r="CO3694" s="15"/>
    </row>
    <row r="3695" spans="93:93" x14ac:dyDescent="0.3">
      <c r="CO3695" s="15"/>
    </row>
    <row r="3696" spans="93:93" x14ac:dyDescent="0.3">
      <c r="CO3696" s="15"/>
    </row>
    <row r="3697" spans="93:93" x14ac:dyDescent="0.3">
      <c r="CO3697" s="15"/>
    </row>
    <row r="3698" spans="93:93" x14ac:dyDescent="0.3">
      <c r="CO3698" s="15"/>
    </row>
    <row r="3699" spans="93:93" x14ac:dyDescent="0.3">
      <c r="CO3699" s="15"/>
    </row>
    <row r="3700" spans="93:93" x14ac:dyDescent="0.3">
      <c r="CO3700" s="15"/>
    </row>
    <row r="3701" spans="93:93" x14ac:dyDescent="0.3">
      <c r="CO3701" s="15"/>
    </row>
    <row r="3702" spans="93:93" x14ac:dyDescent="0.3">
      <c r="CO3702" s="15"/>
    </row>
    <row r="3703" spans="93:93" x14ac:dyDescent="0.3">
      <c r="CO3703" s="15"/>
    </row>
    <row r="3704" spans="93:93" x14ac:dyDescent="0.3">
      <c r="CO3704" s="15"/>
    </row>
    <row r="3705" spans="93:93" x14ac:dyDescent="0.3">
      <c r="CO3705" s="15"/>
    </row>
    <row r="3706" spans="93:93" x14ac:dyDescent="0.3">
      <c r="CO3706" s="15"/>
    </row>
    <row r="3707" spans="93:93" x14ac:dyDescent="0.3">
      <c r="CO3707" s="15"/>
    </row>
    <row r="3708" spans="93:93" x14ac:dyDescent="0.3">
      <c r="CO3708" s="15"/>
    </row>
    <row r="3709" spans="93:93" x14ac:dyDescent="0.3">
      <c r="CO3709" s="15"/>
    </row>
    <row r="3710" spans="93:93" x14ac:dyDescent="0.3">
      <c r="CO3710" s="15"/>
    </row>
    <row r="3711" spans="93:93" x14ac:dyDescent="0.3">
      <c r="CO3711" s="15"/>
    </row>
    <row r="3712" spans="93:93" x14ac:dyDescent="0.3">
      <c r="CO3712" s="15"/>
    </row>
    <row r="3713" spans="93:93" x14ac:dyDescent="0.3">
      <c r="CO3713" s="15"/>
    </row>
    <row r="3714" spans="93:93" x14ac:dyDescent="0.3">
      <c r="CO3714" s="15"/>
    </row>
    <row r="3715" spans="93:93" x14ac:dyDescent="0.3">
      <c r="CO3715" s="15"/>
    </row>
    <row r="3716" spans="93:93" x14ac:dyDescent="0.3">
      <c r="CO3716" s="15"/>
    </row>
    <row r="3717" spans="93:93" x14ac:dyDescent="0.3">
      <c r="CO3717" s="15"/>
    </row>
    <row r="3718" spans="93:93" x14ac:dyDescent="0.3">
      <c r="CO3718" s="15"/>
    </row>
    <row r="3719" spans="93:93" x14ac:dyDescent="0.3">
      <c r="CO3719" s="15"/>
    </row>
    <row r="3720" spans="93:93" x14ac:dyDescent="0.3">
      <c r="CO3720" s="15"/>
    </row>
    <row r="3721" spans="93:93" x14ac:dyDescent="0.3">
      <c r="CO3721" s="15"/>
    </row>
    <row r="3722" spans="93:93" x14ac:dyDescent="0.3">
      <c r="CO3722" s="15"/>
    </row>
    <row r="3723" spans="93:93" x14ac:dyDescent="0.3">
      <c r="CO3723" s="15"/>
    </row>
    <row r="3724" spans="93:93" x14ac:dyDescent="0.3">
      <c r="CO3724" s="15"/>
    </row>
    <row r="3725" spans="93:93" x14ac:dyDescent="0.3">
      <c r="CO3725" s="15"/>
    </row>
    <row r="3726" spans="93:93" x14ac:dyDescent="0.3">
      <c r="CO3726" s="15"/>
    </row>
    <row r="3727" spans="93:93" x14ac:dyDescent="0.3">
      <c r="CO3727" s="15"/>
    </row>
    <row r="3728" spans="93:93" x14ac:dyDescent="0.3">
      <c r="CO3728" s="15"/>
    </row>
    <row r="3729" spans="93:93" x14ac:dyDescent="0.3">
      <c r="CO3729" s="15"/>
    </row>
    <row r="3730" spans="93:93" x14ac:dyDescent="0.3">
      <c r="CO3730" s="15"/>
    </row>
    <row r="3731" spans="93:93" x14ac:dyDescent="0.3">
      <c r="CO3731" s="15"/>
    </row>
    <row r="3732" spans="93:93" x14ac:dyDescent="0.3">
      <c r="CO3732" s="15"/>
    </row>
    <row r="3733" spans="93:93" x14ac:dyDescent="0.3">
      <c r="CO3733" s="15"/>
    </row>
    <row r="3734" spans="93:93" x14ac:dyDescent="0.3">
      <c r="CO3734" s="15"/>
    </row>
    <row r="3735" spans="93:93" x14ac:dyDescent="0.3">
      <c r="CO3735" s="15"/>
    </row>
    <row r="3736" spans="93:93" x14ac:dyDescent="0.3">
      <c r="CO3736" s="15"/>
    </row>
    <row r="3737" spans="93:93" x14ac:dyDescent="0.3">
      <c r="CO3737" s="15"/>
    </row>
    <row r="3738" spans="93:93" x14ac:dyDescent="0.3">
      <c r="CO3738" s="15"/>
    </row>
    <row r="3739" spans="93:93" x14ac:dyDescent="0.3">
      <c r="CO3739" s="15"/>
    </row>
    <row r="3740" spans="93:93" x14ac:dyDescent="0.3">
      <c r="CO3740" s="15"/>
    </row>
    <row r="3741" spans="93:93" x14ac:dyDescent="0.3">
      <c r="CO3741" s="15"/>
    </row>
    <row r="3742" spans="93:93" x14ac:dyDescent="0.3">
      <c r="CO3742" s="15"/>
    </row>
    <row r="3743" spans="93:93" x14ac:dyDescent="0.3">
      <c r="CO3743" s="15"/>
    </row>
    <row r="3744" spans="93:93" x14ac:dyDescent="0.3">
      <c r="CO3744" s="15"/>
    </row>
    <row r="3745" spans="93:93" x14ac:dyDescent="0.3">
      <c r="CO3745" s="15"/>
    </row>
    <row r="3746" spans="93:93" x14ac:dyDescent="0.3">
      <c r="CO3746" s="15"/>
    </row>
    <row r="3747" spans="93:93" x14ac:dyDescent="0.3">
      <c r="CO3747" s="15"/>
    </row>
    <row r="3748" spans="93:93" x14ac:dyDescent="0.3">
      <c r="CO3748" s="15"/>
    </row>
    <row r="3749" spans="93:93" x14ac:dyDescent="0.3">
      <c r="CO3749" s="15"/>
    </row>
    <row r="3750" spans="93:93" x14ac:dyDescent="0.3">
      <c r="CO3750" s="15"/>
    </row>
    <row r="3751" spans="93:93" x14ac:dyDescent="0.3">
      <c r="CO3751" s="15"/>
    </row>
    <row r="3752" spans="93:93" x14ac:dyDescent="0.3">
      <c r="CO3752" s="15"/>
    </row>
    <row r="3753" spans="93:93" x14ac:dyDescent="0.3">
      <c r="CO3753" s="15"/>
    </row>
    <row r="3754" spans="93:93" x14ac:dyDescent="0.3">
      <c r="CO3754" s="15"/>
    </row>
    <row r="3755" spans="93:93" x14ac:dyDescent="0.3">
      <c r="CO3755" s="15"/>
    </row>
    <row r="3756" spans="93:93" x14ac:dyDescent="0.3">
      <c r="CO3756" s="15"/>
    </row>
    <row r="3757" spans="93:93" x14ac:dyDescent="0.3">
      <c r="CO3757" s="15"/>
    </row>
    <row r="3758" spans="93:93" x14ac:dyDescent="0.3">
      <c r="CO3758" s="15"/>
    </row>
    <row r="3759" spans="93:93" x14ac:dyDescent="0.3">
      <c r="CO3759" s="15"/>
    </row>
    <row r="3760" spans="93:93" x14ac:dyDescent="0.3">
      <c r="CO3760" s="15"/>
    </row>
    <row r="3761" spans="93:93" x14ac:dyDescent="0.3">
      <c r="CO3761" s="15"/>
    </row>
    <row r="3762" spans="93:93" x14ac:dyDescent="0.3">
      <c r="CO3762" s="15"/>
    </row>
    <row r="3763" spans="93:93" x14ac:dyDescent="0.3">
      <c r="CO3763" s="15"/>
    </row>
    <row r="3764" spans="93:93" x14ac:dyDescent="0.3">
      <c r="CO3764" s="15"/>
    </row>
    <row r="3765" spans="93:93" x14ac:dyDescent="0.3">
      <c r="CO3765" s="15"/>
    </row>
    <row r="3766" spans="93:93" x14ac:dyDescent="0.3">
      <c r="CO3766" s="15"/>
    </row>
    <row r="3767" spans="93:93" x14ac:dyDescent="0.3">
      <c r="CO3767" s="15"/>
    </row>
    <row r="3768" spans="93:93" x14ac:dyDescent="0.3">
      <c r="CO3768" s="15"/>
    </row>
    <row r="3769" spans="93:93" x14ac:dyDescent="0.3">
      <c r="CO3769" s="15"/>
    </row>
    <row r="3770" spans="93:93" x14ac:dyDescent="0.3">
      <c r="CO3770" s="15"/>
    </row>
    <row r="3771" spans="93:93" x14ac:dyDescent="0.3">
      <c r="CO3771" s="15"/>
    </row>
    <row r="3772" spans="93:93" x14ac:dyDescent="0.3">
      <c r="CO3772" s="15"/>
    </row>
    <row r="3773" spans="93:93" x14ac:dyDescent="0.3">
      <c r="CO3773" s="15"/>
    </row>
    <row r="3774" spans="93:93" x14ac:dyDescent="0.3">
      <c r="CO3774" s="15"/>
    </row>
    <row r="3775" spans="93:93" x14ac:dyDescent="0.3">
      <c r="CO3775" s="15"/>
    </row>
    <row r="3776" spans="93:93" x14ac:dyDescent="0.3">
      <c r="CO3776" s="15"/>
    </row>
    <row r="3777" spans="93:93" x14ac:dyDescent="0.3">
      <c r="CO3777" s="15"/>
    </row>
    <row r="3778" spans="93:93" x14ac:dyDescent="0.3">
      <c r="CO3778" s="15"/>
    </row>
    <row r="3779" spans="93:93" x14ac:dyDescent="0.3">
      <c r="CO3779" s="15"/>
    </row>
    <row r="3780" spans="93:93" x14ac:dyDescent="0.3">
      <c r="CO3780" s="15"/>
    </row>
    <row r="3781" spans="93:93" x14ac:dyDescent="0.3">
      <c r="CO3781" s="15"/>
    </row>
    <row r="3782" spans="93:93" x14ac:dyDescent="0.3">
      <c r="CO3782" s="15"/>
    </row>
    <row r="3783" spans="93:93" x14ac:dyDescent="0.3">
      <c r="CO3783" s="15"/>
    </row>
    <row r="3784" spans="93:93" x14ac:dyDescent="0.3">
      <c r="CO3784" s="15"/>
    </row>
    <row r="3785" spans="93:93" x14ac:dyDescent="0.3">
      <c r="CO3785" s="15"/>
    </row>
    <row r="3786" spans="93:93" x14ac:dyDescent="0.3">
      <c r="CO3786" s="15"/>
    </row>
    <row r="3787" spans="93:93" x14ac:dyDescent="0.3">
      <c r="CO3787" s="15"/>
    </row>
    <row r="3788" spans="93:93" x14ac:dyDescent="0.3">
      <c r="CO3788" s="15"/>
    </row>
    <row r="3789" spans="93:93" x14ac:dyDescent="0.3">
      <c r="CO3789" s="15"/>
    </row>
    <row r="3790" spans="93:93" x14ac:dyDescent="0.3">
      <c r="CO3790" s="15"/>
    </row>
    <row r="3791" spans="93:93" x14ac:dyDescent="0.3">
      <c r="CO3791" s="15"/>
    </row>
    <row r="3792" spans="93:93" x14ac:dyDescent="0.3">
      <c r="CO3792" s="15"/>
    </row>
    <row r="3793" spans="93:93" x14ac:dyDescent="0.3">
      <c r="CO3793" s="15"/>
    </row>
    <row r="3794" spans="93:93" x14ac:dyDescent="0.3">
      <c r="CO3794" s="15"/>
    </row>
    <row r="3795" spans="93:93" x14ac:dyDescent="0.3">
      <c r="CO3795" s="15"/>
    </row>
    <row r="3796" spans="93:93" x14ac:dyDescent="0.3">
      <c r="CO3796" s="15"/>
    </row>
    <row r="3797" spans="93:93" x14ac:dyDescent="0.3">
      <c r="CO3797" s="15"/>
    </row>
    <row r="3798" spans="93:93" x14ac:dyDescent="0.3">
      <c r="CO3798" s="15"/>
    </row>
    <row r="3799" spans="93:93" x14ac:dyDescent="0.3">
      <c r="CO3799" s="15"/>
    </row>
    <row r="3800" spans="93:93" x14ac:dyDescent="0.3">
      <c r="CO3800" s="15"/>
    </row>
    <row r="3801" spans="93:93" x14ac:dyDescent="0.3">
      <c r="CO3801" s="15"/>
    </row>
    <row r="3802" spans="93:93" x14ac:dyDescent="0.3">
      <c r="CO3802" s="15"/>
    </row>
    <row r="3803" spans="93:93" x14ac:dyDescent="0.3">
      <c r="CO3803" s="15"/>
    </row>
    <row r="3804" spans="93:93" x14ac:dyDescent="0.3">
      <c r="CO3804" s="15"/>
    </row>
    <row r="3805" spans="93:93" x14ac:dyDescent="0.3">
      <c r="CO3805" s="15"/>
    </row>
    <row r="3806" spans="93:93" x14ac:dyDescent="0.3">
      <c r="CO3806" s="15"/>
    </row>
    <row r="3807" spans="93:93" x14ac:dyDescent="0.3">
      <c r="CO3807" s="15"/>
    </row>
    <row r="3808" spans="93:93" x14ac:dyDescent="0.3">
      <c r="CO3808" s="15"/>
    </row>
    <row r="3809" spans="93:93" x14ac:dyDescent="0.3">
      <c r="CO3809" s="15"/>
    </row>
    <row r="3810" spans="93:93" x14ac:dyDescent="0.3">
      <c r="CO3810" s="15"/>
    </row>
    <row r="3811" spans="93:93" x14ac:dyDescent="0.3">
      <c r="CO3811" s="15"/>
    </row>
    <row r="3812" spans="93:93" x14ac:dyDescent="0.3">
      <c r="CO3812" s="15"/>
    </row>
    <row r="3813" spans="93:93" x14ac:dyDescent="0.3">
      <c r="CO3813" s="15"/>
    </row>
    <row r="3814" spans="93:93" x14ac:dyDescent="0.3">
      <c r="CO3814" s="15"/>
    </row>
    <row r="3815" spans="93:93" x14ac:dyDescent="0.3">
      <c r="CO3815" s="15"/>
    </row>
    <row r="3816" spans="93:93" x14ac:dyDescent="0.3">
      <c r="CO3816" s="15"/>
    </row>
    <row r="3817" spans="93:93" x14ac:dyDescent="0.3">
      <c r="CO3817" s="15"/>
    </row>
    <row r="3818" spans="93:93" x14ac:dyDescent="0.3">
      <c r="CO3818" s="15"/>
    </row>
    <row r="3819" spans="93:93" x14ac:dyDescent="0.3">
      <c r="CO3819" s="15"/>
    </row>
    <row r="3820" spans="93:93" x14ac:dyDescent="0.3">
      <c r="CO3820" s="15"/>
    </row>
    <row r="3821" spans="93:93" x14ac:dyDescent="0.3">
      <c r="CO3821" s="15"/>
    </row>
    <row r="3822" spans="93:93" x14ac:dyDescent="0.3">
      <c r="CO3822" s="15"/>
    </row>
    <row r="3823" spans="93:93" x14ac:dyDescent="0.3">
      <c r="CO3823" s="15"/>
    </row>
    <row r="3824" spans="93:93" x14ac:dyDescent="0.3">
      <c r="CO3824" s="15"/>
    </row>
    <row r="3825" spans="93:93" x14ac:dyDescent="0.3">
      <c r="CO3825" s="15"/>
    </row>
    <row r="3826" spans="93:93" x14ac:dyDescent="0.3">
      <c r="CO3826" s="15"/>
    </row>
    <row r="3827" spans="93:93" x14ac:dyDescent="0.3">
      <c r="CO3827" s="15"/>
    </row>
    <row r="3828" spans="93:93" x14ac:dyDescent="0.3">
      <c r="CO3828" s="15"/>
    </row>
    <row r="3829" spans="93:93" x14ac:dyDescent="0.3">
      <c r="CO3829" s="15"/>
    </row>
    <row r="3830" spans="93:93" x14ac:dyDescent="0.3">
      <c r="CO3830" s="15"/>
    </row>
    <row r="3831" spans="93:93" x14ac:dyDescent="0.3">
      <c r="CO3831" s="15"/>
    </row>
    <row r="3832" spans="93:93" x14ac:dyDescent="0.3">
      <c r="CO3832" s="15"/>
    </row>
    <row r="3833" spans="93:93" x14ac:dyDescent="0.3">
      <c r="CO3833" s="15"/>
    </row>
    <row r="3834" spans="93:93" x14ac:dyDescent="0.3">
      <c r="CO3834" s="15"/>
    </row>
    <row r="3835" spans="93:93" x14ac:dyDescent="0.3">
      <c r="CO3835" s="15"/>
    </row>
    <row r="3836" spans="93:93" x14ac:dyDescent="0.3">
      <c r="CO3836" s="15"/>
    </row>
    <row r="3837" spans="93:93" x14ac:dyDescent="0.3">
      <c r="CO3837" s="15"/>
    </row>
    <row r="3838" spans="93:93" x14ac:dyDescent="0.3">
      <c r="CO3838" s="15"/>
    </row>
    <row r="3839" spans="93:93" x14ac:dyDescent="0.3">
      <c r="CO3839" s="15"/>
    </row>
    <row r="3840" spans="93:93" x14ac:dyDescent="0.3">
      <c r="CO3840" s="15"/>
    </row>
    <row r="3841" spans="93:93" x14ac:dyDescent="0.3">
      <c r="CO3841" s="15"/>
    </row>
    <row r="3842" spans="93:93" x14ac:dyDescent="0.3">
      <c r="CO3842" s="15"/>
    </row>
    <row r="3843" spans="93:93" x14ac:dyDescent="0.3">
      <c r="CO3843" s="15"/>
    </row>
    <row r="3844" spans="93:93" x14ac:dyDescent="0.3">
      <c r="CO3844" s="15"/>
    </row>
    <row r="3845" spans="93:93" x14ac:dyDescent="0.3">
      <c r="CO3845" s="15"/>
    </row>
    <row r="3846" spans="93:93" x14ac:dyDescent="0.3">
      <c r="CO3846" s="15"/>
    </row>
    <row r="3847" spans="93:93" x14ac:dyDescent="0.3">
      <c r="CO3847" s="15"/>
    </row>
    <row r="3848" spans="93:93" x14ac:dyDescent="0.3">
      <c r="CO3848" s="15"/>
    </row>
    <row r="3849" spans="93:93" x14ac:dyDescent="0.3">
      <c r="CO3849" s="15"/>
    </row>
    <row r="3850" spans="93:93" x14ac:dyDescent="0.3">
      <c r="CO3850" s="15"/>
    </row>
    <row r="3851" spans="93:93" x14ac:dyDescent="0.3">
      <c r="CO3851" s="15"/>
    </row>
    <row r="3852" spans="93:93" x14ac:dyDescent="0.3">
      <c r="CO3852" s="15"/>
    </row>
    <row r="3853" spans="93:93" x14ac:dyDescent="0.3">
      <c r="CO3853" s="15"/>
    </row>
    <row r="3854" spans="93:93" x14ac:dyDescent="0.3">
      <c r="CO3854" s="15"/>
    </row>
    <row r="3855" spans="93:93" x14ac:dyDescent="0.3">
      <c r="CO3855" s="15"/>
    </row>
    <row r="3856" spans="93:93" x14ac:dyDescent="0.3">
      <c r="CO3856" s="15"/>
    </row>
    <row r="3857" spans="93:93" x14ac:dyDescent="0.3">
      <c r="CO3857" s="15"/>
    </row>
    <row r="3858" spans="93:93" x14ac:dyDescent="0.3">
      <c r="CO3858" s="15"/>
    </row>
    <row r="3859" spans="93:93" x14ac:dyDescent="0.3">
      <c r="CO3859" s="15"/>
    </row>
    <row r="3860" spans="93:93" x14ac:dyDescent="0.3">
      <c r="CO3860" s="15"/>
    </row>
    <row r="3861" spans="93:93" x14ac:dyDescent="0.3">
      <c r="CO3861" s="15"/>
    </row>
    <row r="3862" spans="93:93" x14ac:dyDescent="0.3">
      <c r="CO3862" s="15"/>
    </row>
    <row r="3863" spans="93:93" x14ac:dyDescent="0.3">
      <c r="CO3863" s="15"/>
    </row>
    <row r="3864" spans="93:93" x14ac:dyDescent="0.3">
      <c r="CO3864" s="15"/>
    </row>
    <row r="3865" spans="93:93" x14ac:dyDescent="0.3">
      <c r="CO3865" s="15"/>
    </row>
    <row r="3866" spans="93:93" x14ac:dyDescent="0.3">
      <c r="CO3866" s="15"/>
    </row>
    <row r="3867" spans="93:93" x14ac:dyDescent="0.3">
      <c r="CO3867" s="15"/>
    </row>
    <row r="3868" spans="93:93" x14ac:dyDescent="0.3">
      <c r="CO3868" s="15"/>
    </row>
    <row r="3869" spans="93:93" x14ac:dyDescent="0.3">
      <c r="CO3869" s="15"/>
    </row>
    <row r="3870" spans="93:93" x14ac:dyDescent="0.3">
      <c r="CO3870" s="15"/>
    </row>
    <row r="3871" spans="93:93" x14ac:dyDescent="0.3">
      <c r="CO3871" s="15"/>
    </row>
    <row r="3872" spans="93:93" x14ac:dyDescent="0.3">
      <c r="CO3872" s="15"/>
    </row>
    <row r="3873" spans="93:93" x14ac:dyDescent="0.3">
      <c r="CO3873" s="15"/>
    </row>
    <row r="3874" spans="93:93" x14ac:dyDescent="0.3">
      <c r="CO3874" s="15"/>
    </row>
    <row r="3875" spans="93:93" x14ac:dyDescent="0.3">
      <c r="CO3875" s="15"/>
    </row>
    <row r="3876" spans="93:93" x14ac:dyDescent="0.3">
      <c r="CO3876" s="15"/>
    </row>
    <row r="3877" spans="93:93" x14ac:dyDescent="0.3">
      <c r="CO3877" s="15"/>
    </row>
    <row r="3878" spans="93:93" x14ac:dyDescent="0.3">
      <c r="CO3878" s="15"/>
    </row>
    <row r="3879" spans="93:93" x14ac:dyDescent="0.3">
      <c r="CO3879" s="15"/>
    </row>
    <row r="3880" spans="93:93" x14ac:dyDescent="0.3">
      <c r="CO3880" s="15"/>
    </row>
    <row r="3881" spans="93:93" x14ac:dyDescent="0.3">
      <c r="CO3881" s="15"/>
    </row>
    <row r="3882" spans="93:93" x14ac:dyDescent="0.3">
      <c r="CO3882" s="15"/>
    </row>
    <row r="3883" spans="93:93" x14ac:dyDescent="0.3">
      <c r="CO3883" s="15"/>
    </row>
    <row r="3884" spans="93:93" x14ac:dyDescent="0.3">
      <c r="CO3884" s="15"/>
    </row>
    <row r="3885" spans="93:93" x14ac:dyDescent="0.3">
      <c r="CO3885" s="15"/>
    </row>
    <row r="3886" spans="93:93" x14ac:dyDescent="0.3">
      <c r="CO3886" s="15"/>
    </row>
    <row r="3887" spans="93:93" x14ac:dyDescent="0.3">
      <c r="CO3887" s="15"/>
    </row>
    <row r="3888" spans="93:93" x14ac:dyDescent="0.3">
      <c r="CO3888" s="15"/>
    </row>
    <row r="3889" spans="93:93" x14ac:dyDescent="0.3">
      <c r="CO3889" s="15"/>
    </row>
    <row r="3890" spans="93:93" x14ac:dyDescent="0.3">
      <c r="CO3890" s="15"/>
    </row>
    <row r="3891" spans="93:93" x14ac:dyDescent="0.3">
      <c r="CO3891" s="15"/>
    </row>
    <row r="3892" spans="93:93" x14ac:dyDescent="0.3">
      <c r="CO3892" s="15"/>
    </row>
    <row r="3893" spans="93:93" x14ac:dyDescent="0.3">
      <c r="CO3893" s="15"/>
    </row>
    <row r="3894" spans="93:93" x14ac:dyDescent="0.3">
      <c r="CO3894" s="15"/>
    </row>
    <row r="3895" spans="93:93" x14ac:dyDescent="0.3">
      <c r="CO3895" s="15"/>
    </row>
    <row r="3896" spans="93:93" x14ac:dyDescent="0.3">
      <c r="CO3896" s="15"/>
    </row>
    <row r="3897" spans="93:93" x14ac:dyDescent="0.3">
      <c r="CO3897" s="15"/>
    </row>
    <row r="3898" spans="93:93" x14ac:dyDescent="0.3">
      <c r="CO3898" s="15"/>
    </row>
    <row r="3899" spans="93:93" x14ac:dyDescent="0.3">
      <c r="CO3899" s="15"/>
    </row>
    <row r="3900" spans="93:93" x14ac:dyDescent="0.3">
      <c r="CO3900" s="15"/>
    </row>
    <row r="3901" spans="93:93" x14ac:dyDescent="0.3">
      <c r="CO3901" s="15"/>
    </row>
    <row r="3902" spans="93:93" x14ac:dyDescent="0.3">
      <c r="CO3902" s="15"/>
    </row>
    <row r="3903" spans="93:93" x14ac:dyDescent="0.3">
      <c r="CO3903" s="15"/>
    </row>
    <row r="3904" spans="93:93" x14ac:dyDescent="0.3">
      <c r="CO3904" s="15"/>
    </row>
    <row r="3905" spans="93:93" x14ac:dyDescent="0.3">
      <c r="CO3905" s="15"/>
    </row>
    <row r="3906" spans="93:93" x14ac:dyDescent="0.3">
      <c r="CO3906" s="15"/>
    </row>
    <row r="3907" spans="93:93" x14ac:dyDescent="0.3">
      <c r="CO3907" s="15"/>
    </row>
    <row r="3908" spans="93:93" x14ac:dyDescent="0.3">
      <c r="CO3908" s="15"/>
    </row>
    <row r="3909" spans="93:93" x14ac:dyDescent="0.3">
      <c r="CO3909" s="15"/>
    </row>
    <row r="3910" spans="93:93" x14ac:dyDescent="0.3">
      <c r="CO3910" s="15"/>
    </row>
    <row r="3911" spans="93:93" x14ac:dyDescent="0.3">
      <c r="CO3911" s="15"/>
    </row>
    <row r="3912" spans="93:93" x14ac:dyDescent="0.3">
      <c r="CO3912" s="15"/>
    </row>
    <row r="3913" spans="93:93" x14ac:dyDescent="0.3">
      <c r="CO3913" s="15"/>
    </row>
    <row r="3914" spans="93:93" x14ac:dyDescent="0.3">
      <c r="CO3914" s="15"/>
    </row>
    <row r="3915" spans="93:93" x14ac:dyDescent="0.3">
      <c r="CO3915" s="15"/>
    </row>
    <row r="3916" spans="93:93" x14ac:dyDescent="0.3">
      <c r="CO3916" s="15"/>
    </row>
    <row r="3917" spans="93:93" x14ac:dyDescent="0.3">
      <c r="CO3917" s="15"/>
    </row>
    <row r="3918" spans="93:93" x14ac:dyDescent="0.3">
      <c r="CO3918" s="15"/>
    </row>
    <row r="3919" spans="93:93" x14ac:dyDescent="0.3">
      <c r="CO3919" s="15"/>
    </row>
    <row r="3920" spans="93:93" x14ac:dyDescent="0.3">
      <c r="CO3920" s="15"/>
    </row>
    <row r="3921" spans="93:93" x14ac:dyDescent="0.3">
      <c r="CO3921" s="15"/>
    </row>
    <row r="3922" spans="93:93" x14ac:dyDescent="0.3">
      <c r="CO3922" s="15"/>
    </row>
    <row r="3923" spans="93:93" x14ac:dyDescent="0.3">
      <c r="CO3923" s="15"/>
    </row>
    <row r="3924" spans="93:93" x14ac:dyDescent="0.3">
      <c r="CO3924" s="15"/>
    </row>
    <row r="3925" spans="93:93" x14ac:dyDescent="0.3">
      <c r="CO3925" s="15"/>
    </row>
    <row r="3926" spans="93:93" x14ac:dyDescent="0.3">
      <c r="CO3926" s="15"/>
    </row>
    <row r="3927" spans="93:93" x14ac:dyDescent="0.3">
      <c r="CO3927" s="15"/>
    </row>
    <row r="3928" spans="93:93" x14ac:dyDescent="0.3">
      <c r="CO3928" s="15"/>
    </row>
    <row r="3929" spans="93:93" x14ac:dyDescent="0.3">
      <c r="CO3929" s="15"/>
    </row>
    <row r="3930" spans="93:93" x14ac:dyDescent="0.3">
      <c r="CO3930" s="15"/>
    </row>
    <row r="3931" spans="93:93" x14ac:dyDescent="0.3">
      <c r="CO3931" s="15"/>
    </row>
    <row r="3932" spans="93:93" x14ac:dyDescent="0.3">
      <c r="CO3932" s="15"/>
    </row>
    <row r="3933" spans="93:93" x14ac:dyDescent="0.3">
      <c r="CO3933" s="15"/>
    </row>
    <row r="3934" spans="93:93" x14ac:dyDescent="0.3">
      <c r="CO3934" s="15"/>
    </row>
    <row r="3935" spans="93:93" x14ac:dyDescent="0.3">
      <c r="CO3935" s="15"/>
    </row>
    <row r="3936" spans="93:93" x14ac:dyDescent="0.3">
      <c r="CO3936" s="15"/>
    </row>
    <row r="3937" spans="93:93" x14ac:dyDescent="0.3">
      <c r="CO3937" s="15"/>
    </row>
    <row r="3938" spans="93:93" x14ac:dyDescent="0.3">
      <c r="CO3938" s="15"/>
    </row>
    <row r="3939" spans="93:93" x14ac:dyDescent="0.3">
      <c r="CO3939" s="15"/>
    </row>
    <row r="3940" spans="93:93" x14ac:dyDescent="0.3">
      <c r="CO3940" s="15"/>
    </row>
    <row r="3941" spans="93:93" x14ac:dyDescent="0.3">
      <c r="CO3941" s="15"/>
    </row>
    <row r="3942" spans="93:93" x14ac:dyDescent="0.3">
      <c r="CO3942" s="15"/>
    </row>
    <row r="3943" spans="93:93" x14ac:dyDescent="0.3">
      <c r="CO3943" s="15"/>
    </row>
    <row r="3944" spans="93:93" x14ac:dyDescent="0.3">
      <c r="CO3944" s="15"/>
    </row>
    <row r="3945" spans="93:93" x14ac:dyDescent="0.3">
      <c r="CO3945" s="15"/>
    </row>
    <row r="3946" spans="93:93" x14ac:dyDescent="0.3">
      <c r="CO3946" s="15"/>
    </row>
    <row r="3947" spans="93:93" x14ac:dyDescent="0.3">
      <c r="CO3947" s="15"/>
    </row>
    <row r="3948" spans="93:93" x14ac:dyDescent="0.3">
      <c r="CO3948" s="15"/>
    </row>
    <row r="3949" spans="93:93" x14ac:dyDescent="0.3">
      <c r="CO3949" s="15"/>
    </row>
    <row r="3950" spans="93:93" x14ac:dyDescent="0.3">
      <c r="CO3950" s="15"/>
    </row>
    <row r="3951" spans="93:93" x14ac:dyDescent="0.3">
      <c r="CO3951" s="15"/>
    </row>
    <row r="3952" spans="93:93" x14ac:dyDescent="0.3">
      <c r="CO3952" s="15"/>
    </row>
    <row r="3953" spans="93:93" x14ac:dyDescent="0.3">
      <c r="CO3953" s="15"/>
    </row>
    <row r="3954" spans="93:93" x14ac:dyDescent="0.3">
      <c r="CO3954" s="15"/>
    </row>
    <row r="3955" spans="93:93" x14ac:dyDescent="0.3">
      <c r="CO3955" s="15"/>
    </row>
    <row r="3956" spans="93:93" x14ac:dyDescent="0.3">
      <c r="CO3956" s="15"/>
    </row>
    <row r="3957" spans="93:93" x14ac:dyDescent="0.3">
      <c r="CO3957" s="15"/>
    </row>
    <row r="3958" spans="93:93" x14ac:dyDescent="0.3">
      <c r="CO3958" s="15"/>
    </row>
    <row r="3959" spans="93:93" x14ac:dyDescent="0.3">
      <c r="CO3959" s="15"/>
    </row>
    <row r="3960" spans="93:93" x14ac:dyDescent="0.3">
      <c r="CO3960" s="15"/>
    </row>
    <row r="3961" spans="93:93" x14ac:dyDescent="0.3">
      <c r="CO3961" s="15"/>
    </row>
    <row r="3962" spans="93:93" x14ac:dyDescent="0.3">
      <c r="CO3962" s="15"/>
    </row>
    <row r="3963" spans="93:93" x14ac:dyDescent="0.3">
      <c r="CO3963" s="15"/>
    </row>
    <row r="3964" spans="93:93" x14ac:dyDescent="0.3">
      <c r="CO3964" s="15"/>
    </row>
    <row r="3965" spans="93:93" x14ac:dyDescent="0.3">
      <c r="CO3965" s="15"/>
    </row>
    <row r="3966" spans="93:93" x14ac:dyDescent="0.3">
      <c r="CO3966" s="15"/>
    </row>
    <row r="3967" spans="93:93" x14ac:dyDescent="0.3">
      <c r="CO3967" s="15"/>
    </row>
    <row r="3968" spans="93:93" x14ac:dyDescent="0.3">
      <c r="CO3968" s="15"/>
    </row>
    <row r="3969" spans="93:93" x14ac:dyDescent="0.3">
      <c r="CO3969" s="15"/>
    </row>
    <row r="3970" spans="93:93" x14ac:dyDescent="0.3">
      <c r="CO3970" s="15"/>
    </row>
    <row r="3971" spans="93:93" x14ac:dyDescent="0.3">
      <c r="CO3971" s="15"/>
    </row>
    <row r="3972" spans="93:93" x14ac:dyDescent="0.3">
      <c r="CO3972" s="15"/>
    </row>
    <row r="3973" spans="93:93" x14ac:dyDescent="0.3">
      <c r="CO3973" s="15"/>
    </row>
    <row r="3974" spans="93:93" x14ac:dyDescent="0.3">
      <c r="CO3974" s="15"/>
    </row>
    <row r="3975" spans="93:93" x14ac:dyDescent="0.3">
      <c r="CO3975" s="15"/>
    </row>
    <row r="3976" spans="93:93" x14ac:dyDescent="0.3">
      <c r="CO3976" s="15"/>
    </row>
    <row r="3977" spans="93:93" x14ac:dyDescent="0.3">
      <c r="CO3977" s="15"/>
    </row>
    <row r="3978" spans="93:93" x14ac:dyDescent="0.3">
      <c r="CO3978" s="15"/>
    </row>
    <row r="3979" spans="93:93" x14ac:dyDescent="0.3">
      <c r="CO3979" s="15"/>
    </row>
    <row r="3980" spans="93:93" x14ac:dyDescent="0.3">
      <c r="CO3980" s="15"/>
    </row>
    <row r="3981" spans="93:93" x14ac:dyDescent="0.3">
      <c r="CO3981" s="15"/>
    </row>
    <row r="3982" spans="93:93" x14ac:dyDescent="0.3">
      <c r="CO3982" s="15"/>
    </row>
    <row r="3983" spans="93:93" x14ac:dyDescent="0.3">
      <c r="CO3983" s="15"/>
    </row>
    <row r="3984" spans="93:93" x14ac:dyDescent="0.3">
      <c r="CO3984" s="15"/>
    </row>
    <row r="3985" spans="93:93" x14ac:dyDescent="0.3">
      <c r="CO3985" s="15"/>
    </row>
    <row r="3986" spans="93:93" x14ac:dyDescent="0.3">
      <c r="CO3986" s="15"/>
    </row>
    <row r="3987" spans="93:93" x14ac:dyDescent="0.3">
      <c r="CO3987" s="15"/>
    </row>
    <row r="3988" spans="93:93" x14ac:dyDescent="0.3">
      <c r="CO3988" s="15"/>
    </row>
    <row r="3989" spans="93:93" x14ac:dyDescent="0.3">
      <c r="CO3989" s="15"/>
    </row>
    <row r="3990" spans="93:93" x14ac:dyDescent="0.3">
      <c r="CO3990" s="15"/>
    </row>
    <row r="3991" spans="93:93" x14ac:dyDescent="0.3">
      <c r="CO3991" s="15"/>
    </row>
    <row r="3992" spans="93:93" x14ac:dyDescent="0.3">
      <c r="CO3992" s="15"/>
    </row>
    <row r="3993" spans="93:93" x14ac:dyDescent="0.3">
      <c r="CO3993" s="15"/>
    </row>
    <row r="3994" spans="93:93" x14ac:dyDescent="0.3">
      <c r="CO3994" s="15"/>
    </row>
    <row r="3995" spans="93:93" x14ac:dyDescent="0.3">
      <c r="CO3995" s="15"/>
    </row>
    <row r="3996" spans="93:93" x14ac:dyDescent="0.3">
      <c r="CO3996" s="15"/>
    </row>
    <row r="3997" spans="93:93" x14ac:dyDescent="0.3">
      <c r="CO3997" s="15"/>
    </row>
    <row r="3998" spans="93:93" x14ac:dyDescent="0.3">
      <c r="CO3998" s="15"/>
    </row>
    <row r="3999" spans="93:93" x14ac:dyDescent="0.3">
      <c r="CO3999" s="15"/>
    </row>
    <row r="4000" spans="93:93" x14ac:dyDescent="0.3">
      <c r="CO4000" s="15"/>
    </row>
    <row r="4001" spans="93:93" x14ac:dyDescent="0.3">
      <c r="CO4001" s="15"/>
    </row>
    <row r="4002" spans="93:93" x14ac:dyDescent="0.3">
      <c r="CO4002" s="15"/>
    </row>
    <row r="4003" spans="93:93" x14ac:dyDescent="0.3">
      <c r="CO4003" s="15"/>
    </row>
    <row r="4004" spans="93:93" x14ac:dyDescent="0.3">
      <c r="CO4004" s="15"/>
    </row>
    <row r="4005" spans="93:93" x14ac:dyDescent="0.3">
      <c r="CO4005" s="15"/>
    </row>
    <row r="4006" spans="93:93" x14ac:dyDescent="0.3">
      <c r="CO4006" s="15"/>
    </row>
    <row r="4007" spans="93:93" x14ac:dyDescent="0.3">
      <c r="CO4007" s="15"/>
    </row>
    <row r="4008" spans="93:93" x14ac:dyDescent="0.3">
      <c r="CO4008" s="15"/>
    </row>
    <row r="4009" spans="93:93" x14ac:dyDescent="0.3">
      <c r="CO4009" s="15"/>
    </row>
    <row r="4010" spans="93:93" x14ac:dyDescent="0.3">
      <c r="CO4010" s="15"/>
    </row>
    <row r="4011" spans="93:93" x14ac:dyDescent="0.3">
      <c r="CO4011" s="15"/>
    </row>
    <row r="4012" spans="93:93" x14ac:dyDescent="0.3">
      <c r="CO4012" s="15"/>
    </row>
    <row r="4013" spans="93:93" x14ac:dyDescent="0.3">
      <c r="CO4013" s="15"/>
    </row>
    <row r="4014" spans="93:93" x14ac:dyDescent="0.3">
      <c r="CO4014" s="15"/>
    </row>
    <row r="4015" spans="93:93" x14ac:dyDescent="0.3">
      <c r="CO4015" s="15"/>
    </row>
    <row r="4016" spans="93:93" x14ac:dyDescent="0.3">
      <c r="CO4016" s="15"/>
    </row>
    <row r="4017" spans="93:93" x14ac:dyDescent="0.3">
      <c r="CO4017" s="15"/>
    </row>
    <row r="4018" spans="93:93" x14ac:dyDescent="0.3">
      <c r="CO4018" s="15"/>
    </row>
    <row r="4019" spans="93:93" x14ac:dyDescent="0.3">
      <c r="CO4019" s="15"/>
    </row>
    <row r="4020" spans="93:93" x14ac:dyDescent="0.3">
      <c r="CO4020" s="15"/>
    </row>
    <row r="4021" spans="93:93" x14ac:dyDescent="0.3">
      <c r="CO4021" s="15"/>
    </row>
    <row r="4022" spans="93:93" x14ac:dyDescent="0.3">
      <c r="CO4022" s="15"/>
    </row>
    <row r="4023" spans="93:93" x14ac:dyDescent="0.3">
      <c r="CO4023" s="15"/>
    </row>
    <row r="4024" spans="93:93" x14ac:dyDescent="0.3">
      <c r="CO4024" s="15"/>
    </row>
    <row r="4025" spans="93:93" x14ac:dyDescent="0.3">
      <c r="CO4025" s="15"/>
    </row>
    <row r="4026" spans="93:93" x14ac:dyDescent="0.3">
      <c r="CO4026" s="15"/>
    </row>
    <row r="4027" spans="93:93" x14ac:dyDescent="0.3">
      <c r="CO4027" s="15"/>
    </row>
    <row r="4028" spans="93:93" x14ac:dyDescent="0.3">
      <c r="CO4028" s="15"/>
    </row>
    <row r="4029" spans="93:93" x14ac:dyDescent="0.3">
      <c r="CO4029" s="15"/>
    </row>
    <row r="4030" spans="93:93" x14ac:dyDescent="0.3">
      <c r="CO4030" s="15"/>
    </row>
    <row r="4031" spans="93:93" x14ac:dyDescent="0.3">
      <c r="CO4031" s="15"/>
    </row>
    <row r="4032" spans="93:93" x14ac:dyDescent="0.3">
      <c r="CO4032" s="15"/>
    </row>
    <row r="4033" spans="93:93" x14ac:dyDescent="0.3">
      <c r="CO4033" s="15"/>
    </row>
    <row r="4034" spans="93:93" x14ac:dyDescent="0.3">
      <c r="CO4034" s="15"/>
    </row>
    <row r="4035" spans="93:93" x14ac:dyDescent="0.3">
      <c r="CO4035" s="15"/>
    </row>
    <row r="4036" spans="93:93" x14ac:dyDescent="0.3">
      <c r="CO4036" s="15"/>
    </row>
    <row r="4037" spans="93:93" x14ac:dyDescent="0.3">
      <c r="CO4037" s="15"/>
    </row>
    <row r="4038" spans="93:93" x14ac:dyDescent="0.3">
      <c r="CO4038" s="15"/>
    </row>
    <row r="4039" spans="93:93" x14ac:dyDescent="0.3">
      <c r="CO4039" s="15"/>
    </row>
    <row r="4040" spans="93:93" x14ac:dyDescent="0.3">
      <c r="CO4040" s="15"/>
    </row>
    <row r="4041" spans="93:93" x14ac:dyDescent="0.3">
      <c r="CO4041" s="15"/>
    </row>
    <row r="4042" spans="93:93" x14ac:dyDescent="0.3">
      <c r="CO4042" s="15"/>
    </row>
    <row r="4043" spans="93:93" x14ac:dyDescent="0.3">
      <c r="CO4043" s="15"/>
    </row>
    <row r="4044" spans="93:93" x14ac:dyDescent="0.3">
      <c r="CO4044" s="15"/>
    </row>
    <row r="4045" spans="93:93" x14ac:dyDescent="0.3">
      <c r="CO4045" s="15"/>
    </row>
    <row r="4046" spans="93:93" x14ac:dyDescent="0.3">
      <c r="CO4046" s="15"/>
    </row>
    <row r="4047" spans="93:93" x14ac:dyDescent="0.3">
      <c r="CO4047" s="15"/>
    </row>
    <row r="4048" spans="93:93" x14ac:dyDescent="0.3">
      <c r="CO4048" s="15"/>
    </row>
    <row r="4049" spans="93:93" x14ac:dyDescent="0.3">
      <c r="CO4049" s="15"/>
    </row>
    <row r="4050" spans="93:93" x14ac:dyDescent="0.3">
      <c r="CO4050" s="15"/>
    </row>
    <row r="4051" spans="93:93" x14ac:dyDescent="0.3">
      <c r="CO4051" s="15"/>
    </row>
    <row r="4052" spans="93:93" x14ac:dyDescent="0.3">
      <c r="CO4052" s="15"/>
    </row>
    <row r="4053" spans="93:93" x14ac:dyDescent="0.3">
      <c r="CO4053" s="15"/>
    </row>
    <row r="4054" spans="93:93" x14ac:dyDescent="0.3">
      <c r="CO4054" s="15"/>
    </row>
    <row r="4055" spans="93:93" x14ac:dyDescent="0.3">
      <c r="CO4055" s="15"/>
    </row>
    <row r="4056" spans="93:93" x14ac:dyDescent="0.3">
      <c r="CO4056" s="15"/>
    </row>
    <row r="4057" spans="93:93" x14ac:dyDescent="0.3">
      <c r="CO4057" s="15"/>
    </row>
    <row r="4058" spans="93:93" x14ac:dyDescent="0.3">
      <c r="CO4058" s="15"/>
    </row>
    <row r="4059" spans="93:93" x14ac:dyDescent="0.3">
      <c r="CO4059" s="15"/>
    </row>
    <row r="4060" spans="93:93" x14ac:dyDescent="0.3">
      <c r="CO4060" s="15"/>
    </row>
    <row r="4061" spans="93:93" x14ac:dyDescent="0.3">
      <c r="CO4061" s="15"/>
    </row>
    <row r="4062" spans="93:93" x14ac:dyDescent="0.3">
      <c r="CO4062" s="15"/>
    </row>
    <row r="4063" spans="93:93" x14ac:dyDescent="0.3">
      <c r="CO4063" s="15"/>
    </row>
    <row r="4064" spans="93:93" x14ac:dyDescent="0.3">
      <c r="CO4064" s="15"/>
    </row>
    <row r="4065" spans="93:93" x14ac:dyDescent="0.3">
      <c r="CO4065" s="15"/>
    </row>
    <row r="4066" spans="93:93" x14ac:dyDescent="0.3">
      <c r="CO4066" s="15"/>
    </row>
    <row r="4067" spans="93:93" x14ac:dyDescent="0.3">
      <c r="CO4067" s="15"/>
    </row>
    <row r="4068" spans="93:93" x14ac:dyDescent="0.3">
      <c r="CO4068" s="15"/>
    </row>
    <row r="4069" spans="93:93" x14ac:dyDescent="0.3">
      <c r="CO4069" s="15"/>
    </row>
    <row r="4070" spans="93:93" x14ac:dyDescent="0.3">
      <c r="CO4070" s="15"/>
    </row>
    <row r="4071" spans="93:93" x14ac:dyDescent="0.3">
      <c r="CO4071" s="15"/>
    </row>
    <row r="4072" spans="93:93" x14ac:dyDescent="0.3">
      <c r="CO4072" s="15"/>
    </row>
    <row r="4073" spans="93:93" x14ac:dyDescent="0.3">
      <c r="CO4073" s="15"/>
    </row>
    <row r="4074" spans="93:93" x14ac:dyDescent="0.3">
      <c r="CO4074" s="15"/>
    </row>
    <row r="4075" spans="93:93" x14ac:dyDescent="0.3">
      <c r="CO4075" s="15"/>
    </row>
    <row r="4076" spans="93:93" x14ac:dyDescent="0.3">
      <c r="CO4076" s="15"/>
    </row>
    <row r="4077" spans="93:93" x14ac:dyDescent="0.3">
      <c r="CO4077" s="15"/>
    </row>
    <row r="4078" spans="93:93" x14ac:dyDescent="0.3">
      <c r="CO4078" s="15"/>
    </row>
    <row r="4079" spans="93:93" x14ac:dyDescent="0.3">
      <c r="CO4079" s="15"/>
    </row>
    <row r="4080" spans="93:93" x14ac:dyDescent="0.3">
      <c r="CO4080" s="15"/>
    </row>
    <row r="4081" spans="93:93" x14ac:dyDescent="0.3">
      <c r="CO4081" s="15"/>
    </row>
    <row r="4082" spans="93:93" x14ac:dyDescent="0.3">
      <c r="CO4082" s="15"/>
    </row>
    <row r="4083" spans="93:93" x14ac:dyDescent="0.3">
      <c r="CO4083" s="15"/>
    </row>
    <row r="4084" spans="93:93" x14ac:dyDescent="0.3">
      <c r="CO4084" s="15"/>
    </row>
    <row r="4085" spans="93:93" x14ac:dyDescent="0.3">
      <c r="CO4085" s="15"/>
    </row>
    <row r="4086" spans="93:93" x14ac:dyDescent="0.3">
      <c r="CO4086" s="15"/>
    </row>
    <row r="4087" spans="93:93" x14ac:dyDescent="0.3">
      <c r="CO4087" s="15"/>
    </row>
    <row r="4088" spans="93:93" x14ac:dyDescent="0.3">
      <c r="CO4088" s="15"/>
    </row>
    <row r="4089" spans="93:93" x14ac:dyDescent="0.3">
      <c r="CO4089" s="15"/>
    </row>
    <row r="4090" spans="93:93" x14ac:dyDescent="0.3">
      <c r="CO4090" s="15"/>
    </row>
    <row r="4091" spans="93:93" x14ac:dyDescent="0.3">
      <c r="CO4091" s="15"/>
    </row>
    <row r="4092" spans="93:93" x14ac:dyDescent="0.3">
      <c r="CO4092" s="15"/>
    </row>
    <row r="4093" spans="93:93" x14ac:dyDescent="0.3">
      <c r="CO4093" s="15"/>
    </row>
    <row r="4094" spans="93:93" x14ac:dyDescent="0.3">
      <c r="CO4094" s="15"/>
    </row>
    <row r="4095" spans="93:93" x14ac:dyDescent="0.3">
      <c r="CO4095" s="15"/>
    </row>
    <row r="4096" spans="93:93" x14ac:dyDescent="0.3">
      <c r="CO4096" s="15"/>
    </row>
    <row r="4097" spans="93:93" x14ac:dyDescent="0.3">
      <c r="CO4097" s="15"/>
    </row>
    <row r="4098" spans="93:93" x14ac:dyDescent="0.3">
      <c r="CO4098" s="15"/>
    </row>
    <row r="4099" spans="93:93" x14ac:dyDescent="0.3">
      <c r="CO4099" s="15"/>
    </row>
    <row r="4100" spans="93:93" x14ac:dyDescent="0.3">
      <c r="CO4100" s="15"/>
    </row>
    <row r="4101" spans="93:93" x14ac:dyDescent="0.3">
      <c r="CO4101" s="15"/>
    </row>
    <row r="4102" spans="93:93" x14ac:dyDescent="0.3">
      <c r="CO4102" s="15"/>
    </row>
    <row r="4103" spans="93:93" x14ac:dyDescent="0.3">
      <c r="CO4103" s="15"/>
    </row>
    <row r="4104" spans="93:93" x14ac:dyDescent="0.3">
      <c r="CO4104" s="15"/>
    </row>
    <row r="4105" spans="93:93" x14ac:dyDescent="0.3">
      <c r="CO4105" s="15"/>
    </row>
    <row r="4106" spans="93:93" x14ac:dyDescent="0.3">
      <c r="CO4106" s="15"/>
    </row>
    <row r="4107" spans="93:93" x14ac:dyDescent="0.3">
      <c r="CO4107" s="15"/>
    </row>
    <row r="4108" spans="93:93" x14ac:dyDescent="0.3">
      <c r="CO4108" s="15"/>
    </row>
    <row r="4109" spans="93:93" x14ac:dyDescent="0.3">
      <c r="CO4109" s="15"/>
    </row>
    <row r="4110" spans="93:93" x14ac:dyDescent="0.3">
      <c r="CO4110" s="15"/>
    </row>
    <row r="4111" spans="93:93" x14ac:dyDescent="0.3">
      <c r="CO4111" s="15"/>
    </row>
    <row r="4112" spans="93:93" x14ac:dyDescent="0.3">
      <c r="CO4112" s="15"/>
    </row>
    <row r="4113" spans="93:93" x14ac:dyDescent="0.3">
      <c r="CO4113" s="15"/>
    </row>
    <row r="4114" spans="93:93" x14ac:dyDescent="0.3">
      <c r="CO4114" s="15"/>
    </row>
    <row r="4115" spans="93:93" x14ac:dyDescent="0.3">
      <c r="CO4115" s="15"/>
    </row>
    <row r="4116" spans="93:93" x14ac:dyDescent="0.3">
      <c r="CO4116" s="15"/>
    </row>
    <row r="4117" spans="93:93" x14ac:dyDescent="0.3">
      <c r="CO4117" s="15"/>
    </row>
    <row r="4118" spans="93:93" x14ac:dyDescent="0.3">
      <c r="CO4118" s="15"/>
    </row>
    <row r="4119" spans="93:93" x14ac:dyDescent="0.3">
      <c r="CO4119" s="15"/>
    </row>
    <row r="4120" spans="93:93" x14ac:dyDescent="0.3">
      <c r="CO4120" s="15"/>
    </row>
    <row r="4121" spans="93:93" x14ac:dyDescent="0.3">
      <c r="CO4121" s="15"/>
    </row>
    <row r="4122" spans="93:93" x14ac:dyDescent="0.3">
      <c r="CO4122" s="15"/>
    </row>
    <row r="4123" spans="93:93" x14ac:dyDescent="0.3">
      <c r="CO4123" s="15"/>
    </row>
    <row r="4124" spans="93:93" x14ac:dyDescent="0.3">
      <c r="CO4124" s="15"/>
    </row>
    <row r="4125" spans="93:93" x14ac:dyDescent="0.3">
      <c r="CO4125" s="15"/>
    </row>
    <row r="4126" spans="93:93" x14ac:dyDescent="0.3">
      <c r="CO4126" s="15"/>
    </row>
    <row r="4127" spans="93:93" x14ac:dyDescent="0.3">
      <c r="CO4127" s="15"/>
    </row>
    <row r="4128" spans="93:93" x14ac:dyDescent="0.3">
      <c r="CO4128" s="15"/>
    </row>
    <row r="4129" spans="93:93" x14ac:dyDescent="0.3">
      <c r="CO4129" s="15"/>
    </row>
    <row r="4130" spans="93:93" x14ac:dyDescent="0.3">
      <c r="CO4130" s="15"/>
    </row>
    <row r="4131" spans="93:93" x14ac:dyDescent="0.3">
      <c r="CO4131" s="15"/>
    </row>
    <row r="4132" spans="93:93" x14ac:dyDescent="0.3">
      <c r="CO4132" s="15"/>
    </row>
    <row r="4133" spans="93:93" x14ac:dyDescent="0.3">
      <c r="CO4133" s="15"/>
    </row>
    <row r="4134" spans="93:93" x14ac:dyDescent="0.3">
      <c r="CO4134" s="15"/>
    </row>
    <row r="4135" spans="93:93" x14ac:dyDescent="0.3">
      <c r="CO4135" s="15"/>
    </row>
    <row r="4136" spans="93:93" x14ac:dyDescent="0.3">
      <c r="CO4136" s="15"/>
    </row>
    <row r="4137" spans="93:93" x14ac:dyDescent="0.3">
      <c r="CO4137" s="15"/>
    </row>
    <row r="4138" spans="93:93" x14ac:dyDescent="0.3">
      <c r="CO4138" s="15"/>
    </row>
    <row r="4139" spans="93:93" x14ac:dyDescent="0.3">
      <c r="CO4139" s="15"/>
    </row>
    <row r="4140" spans="93:93" x14ac:dyDescent="0.3">
      <c r="CO4140" s="15"/>
    </row>
    <row r="4141" spans="93:93" x14ac:dyDescent="0.3">
      <c r="CO4141" s="15"/>
    </row>
    <row r="4142" spans="93:93" x14ac:dyDescent="0.3">
      <c r="CO4142" s="15"/>
    </row>
    <row r="4143" spans="93:93" x14ac:dyDescent="0.3">
      <c r="CO4143" s="15"/>
    </row>
    <row r="4144" spans="93:93" x14ac:dyDescent="0.3">
      <c r="CO4144" s="15"/>
    </row>
    <row r="4145" spans="93:93" x14ac:dyDescent="0.3">
      <c r="CO4145" s="15"/>
    </row>
    <row r="4146" spans="93:93" x14ac:dyDescent="0.3">
      <c r="CO4146" s="15"/>
    </row>
    <row r="4147" spans="93:93" x14ac:dyDescent="0.3">
      <c r="CO4147" s="15"/>
    </row>
    <row r="4148" spans="93:93" x14ac:dyDescent="0.3">
      <c r="CO4148" s="15"/>
    </row>
    <row r="4149" spans="93:93" x14ac:dyDescent="0.3">
      <c r="CO4149" s="15"/>
    </row>
    <row r="4150" spans="93:93" x14ac:dyDescent="0.3">
      <c r="CO4150" s="15"/>
    </row>
    <row r="4151" spans="93:93" x14ac:dyDescent="0.3">
      <c r="CO4151" s="15"/>
    </row>
    <row r="4152" spans="93:93" x14ac:dyDescent="0.3">
      <c r="CO4152" s="15"/>
    </row>
    <row r="4153" spans="93:93" x14ac:dyDescent="0.3">
      <c r="CO4153" s="15"/>
    </row>
    <row r="4154" spans="93:93" x14ac:dyDescent="0.3">
      <c r="CO4154" s="15"/>
    </row>
    <row r="4155" spans="93:93" x14ac:dyDescent="0.3">
      <c r="CO4155" s="15"/>
    </row>
    <row r="4156" spans="93:93" x14ac:dyDescent="0.3">
      <c r="CO4156" s="15"/>
    </row>
    <row r="4157" spans="93:93" x14ac:dyDescent="0.3">
      <c r="CO4157" s="15"/>
    </row>
    <row r="4158" spans="93:93" x14ac:dyDescent="0.3">
      <c r="CO4158" s="15"/>
    </row>
    <row r="4159" spans="93:93" x14ac:dyDescent="0.3">
      <c r="CO4159" s="15"/>
    </row>
    <row r="4160" spans="93:93" x14ac:dyDescent="0.3">
      <c r="CO4160" s="15"/>
    </row>
    <row r="4161" spans="93:93" x14ac:dyDescent="0.3">
      <c r="CO4161" s="15"/>
    </row>
    <row r="4162" spans="93:93" x14ac:dyDescent="0.3">
      <c r="CO4162" s="15"/>
    </row>
    <row r="4163" spans="93:93" x14ac:dyDescent="0.3">
      <c r="CO4163" s="15"/>
    </row>
    <row r="4164" spans="93:93" x14ac:dyDescent="0.3">
      <c r="CO4164" s="15"/>
    </row>
    <row r="4165" spans="93:93" x14ac:dyDescent="0.3">
      <c r="CO4165" s="15"/>
    </row>
    <row r="4166" spans="93:93" x14ac:dyDescent="0.3">
      <c r="CO4166" s="15"/>
    </row>
    <row r="4167" spans="93:93" x14ac:dyDescent="0.3">
      <c r="CO4167" s="15"/>
    </row>
    <row r="4168" spans="93:93" x14ac:dyDescent="0.3">
      <c r="CO4168" s="15"/>
    </row>
    <row r="4169" spans="93:93" x14ac:dyDescent="0.3">
      <c r="CO4169" s="15"/>
    </row>
    <row r="4170" spans="93:93" x14ac:dyDescent="0.3">
      <c r="CO4170" s="15"/>
    </row>
    <row r="4171" spans="93:93" x14ac:dyDescent="0.3">
      <c r="CO4171" s="15"/>
    </row>
    <row r="4172" spans="93:93" x14ac:dyDescent="0.3">
      <c r="CO4172" s="15"/>
    </row>
    <row r="4173" spans="93:93" x14ac:dyDescent="0.3">
      <c r="CO4173" s="15"/>
    </row>
    <row r="4174" spans="93:93" x14ac:dyDescent="0.3">
      <c r="CO4174" s="15"/>
    </row>
    <row r="4175" spans="93:93" x14ac:dyDescent="0.3">
      <c r="CO4175" s="15"/>
    </row>
    <row r="4176" spans="93:93" x14ac:dyDescent="0.3">
      <c r="CO4176" s="15"/>
    </row>
    <row r="4177" spans="93:93" x14ac:dyDescent="0.3">
      <c r="CO4177" s="15"/>
    </row>
    <row r="4178" spans="93:93" x14ac:dyDescent="0.3">
      <c r="CO4178" s="15"/>
    </row>
    <row r="4179" spans="93:93" x14ac:dyDescent="0.3">
      <c r="CO4179" s="15"/>
    </row>
    <row r="4180" spans="93:93" x14ac:dyDescent="0.3">
      <c r="CO4180" s="15"/>
    </row>
    <row r="4181" spans="93:93" x14ac:dyDescent="0.3">
      <c r="CO4181" s="15"/>
    </row>
    <row r="4182" spans="93:93" x14ac:dyDescent="0.3">
      <c r="CO4182" s="15"/>
    </row>
    <row r="4183" spans="93:93" x14ac:dyDescent="0.3">
      <c r="CO4183" s="15"/>
    </row>
    <row r="4184" spans="93:93" x14ac:dyDescent="0.3">
      <c r="CO4184" s="15"/>
    </row>
    <row r="4185" spans="93:93" x14ac:dyDescent="0.3">
      <c r="CO4185" s="15"/>
    </row>
    <row r="4186" spans="93:93" x14ac:dyDescent="0.3">
      <c r="CO4186" s="15"/>
    </row>
    <row r="4187" spans="93:93" x14ac:dyDescent="0.3">
      <c r="CO4187" s="15"/>
    </row>
    <row r="4188" spans="93:93" x14ac:dyDescent="0.3">
      <c r="CO4188" s="15"/>
    </row>
    <row r="4189" spans="93:93" x14ac:dyDescent="0.3">
      <c r="CO4189" s="15"/>
    </row>
    <row r="4190" spans="93:93" x14ac:dyDescent="0.3">
      <c r="CO4190" s="15"/>
    </row>
    <row r="4191" spans="93:93" x14ac:dyDescent="0.3">
      <c r="CO4191" s="15"/>
    </row>
    <row r="4192" spans="93:93" x14ac:dyDescent="0.3">
      <c r="CO4192" s="15"/>
    </row>
    <row r="4193" spans="93:93" x14ac:dyDescent="0.3">
      <c r="CO4193" s="15"/>
    </row>
    <row r="4194" spans="93:93" x14ac:dyDescent="0.3">
      <c r="CO4194" s="15"/>
    </row>
    <row r="4195" spans="93:93" x14ac:dyDescent="0.3">
      <c r="CO4195" s="15"/>
    </row>
    <row r="4196" spans="93:93" x14ac:dyDescent="0.3">
      <c r="CO4196" s="15"/>
    </row>
    <row r="4197" spans="93:93" x14ac:dyDescent="0.3">
      <c r="CO4197" s="15"/>
    </row>
    <row r="4198" spans="93:93" x14ac:dyDescent="0.3">
      <c r="CO4198" s="15"/>
    </row>
    <row r="4199" spans="93:93" x14ac:dyDescent="0.3">
      <c r="CO4199" s="15"/>
    </row>
    <row r="4200" spans="93:93" x14ac:dyDescent="0.3">
      <c r="CO4200" s="15"/>
    </row>
    <row r="4201" spans="93:93" x14ac:dyDescent="0.3">
      <c r="CO4201" s="15"/>
    </row>
    <row r="4202" spans="93:93" x14ac:dyDescent="0.3">
      <c r="CO4202" s="15"/>
    </row>
    <row r="4203" spans="93:93" x14ac:dyDescent="0.3">
      <c r="CO4203" s="15"/>
    </row>
    <row r="4204" spans="93:93" x14ac:dyDescent="0.3">
      <c r="CO4204" s="15"/>
    </row>
    <row r="4205" spans="93:93" x14ac:dyDescent="0.3">
      <c r="CO4205" s="15"/>
    </row>
    <row r="4206" spans="93:93" x14ac:dyDescent="0.3">
      <c r="CO4206" s="15"/>
    </row>
    <row r="4207" spans="93:93" x14ac:dyDescent="0.3">
      <c r="CO4207" s="15"/>
    </row>
    <row r="4208" spans="93:93" x14ac:dyDescent="0.3">
      <c r="CO4208" s="15"/>
    </row>
    <row r="4209" spans="93:93" x14ac:dyDescent="0.3">
      <c r="CO4209" s="15"/>
    </row>
    <row r="4210" spans="93:93" x14ac:dyDescent="0.3">
      <c r="CO4210" s="15"/>
    </row>
    <row r="4211" spans="93:93" x14ac:dyDescent="0.3">
      <c r="CO4211" s="15"/>
    </row>
    <row r="4212" spans="93:93" x14ac:dyDescent="0.3">
      <c r="CO4212" s="15"/>
    </row>
    <row r="4213" spans="93:93" x14ac:dyDescent="0.3">
      <c r="CO4213" s="15"/>
    </row>
    <row r="4214" spans="93:93" x14ac:dyDescent="0.3">
      <c r="CO4214" s="15"/>
    </row>
    <row r="4215" spans="93:93" x14ac:dyDescent="0.3">
      <c r="CO4215" s="15"/>
    </row>
    <row r="4216" spans="93:93" x14ac:dyDescent="0.3">
      <c r="CO4216" s="15"/>
    </row>
    <row r="4217" spans="93:93" x14ac:dyDescent="0.3">
      <c r="CO4217" s="15"/>
    </row>
    <row r="4218" spans="93:93" x14ac:dyDescent="0.3">
      <c r="CO4218" s="15"/>
    </row>
    <row r="4219" spans="93:93" x14ac:dyDescent="0.3">
      <c r="CO4219" s="15"/>
    </row>
    <row r="4220" spans="93:93" x14ac:dyDescent="0.3">
      <c r="CO4220" s="15"/>
    </row>
    <row r="4221" spans="93:93" x14ac:dyDescent="0.3">
      <c r="CO4221" s="15"/>
    </row>
    <row r="4222" spans="93:93" x14ac:dyDescent="0.3">
      <c r="CO4222" s="15"/>
    </row>
    <row r="4223" spans="93:93" x14ac:dyDescent="0.3">
      <c r="CO4223" s="15"/>
    </row>
    <row r="4224" spans="93:93" x14ac:dyDescent="0.3">
      <c r="CO4224" s="15"/>
    </row>
    <row r="4225" spans="93:93" x14ac:dyDescent="0.3">
      <c r="CO4225" s="15"/>
    </row>
    <row r="4226" spans="93:93" x14ac:dyDescent="0.3">
      <c r="CO4226" s="15"/>
    </row>
    <row r="4227" spans="93:93" x14ac:dyDescent="0.3">
      <c r="CO4227" s="15"/>
    </row>
    <row r="4228" spans="93:93" x14ac:dyDescent="0.3">
      <c r="CO4228" s="15"/>
    </row>
    <row r="4229" spans="93:93" x14ac:dyDescent="0.3">
      <c r="CO4229" s="15"/>
    </row>
    <row r="4230" spans="93:93" x14ac:dyDescent="0.3">
      <c r="CO4230" s="15"/>
    </row>
    <row r="4231" spans="93:93" x14ac:dyDescent="0.3">
      <c r="CO4231" s="15"/>
    </row>
    <row r="4232" spans="93:93" x14ac:dyDescent="0.3">
      <c r="CO4232" s="15"/>
    </row>
    <row r="4233" spans="93:93" x14ac:dyDescent="0.3">
      <c r="CO4233" s="15"/>
    </row>
    <row r="4234" spans="93:93" x14ac:dyDescent="0.3">
      <c r="CO4234" s="15"/>
    </row>
    <row r="4235" spans="93:93" x14ac:dyDescent="0.3">
      <c r="CO4235" s="15"/>
    </row>
    <row r="4236" spans="93:93" x14ac:dyDescent="0.3">
      <c r="CO4236" s="15"/>
    </row>
    <row r="4237" spans="93:93" x14ac:dyDescent="0.3">
      <c r="CO4237" s="15"/>
    </row>
    <row r="4238" spans="93:93" x14ac:dyDescent="0.3">
      <c r="CO4238" s="15"/>
    </row>
    <row r="4239" spans="93:93" x14ac:dyDescent="0.3">
      <c r="CO4239" s="15"/>
    </row>
    <row r="4240" spans="93:93" x14ac:dyDescent="0.3">
      <c r="CO4240" s="15"/>
    </row>
    <row r="4241" spans="93:93" x14ac:dyDescent="0.3">
      <c r="CO4241" s="15"/>
    </row>
    <row r="4242" spans="93:93" x14ac:dyDescent="0.3">
      <c r="CO4242" s="15"/>
    </row>
    <row r="4243" spans="93:93" x14ac:dyDescent="0.3">
      <c r="CO4243" s="15"/>
    </row>
    <row r="4244" spans="93:93" x14ac:dyDescent="0.3">
      <c r="CO4244" s="15"/>
    </row>
    <row r="4245" spans="93:93" x14ac:dyDescent="0.3">
      <c r="CO4245" s="15"/>
    </row>
    <row r="4246" spans="93:93" x14ac:dyDescent="0.3">
      <c r="CO4246" s="15"/>
    </row>
    <row r="4247" spans="93:93" x14ac:dyDescent="0.3">
      <c r="CO4247" s="15"/>
    </row>
    <row r="4248" spans="93:93" x14ac:dyDescent="0.3">
      <c r="CO4248" s="15"/>
    </row>
    <row r="4249" spans="93:93" x14ac:dyDescent="0.3">
      <c r="CO4249" s="15"/>
    </row>
    <row r="4250" spans="93:93" x14ac:dyDescent="0.3">
      <c r="CO4250" s="15"/>
    </row>
    <row r="4251" spans="93:93" x14ac:dyDescent="0.3">
      <c r="CO4251" s="15"/>
    </row>
    <row r="4252" spans="93:93" x14ac:dyDescent="0.3">
      <c r="CO4252" s="15"/>
    </row>
    <row r="4253" spans="93:93" x14ac:dyDescent="0.3">
      <c r="CO4253" s="15"/>
    </row>
    <row r="4254" spans="93:93" x14ac:dyDescent="0.3">
      <c r="CO4254" s="15"/>
    </row>
    <row r="4255" spans="93:93" x14ac:dyDescent="0.3">
      <c r="CO4255" s="15"/>
    </row>
    <row r="4256" spans="93:93" x14ac:dyDescent="0.3">
      <c r="CO4256" s="15"/>
    </row>
    <row r="4257" spans="93:93" x14ac:dyDescent="0.3">
      <c r="CO4257" s="15"/>
    </row>
    <row r="4258" spans="93:93" x14ac:dyDescent="0.3">
      <c r="CO4258" s="15"/>
    </row>
    <row r="4259" spans="93:93" x14ac:dyDescent="0.3">
      <c r="CO4259" s="15"/>
    </row>
    <row r="4260" spans="93:93" x14ac:dyDescent="0.3">
      <c r="CO4260" s="15"/>
    </row>
    <row r="4261" spans="93:93" x14ac:dyDescent="0.3">
      <c r="CO4261" s="15"/>
    </row>
    <row r="4262" spans="93:93" x14ac:dyDescent="0.3">
      <c r="CO4262" s="15"/>
    </row>
    <row r="4263" spans="93:93" x14ac:dyDescent="0.3">
      <c r="CO4263" s="15"/>
    </row>
    <row r="4264" spans="93:93" x14ac:dyDescent="0.3">
      <c r="CO4264" s="15"/>
    </row>
    <row r="4265" spans="93:93" x14ac:dyDescent="0.3">
      <c r="CO4265" s="15"/>
    </row>
    <row r="4266" spans="93:93" x14ac:dyDescent="0.3">
      <c r="CO4266" s="15"/>
    </row>
    <row r="4267" spans="93:93" x14ac:dyDescent="0.3">
      <c r="CO4267" s="15"/>
    </row>
    <row r="4268" spans="93:93" x14ac:dyDescent="0.3">
      <c r="CO4268" s="15"/>
    </row>
    <row r="4269" spans="93:93" x14ac:dyDescent="0.3">
      <c r="CO4269" s="15"/>
    </row>
    <row r="4270" spans="93:93" x14ac:dyDescent="0.3">
      <c r="CO4270" s="15"/>
    </row>
    <row r="4271" spans="93:93" x14ac:dyDescent="0.3">
      <c r="CO4271" s="15"/>
    </row>
    <row r="4272" spans="93:93" x14ac:dyDescent="0.3">
      <c r="CO4272" s="15"/>
    </row>
    <row r="4273" spans="93:93" x14ac:dyDescent="0.3">
      <c r="CO4273" s="15"/>
    </row>
    <row r="4274" spans="93:93" x14ac:dyDescent="0.3">
      <c r="CO4274" s="15"/>
    </row>
    <row r="4275" spans="93:93" x14ac:dyDescent="0.3">
      <c r="CO4275" s="15"/>
    </row>
    <row r="4276" spans="93:93" x14ac:dyDescent="0.3">
      <c r="CO4276" s="15"/>
    </row>
    <row r="4277" spans="93:93" x14ac:dyDescent="0.3">
      <c r="CO4277" s="15"/>
    </row>
    <row r="4278" spans="93:93" x14ac:dyDescent="0.3">
      <c r="CO4278" s="15"/>
    </row>
    <row r="4279" spans="93:93" x14ac:dyDescent="0.3">
      <c r="CO4279" s="15"/>
    </row>
    <row r="4280" spans="93:93" x14ac:dyDescent="0.3">
      <c r="CO4280" s="15"/>
    </row>
    <row r="4281" spans="93:93" x14ac:dyDescent="0.3">
      <c r="CO4281" s="15"/>
    </row>
    <row r="4282" spans="93:93" x14ac:dyDescent="0.3">
      <c r="CO4282" s="15"/>
    </row>
    <row r="4283" spans="93:93" x14ac:dyDescent="0.3">
      <c r="CO4283" s="15"/>
    </row>
    <row r="4284" spans="93:93" x14ac:dyDescent="0.3">
      <c r="CO4284" s="15"/>
    </row>
    <row r="4285" spans="93:93" x14ac:dyDescent="0.3">
      <c r="CO4285" s="15"/>
    </row>
    <row r="4286" spans="93:93" x14ac:dyDescent="0.3">
      <c r="CO4286" s="15"/>
    </row>
    <row r="4287" spans="93:93" x14ac:dyDescent="0.3">
      <c r="CO4287" s="15"/>
    </row>
    <row r="4288" spans="93:93" x14ac:dyDescent="0.3">
      <c r="CO4288" s="15"/>
    </row>
    <row r="4289" spans="93:93" x14ac:dyDescent="0.3">
      <c r="CO4289" s="15"/>
    </row>
    <row r="4290" spans="93:93" x14ac:dyDescent="0.3">
      <c r="CO4290" s="15"/>
    </row>
    <row r="4291" spans="93:93" x14ac:dyDescent="0.3">
      <c r="CO4291" s="15"/>
    </row>
    <row r="4292" spans="93:93" x14ac:dyDescent="0.3">
      <c r="CO4292" s="15"/>
    </row>
    <row r="4293" spans="93:93" x14ac:dyDescent="0.3">
      <c r="CO4293" s="15"/>
    </row>
    <row r="4294" spans="93:93" x14ac:dyDescent="0.3">
      <c r="CO4294" s="15"/>
    </row>
    <row r="4295" spans="93:93" x14ac:dyDescent="0.3">
      <c r="CO4295" s="15"/>
    </row>
    <row r="4296" spans="93:93" x14ac:dyDescent="0.3">
      <c r="CO4296" s="15"/>
    </row>
    <row r="4297" spans="93:93" x14ac:dyDescent="0.3">
      <c r="CO4297" s="15"/>
    </row>
    <row r="4298" spans="93:93" x14ac:dyDescent="0.3">
      <c r="CO4298" s="15"/>
    </row>
    <row r="4299" spans="93:93" x14ac:dyDescent="0.3">
      <c r="CO4299" s="15"/>
    </row>
    <row r="4300" spans="93:93" x14ac:dyDescent="0.3">
      <c r="CO4300" s="15"/>
    </row>
    <row r="4301" spans="93:93" x14ac:dyDescent="0.3">
      <c r="CO4301" s="15"/>
    </row>
    <row r="4302" spans="93:93" x14ac:dyDescent="0.3">
      <c r="CO4302" s="15"/>
    </row>
    <row r="4303" spans="93:93" x14ac:dyDescent="0.3">
      <c r="CO4303" s="15"/>
    </row>
    <row r="4304" spans="93:93" x14ac:dyDescent="0.3">
      <c r="CO4304" s="15"/>
    </row>
    <row r="4305" spans="93:93" x14ac:dyDescent="0.3">
      <c r="CO4305" s="15"/>
    </row>
    <row r="4306" spans="93:93" x14ac:dyDescent="0.3">
      <c r="CO4306" s="15"/>
    </row>
    <row r="4307" spans="93:93" x14ac:dyDescent="0.3">
      <c r="CO4307" s="15"/>
    </row>
    <row r="4308" spans="93:93" x14ac:dyDescent="0.3">
      <c r="CO4308" s="15"/>
    </row>
    <row r="4309" spans="93:93" x14ac:dyDescent="0.3">
      <c r="CO4309" s="15"/>
    </row>
    <row r="4310" spans="93:93" x14ac:dyDescent="0.3">
      <c r="CO4310" s="15"/>
    </row>
    <row r="4311" spans="93:93" x14ac:dyDescent="0.3">
      <c r="CO4311" s="15"/>
    </row>
    <row r="4312" spans="93:93" x14ac:dyDescent="0.3">
      <c r="CO4312" s="15"/>
    </row>
    <row r="4313" spans="93:93" x14ac:dyDescent="0.3">
      <c r="CO4313" s="15"/>
    </row>
    <row r="4314" spans="93:93" x14ac:dyDescent="0.3">
      <c r="CO4314" s="15"/>
    </row>
    <row r="4315" spans="93:93" x14ac:dyDescent="0.3">
      <c r="CO4315" s="15"/>
    </row>
    <row r="4316" spans="93:93" x14ac:dyDescent="0.3">
      <c r="CO4316" s="15"/>
    </row>
    <row r="4317" spans="93:93" x14ac:dyDescent="0.3">
      <c r="CO4317" s="15"/>
    </row>
    <row r="4318" spans="93:93" x14ac:dyDescent="0.3">
      <c r="CO4318" s="15"/>
    </row>
    <row r="4319" spans="93:93" x14ac:dyDescent="0.3">
      <c r="CO4319" s="15"/>
    </row>
    <row r="4320" spans="93:93" x14ac:dyDescent="0.3">
      <c r="CO4320" s="15"/>
    </row>
    <row r="4321" spans="93:93" x14ac:dyDescent="0.3">
      <c r="CO4321" s="15"/>
    </row>
    <row r="4322" spans="93:93" x14ac:dyDescent="0.3">
      <c r="CO4322" s="15"/>
    </row>
    <row r="4323" spans="93:93" x14ac:dyDescent="0.3">
      <c r="CO4323" s="15"/>
    </row>
    <row r="4324" spans="93:93" x14ac:dyDescent="0.3">
      <c r="CO4324" s="15"/>
    </row>
    <row r="4325" spans="93:93" x14ac:dyDescent="0.3">
      <c r="CO4325" s="15"/>
    </row>
    <row r="4326" spans="93:93" x14ac:dyDescent="0.3">
      <c r="CO4326" s="15"/>
    </row>
    <row r="4327" spans="93:93" x14ac:dyDescent="0.3">
      <c r="CO4327" s="15"/>
    </row>
    <row r="4328" spans="93:93" x14ac:dyDescent="0.3">
      <c r="CO4328" s="15"/>
    </row>
    <row r="4329" spans="93:93" x14ac:dyDescent="0.3">
      <c r="CO4329" s="15"/>
    </row>
    <row r="4330" spans="93:93" x14ac:dyDescent="0.3">
      <c r="CO4330" s="15"/>
    </row>
    <row r="4331" spans="93:93" x14ac:dyDescent="0.3">
      <c r="CO4331" s="15"/>
    </row>
    <row r="4332" spans="93:93" x14ac:dyDescent="0.3">
      <c r="CO4332" s="15"/>
    </row>
    <row r="4333" spans="93:93" x14ac:dyDescent="0.3">
      <c r="CO4333" s="15"/>
    </row>
    <row r="4334" spans="93:93" x14ac:dyDescent="0.3">
      <c r="CO4334" s="15"/>
    </row>
    <row r="4335" spans="93:93" x14ac:dyDescent="0.3">
      <c r="CO4335" s="15"/>
    </row>
    <row r="4336" spans="93:93" x14ac:dyDescent="0.3">
      <c r="CO4336" s="15"/>
    </row>
    <row r="4337" spans="93:93" x14ac:dyDescent="0.3">
      <c r="CO4337" s="15"/>
    </row>
    <row r="4338" spans="93:93" x14ac:dyDescent="0.3">
      <c r="CO4338" s="15"/>
    </row>
    <row r="4339" spans="93:93" x14ac:dyDescent="0.3">
      <c r="CO4339" s="15"/>
    </row>
    <row r="4340" spans="93:93" x14ac:dyDescent="0.3">
      <c r="CO4340" s="15"/>
    </row>
    <row r="4341" spans="93:93" x14ac:dyDescent="0.3">
      <c r="CO4341" s="15"/>
    </row>
    <row r="4342" spans="93:93" x14ac:dyDescent="0.3">
      <c r="CO4342" s="15"/>
    </row>
    <row r="4343" spans="93:93" x14ac:dyDescent="0.3">
      <c r="CO4343" s="15"/>
    </row>
    <row r="4344" spans="93:93" x14ac:dyDescent="0.3">
      <c r="CO4344" s="15"/>
    </row>
    <row r="4345" spans="93:93" x14ac:dyDescent="0.3">
      <c r="CO4345" s="15"/>
    </row>
    <row r="4346" spans="93:93" x14ac:dyDescent="0.3">
      <c r="CO4346" s="15"/>
    </row>
    <row r="4347" spans="93:93" x14ac:dyDescent="0.3">
      <c r="CO4347" s="15"/>
    </row>
    <row r="4348" spans="93:93" x14ac:dyDescent="0.3">
      <c r="CO4348" s="15"/>
    </row>
    <row r="4349" spans="93:93" x14ac:dyDescent="0.3">
      <c r="CO4349" s="15"/>
    </row>
    <row r="4350" spans="93:93" x14ac:dyDescent="0.3">
      <c r="CO4350" s="15"/>
    </row>
    <row r="4351" spans="93:93" x14ac:dyDescent="0.3">
      <c r="CO4351" s="15"/>
    </row>
    <row r="4352" spans="93:93" x14ac:dyDescent="0.3">
      <c r="CO4352" s="15"/>
    </row>
    <row r="4353" spans="93:93" x14ac:dyDescent="0.3">
      <c r="CO4353" s="15"/>
    </row>
    <row r="4354" spans="93:93" x14ac:dyDescent="0.3">
      <c r="CO4354" s="15"/>
    </row>
    <row r="4355" spans="93:93" x14ac:dyDescent="0.3">
      <c r="CO4355" s="15"/>
    </row>
    <row r="4356" spans="93:93" x14ac:dyDescent="0.3">
      <c r="CO4356" s="15"/>
    </row>
    <row r="4357" spans="93:93" x14ac:dyDescent="0.3">
      <c r="CO4357" s="15"/>
    </row>
    <row r="4358" spans="93:93" x14ac:dyDescent="0.3">
      <c r="CO4358" s="15"/>
    </row>
    <row r="4359" spans="93:93" x14ac:dyDescent="0.3">
      <c r="CO4359" s="15"/>
    </row>
    <row r="4360" spans="93:93" x14ac:dyDescent="0.3">
      <c r="CO4360" s="15"/>
    </row>
    <row r="4361" spans="93:93" x14ac:dyDescent="0.3">
      <c r="CO4361" s="15"/>
    </row>
    <row r="4362" spans="93:93" x14ac:dyDescent="0.3">
      <c r="CO4362" s="15"/>
    </row>
    <row r="4363" spans="93:93" x14ac:dyDescent="0.3">
      <c r="CO4363" s="15"/>
    </row>
    <row r="4364" spans="93:93" x14ac:dyDescent="0.3">
      <c r="CO4364" s="15"/>
    </row>
    <row r="4365" spans="93:93" x14ac:dyDescent="0.3">
      <c r="CO4365" s="15"/>
    </row>
    <row r="4366" spans="93:93" x14ac:dyDescent="0.3">
      <c r="CO4366" s="15"/>
    </row>
    <row r="4367" spans="93:93" x14ac:dyDescent="0.3">
      <c r="CO4367" s="15"/>
    </row>
    <row r="4368" spans="93:93" x14ac:dyDescent="0.3">
      <c r="CO4368" s="15"/>
    </row>
    <row r="4369" spans="93:93" x14ac:dyDescent="0.3">
      <c r="CO4369" s="15"/>
    </row>
    <row r="4370" spans="93:93" x14ac:dyDescent="0.3">
      <c r="CO4370" s="15"/>
    </row>
    <row r="4371" spans="93:93" x14ac:dyDescent="0.3">
      <c r="CO4371" s="15"/>
    </row>
    <row r="4372" spans="93:93" x14ac:dyDescent="0.3">
      <c r="CO4372" s="15"/>
    </row>
    <row r="4373" spans="93:93" x14ac:dyDescent="0.3">
      <c r="CO4373" s="15"/>
    </row>
    <row r="4374" spans="93:93" x14ac:dyDescent="0.3">
      <c r="CO4374" s="15"/>
    </row>
    <row r="4375" spans="93:93" x14ac:dyDescent="0.3">
      <c r="CO4375" s="15"/>
    </row>
    <row r="4376" spans="93:93" x14ac:dyDescent="0.3">
      <c r="CO4376" s="15"/>
    </row>
    <row r="4377" spans="93:93" x14ac:dyDescent="0.3">
      <c r="CO4377" s="15"/>
    </row>
    <row r="4378" spans="93:93" x14ac:dyDescent="0.3">
      <c r="CO4378" s="15"/>
    </row>
    <row r="4379" spans="93:93" x14ac:dyDescent="0.3">
      <c r="CO4379" s="15"/>
    </row>
    <row r="4380" spans="93:93" x14ac:dyDescent="0.3">
      <c r="CO4380" s="15"/>
    </row>
    <row r="4381" spans="93:93" x14ac:dyDescent="0.3">
      <c r="CO4381" s="15"/>
    </row>
    <row r="4382" spans="93:93" x14ac:dyDescent="0.3">
      <c r="CO4382" s="15"/>
    </row>
    <row r="4383" spans="93:93" x14ac:dyDescent="0.3">
      <c r="CO4383" s="15"/>
    </row>
    <row r="4384" spans="93:93" x14ac:dyDescent="0.3">
      <c r="CO4384" s="15"/>
    </row>
    <row r="4385" spans="93:93" x14ac:dyDescent="0.3">
      <c r="CO4385" s="15"/>
    </row>
    <row r="4386" spans="93:93" x14ac:dyDescent="0.3">
      <c r="CO4386" s="15"/>
    </row>
    <row r="4387" spans="93:93" x14ac:dyDescent="0.3">
      <c r="CO4387" s="15"/>
    </row>
    <row r="4388" spans="93:93" x14ac:dyDescent="0.3">
      <c r="CO4388" s="15"/>
    </row>
    <row r="4389" spans="93:93" x14ac:dyDescent="0.3">
      <c r="CO4389" s="15"/>
    </row>
    <row r="4390" spans="93:93" x14ac:dyDescent="0.3">
      <c r="CO4390" s="15"/>
    </row>
    <row r="4391" spans="93:93" x14ac:dyDescent="0.3">
      <c r="CO4391" s="15"/>
    </row>
    <row r="4392" spans="93:93" x14ac:dyDescent="0.3">
      <c r="CO4392" s="15"/>
    </row>
    <row r="4393" spans="93:93" x14ac:dyDescent="0.3">
      <c r="CO4393" s="15"/>
    </row>
    <row r="4394" spans="93:93" x14ac:dyDescent="0.3">
      <c r="CO4394" s="15"/>
    </row>
    <row r="4395" spans="93:93" x14ac:dyDescent="0.3">
      <c r="CO4395" s="15"/>
    </row>
    <row r="4396" spans="93:93" x14ac:dyDescent="0.3">
      <c r="CO4396" s="15"/>
    </row>
    <row r="4397" spans="93:93" x14ac:dyDescent="0.3">
      <c r="CO4397" s="15"/>
    </row>
    <row r="4398" spans="93:93" x14ac:dyDescent="0.3">
      <c r="CO4398" s="15"/>
    </row>
    <row r="4399" spans="93:93" x14ac:dyDescent="0.3">
      <c r="CO4399" s="15"/>
    </row>
    <row r="4400" spans="93:93" x14ac:dyDescent="0.3">
      <c r="CO4400" s="15"/>
    </row>
    <row r="4401" spans="93:93" x14ac:dyDescent="0.3">
      <c r="CO4401" s="15"/>
    </row>
    <row r="4402" spans="93:93" x14ac:dyDescent="0.3">
      <c r="CO4402" s="15"/>
    </row>
    <row r="4403" spans="93:93" x14ac:dyDescent="0.3">
      <c r="CO4403" s="15"/>
    </row>
    <row r="4404" spans="93:93" x14ac:dyDescent="0.3">
      <c r="CO4404" s="15"/>
    </row>
    <row r="4405" spans="93:93" x14ac:dyDescent="0.3">
      <c r="CO4405" s="15"/>
    </row>
    <row r="4406" spans="93:93" x14ac:dyDescent="0.3">
      <c r="CO4406" s="15"/>
    </row>
    <row r="4407" spans="93:93" x14ac:dyDescent="0.3">
      <c r="CO4407" s="15"/>
    </row>
    <row r="4408" spans="93:93" x14ac:dyDescent="0.3">
      <c r="CO4408" s="15"/>
    </row>
    <row r="4409" spans="93:93" x14ac:dyDescent="0.3">
      <c r="CO4409" s="15"/>
    </row>
    <row r="4410" spans="93:93" x14ac:dyDescent="0.3">
      <c r="CO4410" s="15"/>
    </row>
    <row r="4411" spans="93:93" x14ac:dyDescent="0.3">
      <c r="CO4411" s="15"/>
    </row>
    <row r="4412" spans="93:93" x14ac:dyDescent="0.3">
      <c r="CO4412" s="15"/>
    </row>
    <row r="4413" spans="93:93" x14ac:dyDescent="0.3">
      <c r="CO4413" s="15"/>
    </row>
    <row r="4414" spans="93:93" x14ac:dyDescent="0.3">
      <c r="CO4414" s="15"/>
    </row>
    <row r="4415" spans="93:93" x14ac:dyDescent="0.3">
      <c r="CO4415" s="15"/>
    </row>
    <row r="4416" spans="93:93" x14ac:dyDescent="0.3">
      <c r="CO4416" s="15"/>
    </row>
    <row r="4417" spans="93:93" x14ac:dyDescent="0.3">
      <c r="CO4417" s="15"/>
    </row>
    <row r="4418" spans="93:93" x14ac:dyDescent="0.3">
      <c r="CO4418" s="15"/>
    </row>
    <row r="4419" spans="93:93" x14ac:dyDescent="0.3">
      <c r="CO4419" s="15"/>
    </row>
    <row r="4420" spans="93:93" x14ac:dyDescent="0.3">
      <c r="CO4420" s="15"/>
    </row>
    <row r="4421" spans="93:93" x14ac:dyDescent="0.3">
      <c r="CO4421" s="15"/>
    </row>
    <row r="4422" spans="93:93" x14ac:dyDescent="0.3">
      <c r="CO4422" s="15"/>
    </row>
    <row r="4423" spans="93:93" x14ac:dyDescent="0.3">
      <c r="CO4423" s="15"/>
    </row>
    <row r="4424" spans="93:93" x14ac:dyDescent="0.3">
      <c r="CO4424" s="15"/>
    </row>
    <row r="4425" spans="93:93" x14ac:dyDescent="0.3">
      <c r="CO4425" s="15"/>
    </row>
    <row r="4426" spans="93:93" x14ac:dyDescent="0.3">
      <c r="CO4426" s="15"/>
    </row>
    <row r="4427" spans="93:93" x14ac:dyDescent="0.3">
      <c r="CO4427" s="15"/>
    </row>
    <row r="4428" spans="93:93" x14ac:dyDescent="0.3">
      <c r="CO4428" s="15"/>
    </row>
    <row r="4429" spans="93:93" x14ac:dyDescent="0.3">
      <c r="CO4429" s="15"/>
    </row>
    <row r="4430" spans="93:93" x14ac:dyDescent="0.3">
      <c r="CO4430" s="15"/>
    </row>
    <row r="4431" spans="93:93" x14ac:dyDescent="0.3">
      <c r="CO4431" s="15"/>
    </row>
    <row r="4432" spans="93:93" x14ac:dyDescent="0.3">
      <c r="CO4432" s="15"/>
    </row>
    <row r="4433" spans="93:93" x14ac:dyDescent="0.3">
      <c r="CO4433" s="15"/>
    </row>
    <row r="4434" spans="93:93" x14ac:dyDescent="0.3">
      <c r="CO4434" s="15"/>
    </row>
    <row r="4435" spans="93:93" x14ac:dyDescent="0.3">
      <c r="CO4435" s="15"/>
    </row>
    <row r="4436" spans="93:93" x14ac:dyDescent="0.3">
      <c r="CO4436" s="15"/>
    </row>
    <row r="4437" spans="93:93" x14ac:dyDescent="0.3">
      <c r="CO4437" s="15"/>
    </row>
    <row r="4438" spans="93:93" x14ac:dyDescent="0.3">
      <c r="CO4438" s="15"/>
    </row>
    <row r="4439" spans="93:93" x14ac:dyDescent="0.3">
      <c r="CO4439" s="15"/>
    </row>
    <row r="4440" spans="93:93" x14ac:dyDescent="0.3">
      <c r="CO4440" s="15"/>
    </row>
    <row r="4441" spans="93:93" x14ac:dyDescent="0.3">
      <c r="CO4441" s="15"/>
    </row>
    <row r="4442" spans="93:93" x14ac:dyDescent="0.3">
      <c r="CO4442" s="15"/>
    </row>
    <row r="4443" spans="93:93" x14ac:dyDescent="0.3">
      <c r="CO4443" s="15"/>
    </row>
    <row r="4444" spans="93:93" x14ac:dyDescent="0.3">
      <c r="CO4444" s="15"/>
    </row>
    <row r="4445" spans="93:93" x14ac:dyDescent="0.3">
      <c r="CO4445" s="15"/>
    </row>
    <row r="4446" spans="93:93" x14ac:dyDescent="0.3">
      <c r="CO4446" s="15"/>
    </row>
    <row r="4447" spans="93:93" x14ac:dyDescent="0.3">
      <c r="CO4447" s="15"/>
    </row>
    <row r="4448" spans="93:93" x14ac:dyDescent="0.3">
      <c r="CO4448" s="15"/>
    </row>
    <row r="4449" spans="93:93" x14ac:dyDescent="0.3">
      <c r="CO4449" s="15"/>
    </row>
    <row r="4450" spans="93:93" x14ac:dyDescent="0.3">
      <c r="CO4450" s="15"/>
    </row>
    <row r="4451" spans="93:93" x14ac:dyDescent="0.3">
      <c r="CO4451" s="15"/>
    </row>
    <row r="4452" spans="93:93" x14ac:dyDescent="0.3">
      <c r="CO4452" s="15"/>
    </row>
    <row r="4453" spans="93:93" x14ac:dyDescent="0.3">
      <c r="CO4453" s="15"/>
    </row>
    <row r="4454" spans="93:93" x14ac:dyDescent="0.3">
      <c r="CO4454" s="15"/>
    </row>
    <row r="4455" spans="93:93" x14ac:dyDescent="0.3">
      <c r="CO4455" s="15"/>
    </row>
    <row r="4456" spans="93:93" x14ac:dyDescent="0.3">
      <c r="CO4456" s="15"/>
    </row>
    <row r="4457" spans="93:93" x14ac:dyDescent="0.3">
      <c r="CO4457" s="15"/>
    </row>
    <row r="4458" spans="93:93" x14ac:dyDescent="0.3">
      <c r="CO4458" s="15"/>
    </row>
    <row r="4459" spans="93:93" x14ac:dyDescent="0.3">
      <c r="CO4459" s="15"/>
    </row>
    <row r="4460" spans="93:93" x14ac:dyDescent="0.3">
      <c r="CO4460" s="15"/>
    </row>
    <row r="4461" spans="93:93" x14ac:dyDescent="0.3">
      <c r="CO4461" s="15"/>
    </row>
    <row r="4462" spans="93:93" x14ac:dyDescent="0.3">
      <c r="CO4462" s="15"/>
    </row>
    <row r="4463" spans="93:93" x14ac:dyDescent="0.3">
      <c r="CO4463" s="15"/>
    </row>
    <row r="4464" spans="93:93" x14ac:dyDescent="0.3">
      <c r="CO4464" s="15"/>
    </row>
    <row r="4465" spans="93:93" x14ac:dyDescent="0.3">
      <c r="CO4465" s="15"/>
    </row>
    <row r="4466" spans="93:93" x14ac:dyDescent="0.3">
      <c r="CO4466" s="15"/>
    </row>
    <row r="4467" spans="93:93" x14ac:dyDescent="0.3">
      <c r="CO4467" s="15"/>
    </row>
    <row r="4468" spans="93:93" x14ac:dyDescent="0.3">
      <c r="CO4468" s="15"/>
    </row>
    <row r="4469" spans="93:93" x14ac:dyDescent="0.3">
      <c r="CO4469" s="15"/>
    </row>
    <row r="4470" spans="93:93" x14ac:dyDescent="0.3">
      <c r="CO4470" s="15"/>
    </row>
    <row r="4471" spans="93:93" x14ac:dyDescent="0.3">
      <c r="CO4471" s="15"/>
    </row>
    <row r="4472" spans="93:93" x14ac:dyDescent="0.3">
      <c r="CO4472" s="15"/>
    </row>
    <row r="4473" spans="93:93" x14ac:dyDescent="0.3">
      <c r="CO4473" s="15"/>
    </row>
    <row r="4474" spans="93:93" x14ac:dyDescent="0.3">
      <c r="CO4474" s="15"/>
    </row>
    <row r="4475" spans="93:93" x14ac:dyDescent="0.3">
      <c r="CO4475" s="15"/>
    </row>
    <row r="4476" spans="93:93" x14ac:dyDescent="0.3">
      <c r="CO4476" s="15"/>
    </row>
    <row r="4477" spans="93:93" x14ac:dyDescent="0.3">
      <c r="CO4477" s="15"/>
    </row>
    <row r="4478" spans="93:93" x14ac:dyDescent="0.3">
      <c r="CO4478" s="15"/>
    </row>
    <row r="4479" spans="93:93" x14ac:dyDescent="0.3">
      <c r="CO4479" s="15"/>
    </row>
    <row r="4480" spans="93:93" x14ac:dyDescent="0.3">
      <c r="CO4480" s="15"/>
    </row>
    <row r="4481" spans="93:93" x14ac:dyDescent="0.3">
      <c r="CO4481" s="15"/>
    </row>
    <row r="4482" spans="93:93" x14ac:dyDescent="0.3">
      <c r="CO4482" s="15"/>
    </row>
    <row r="4483" spans="93:93" x14ac:dyDescent="0.3">
      <c r="CO4483" s="15"/>
    </row>
    <row r="4484" spans="93:93" x14ac:dyDescent="0.3">
      <c r="CO4484" s="15"/>
    </row>
    <row r="4485" spans="93:93" x14ac:dyDescent="0.3">
      <c r="CO4485" s="15"/>
    </row>
    <row r="4486" spans="93:93" x14ac:dyDescent="0.3">
      <c r="CO4486" s="15"/>
    </row>
    <row r="4487" spans="93:93" x14ac:dyDescent="0.3">
      <c r="CO4487" s="15"/>
    </row>
    <row r="4488" spans="93:93" x14ac:dyDescent="0.3">
      <c r="CO4488" s="15"/>
    </row>
    <row r="4489" spans="93:93" x14ac:dyDescent="0.3">
      <c r="CO4489" s="15"/>
    </row>
    <row r="4490" spans="93:93" x14ac:dyDescent="0.3">
      <c r="CO4490" s="15"/>
    </row>
    <row r="4491" spans="93:93" x14ac:dyDescent="0.3">
      <c r="CO4491" s="15"/>
    </row>
    <row r="4492" spans="93:93" x14ac:dyDescent="0.3">
      <c r="CO4492" s="15"/>
    </row>
    <row r="4493" spans="93:93" x14ac:dyDescent="0.3">
      <c r="CO4493" s="15"/>
    </row>
    <row r="4494" spans="93:93" x14ac:dyDescent="0.3">
      <c r="CO4494" s="15"/>
    </row>
    <row r="4495" spans="93:93" x14ac:dyDescent="0.3">
      <c r="CO4495" s="15"/>
    </row>
    <row r="4496" spans="93:93" x14ac:dyDescent="0.3">
      <c r="CO4496" s="15"/>
    </row>
    <row r="4497" spans="93:93" x14ac:dyDescent="0.3">
      <c r="CO4497" s="15"/>
    </row>
    <row r="4498" spans="93:93" x14ac:dyDescent="0.3">
      <c r="CO4498" s="15"/>
    </row>
    <row r="4499" spans="93:93" x14ac:dyDescent="0.3">
      <c r="CO4499" s="15"/>
    </row>
    <row r="4500" spans="93:93" x14ac:dyDescent="0.3">
      <c r="CO4500" s="15"/>
    </row>
    <row r="4501" spans="93:93" x14ac:dyDescent="0.3">
      <c r="CO4501" s="15"/>
    </row>
    <row r="4502" spans="93:93" x14ac:dyDescent="0.3">
      <c r="CO4502" s="15"/>
    </row>
    <row r="4503" spans="93:93" x14ac:dyDescent="0.3">
      <c r="CO4503" s="15"/>
    </row>
    <row r="4504" spans="93:93" x14ac:dyDescent="0.3">
      <c r="CO4504" s="15"/>
    </row>
    <row r="4505" spans="93:93" x14ac:dyDescent="0.3">
      <c r="CO4505" s="15"/>
    </row>
    <row r="4506" spans="93:93" x14ac:dyDescent="0.3">
      <c r="CO4506" s="15"/>
    </row>
    <row r="4507" spans="93:93" x14ac:dyDescent="0.3">
      <c r="CO4507" s="15"/>
    </row>
    <row r="4508" spans="93:93" x14ac:dyDescent="0.3">
      <c r="CO4508" s="15"/>
    </row>
    <row r="4509" spans="93:93" x14ac:dyDescent="0.3">
      <c r="CO4509" s="15"/>
    </row>
    <row r="4510" spans="93:93" x14ac:dyDescent="0.3">
      <c r="CO4510" s="15"/>
    </row>
    <row r="4511" spans="93:93" x14ac:dyDescent="0.3">
      <c r="CO4511" s="15"/>
    </row>
    <row r="4512" spans="93:93" x14ac:dyDescent="0.3">
      <c r="CO4512" s="15"/>
    </row>
    <row r="4513" spans="93:93" x14ac:dyDescent="0.3">
      <c r="CO4513" s="15"/>
    </row>
    <row r="4514" spans="93:93" x14ac:dyDescent="0.3">
      <c r="CO4514" s="15"/>
    </row>
    <row r="4515" spans="93:93" x14ac:dyDescent="0.3">
      <c r="CO4515" s="15"/>
    </row>
    <row r="4516" spans="93:93" x14ac:dyDescent="0.3">
      <c r="CO4516" s="15"/>
    </row>
    <row r="4517" spans="93:93" x14ac:dyDescent="0.3">
      <c r="CO4517" s="15"/>
    </row>
    <row r="4518" spans="93:93" x14ac:dyDescent="0.3">
      <c r="CO4518" s="15"/>
    </row>
    <row r="4519" spans="93:93" x14ac:dyDescent="0.3">
      <c r="CO4519" s="15"/>
    </row>
    <row r="4520" spans="93:93" x14ac:dyDescent="0.3">
      <c r="CO4520" s="15"/>
    </row>
    <row r="4521" spans="93:93" x14ac:dyDescent="0.3">
      <c r="CO4521" s="15"/>
    </row>
    <row r="4522" spans="93:93" x14ac:dyDescent="0.3">
      <c r="CO4522" s="15"/>
    </row>
    <row r="4523" spans="93:93" x14ac:dyDescent="0.3">
      <c r="CO4523" s="15"/>
    </row>
    <row r="4524" spans="93:93" x14ac:dyDescent="0.3">
      <c r="CO4524" s="15"/>
    </row>
    <row r="4525" spans="93:93" x14ac:dyDescent="0.3">
      <c r="CO4525" s="15"/>
    </row>
    <row r="4526" spans="93:93" x14ac:dyDescent="0.3">
      <c r="CO4526" s="15"/>
    </row>
    <row r="4527" spans="93:93" x14ac:dyDescent="0.3">
      <c r="CO4527" s="15"/>
    </row>
    <row r="4528" spans="93:93" x14ac:dyDescent="0.3">
      <c r="CO4528" s="15"/>
    </row>
    <row r="4529" spans="93:93" x14ac:dyDescent="0.3">
      <c r="CO4529" s="15"/>
    </row>
    <row r="4530" spans="93:93" x14ac:dyDescent="0.3">
      <c r="CO4530" s="15"/>
    </row>
    <row r="4531" spans="93:93" x14ac:dyDescent="0.3">
      <c r="CO4531" s="15"/>
    </row>
    <row r="4532" spans="93:93" x14ac:dyDescent="0.3">
      <c r="CO4532" s="15"/>
    </row>
    <row r="4533" spans="93:93" x14ac:dyDescent="0.3">
      <c r="CO4533" s="15"/>
    </row>
    <row r="4534" spans="93:93" x14ac:dyDescent="0.3">
      <c r="CO4534" s="15"/>
    </row>
    <row r="4535" spans="93:93" x14ac:dyDescent="0.3">
      <c r="CO4535" s="15"/>
    </row>
    <row r="4536" spans="93:93" x14ac:dyDescent="0.3">
      <c r="CO4536" s="15"/>
    </row>
    <row r="4537" spans="93:93" x14ac:dyDescent="0.3">
      <c r="CO4537" s="15"/>
    </row>
    <row r="4538" spans="93:93" x14ac:dyDescent="0.3">
      <c r="CO4538" s="15"/>
    </row>
    <row r="4539" spans="93:93" x14ac:dyDescent="0.3">
      <c r="CO4539" s="15"/>
    </row>
    <row r="4540" spans="93:93" x14ac:dyDescent="0.3">
      <c r="CO4540" s="15"/>
    </row>
    <row r="4541" spans="93:93" x14ac:dyDescent="0.3">
      <c r="CO4541" s="15"/>
    </row>
    <row r="4542" spans="93:93" x14ac:dyDescent="0.3">
      <c r="CO4542" s="15"/>
    </row>
    <row r="4543" spans="93:93" x14ac:dyDescent="0.3">
      <c r="CO4543" s="15"/>
    </row>
    <row r="4544" spans="93:93" x14ac:dyDescent="0.3">
      <c r="CO4544" s="15"/>
    </row>
    <row r="4545" spans="93:93" x14ac:dyDescent="0.3">
      <c r="CO4545" s="15"/>
    </row>
    <row r="4546" spans="93:93" x14ac:dyDescent="0.3">
      <c r="CO4546" s="15"/>
    </row>
    <row r="4547" spans="93:93" x14ac:dyDescent="0.3">
      <c r="CO4547" s="15"/>
    </row>
    <row r="4548" spans="93:93" x14ac:dyDescent="0.3">
      <c r="CO4548" s="15"/>
    </row>
    <row r="4549" spans="93:93" x14ac:dyDescent="0.3">
      <c r="CO4549" s="15"/>
    </row>
    <row r="4550" spans="93:93" x14ac:dyDescent="0.3">
      <c r="CO4550" s="15"/>
    </row>
    <row r="4551" spans="93:93" x14ac:dyDescent="0.3">
      <c r="CO4551" s="15"/>
    </row>
    <row r="4552" spans="93:93" x14ac:dyDescent="0.3">
      <c r="CO4552" s="15"/>
    </row>
    <row r="4553" spans="93:93" x14ac:dyDescent="0.3">
      <c r="CO4553" s="15"/>
    </row>
    <row r="4554" spans="93:93" x14ac:dyDescent="0.3">
      <c r="CO4554" s="15"/>
    </row>
    <row r="4555" spans="93:93" x14ac:dyDescent="0.3">
      <c r="CO4555" s="15"/>
    </row>
    <row r="4556" spans="93:93" x14ac:dyDescent="0.3">
      <c r="CO4556" s="15"/>
    </row>
    <row r="4557" spans="93:93" x14ac:dyDescent="0.3">
      <c r="CO4557" s="15"/>
    </row>
    <row r="4558" spans="93:93" x14ac:dyDescent="0.3">
      <c r="CO4558" s="15"/>
    </row>
    <row r="4559" spans="93:93" x14ac:dyDescent="0.3">
      <c r="CO4559" s="15"/>
    </row>
    <row r="4560" spans="93:93" x14ac:dyDescent="0.3">
      <c r="CO4560" s="15"/>
    </row>
    <row r="4561" spans="93:93" x14ac:dyDescent="0.3">
      <c r="CO4561" s="15"/>
    </row>
    <row r="4562" spans="93:93" x14ac:dyDescent="0.3">
      <c r="CO4562" s="15"/>
    </row>
    <row r="4563" spans="93:93" x14ac:dyDescent="0.3">
      <c r="CO4563" s="15"/>
    </row>
    <row r="4564" spans="93:93" x14ac:dyDescent="0.3">
      <c r="CO4564" s="15"/>
    </row>
    <row r="4565" spans="93:93" x14ac:dyDescent="0.3">
      <c r="CO4565" s="15"/>
    </row>
    <row r="4566" spans="93:93" x14ac:dyDescent="0.3">
      <c r="CO4566" s="15"/>
    </row>
    <row r="4567" spans="93:93" x14ac:dyDescent="0.3">
      <c r="CO4567" s="15"/>
    </row>
    <row r="4568" spans="93:93" x14ac:dyDescent="0.3">
      <c r="CO4568" s="15"/>
    </row>
    <row r="4569" spans="93:93" x14ac:dyDescent="0.3">
      <c r="CO4569" s="15"/>
    </row>
    <row r="4570" spans="93:93" x14ac:dyDescent="0.3">
      <c r="CO4570" s="15"/>
    </row>
    <row r="4571" spans="93:93" x14ac:dyDescent="0.3">
      <c r="CO4571" s="15"/>
    </row>
    <row r="4572" spans="93:93" x14ac:dyDescent="0.3">
      <c r="CO4572" s="15"/>
    </row>
    <row r="4573" spans="93:93" x14ac:dyDescent="0.3">
      <c r="CO4573" s="15"/>
    </row>
    <row r="4574" spans="93:93" x14ac:dyDescent="0.3">
      <c r="CO4574" s="15"/>
    </row>
    <row r="4575" spans="93:93" x14ac:dyDescent="0.3">
      <c r="CO4575" s="15"/>
    </row>
    <row r="4576" spans="93:93" x14ac:dyDescent="0.3">
      <c r="CO4576" s="15"/>
    </row>
    <row r="4577" spans="93:93" x14ac:dyDescent="0.3">
      <c r="CO4577" s="15"/>
    </row>
    <row r="4578" spans="93:93" x14ac:dyDescent="0.3">
      <c r="CO4578" s="15"/>
    </row>
    <row r="4579" spans="93:93" x14ac:dyDescent="0.3">
      <c r="CO4579" s="15"/>
    </row>
    <row r="4580" spans="93:93" x14ac:dyDescent="0.3">
      <c r="CO4580" s="15"/>
    </row>
    <row r="4581" spans="93:93" x14ac:dyDescent="0.3">
      <c r="CO4581" s="15"/>
    </row>
    <row r="4582" spans="93:93" x14ac:dyDescent="0.3">
      <c r="CO4582" s="15"/>
    </row>
    <row r="4583" spans="93:93" x14ac:dyDescent="0.3">
      <c r="CO4583" s="15"/>
    </row>
    <row r="4584" spans="93:93" x14ac:dyDescent="0.3">
      <c r="CO4584" s="15"/>
    </row>
    <row r="4585" spans="93:93" x14ac:dyDescent="0.3">
      <c r="CO4585" s="15"/>
    </row>
    <row r="4586" spans="93:93" x14ac:dyDescent="0.3">
      <c r="CO4586" s="15"/>
    </row>
    <row r="4587" spans="93:93" x14ac:dyDescent="0.3">
      <c r="CO4587" s="15"/>
    </row>
    <row r="4588" spans="93:93" x14ac:dyDescent="0.3">
      <c r="CO4588" s="15"/>
    </row>
    <row r="4589" spans="93:93" x14ac:dyDescent="0.3">
      <c r="CO4589" s="15"/>
    </row>
    <row r="4590" spans="93:93" x14ac:dyDescent="0.3">
      <c r="CO4590" s="15"/>
    </row>
    <row r="4591" spans="93:93" x14ac:dyDescent="0.3">
      <c r="CO4591" s="15"/>
    </row>
    <row r="4592" spans="93:93" x14ac:dyDescent="0.3">
      <c r="CO4592" s="15"/>
    </row>
    <row r="4593" spans="93:93" x14ac:dyDescent="0.3">
      <c r="CO4593" s="15"/>
    </row>
    <row r="4594" spans="93:93" x14ac:dyDescent="0.3">
      <c r="CO4594" s="15"/>
    </row>
    <row r="4595" spans="93:93" x14ac:dyDescent="0.3">
      <c r="CO4595" s="15"/>
    </row>
    <row r="4596" spans="93:93" x14ac:dyDescent="0.3">
      <c r="CO4596" s="15"/>
    </row>
    <row r="4597" spans="93:93" x14ac:dyDescent="0.3">
      <c r="CO4597" s="15"/>
    </row>
    <row r="4598" spans="93:93" x14ac:dyDescent="0.3">
      <c r="CO4598" s="15"/>
    </row>
    <row r="4599" spans="93:93" x14ac:dyDescent="0.3">
      <c r="CO4599" s="15"/>
    </row>
    <row r="4600" spans="93:93" x14ac:dyDescent="0.3">
      <c r="CO4600" s="15"/>
    </row>
    <row r="4601" spans="93:93" x14ac:dyDescent="0.3">
      <c r="CO4601" s="15"/>
    </row>
    <row r="4602" spans="93:93" x14ac:dyDescent="0.3">
      <c r="CO4602" s="15"/>
    </row>
    <row r="4603" spans="93:93" x14ac:dyDescent="0.3">
      <c r="CO4603" s="15"/>
    </row>
    <row r="4604" spans="93:93" x14ac:dyDescent="0.3">
      <c r="CO4604" s="15"/>
    </row>
    <row r="4605" spans="93:93" x14ac:dyDescent="0.3">
      <c r="CO4605" s="15"/>
    </row>
    <row r="4606" spans="93:93" x14ac:dyDescent="0.3">
      <c r="CO4606" s="15"/>
    </row>
    <row r="4607" spans="93:93" x14ac:dyDescent="0.3">
      <c r="CO4607" s="15"/>
    </row>
    <row r="4608" spans="93:93" x14ac:dyDescent="0.3">
      <c r="CO4608" s="15"/>
    </row>
    <row r="4609" spans="93:93" x14ac:dyDescent="0.3">
      <c r="CO4609" s="15"/>
    </row>
    <row r="4610" spans="93:93" x14ac:dyDescent="0.3">
      <c r="CO4610" s="15"/>
    </row>
    <row r="4611" spans="93:93" x14ac:dyDescent="0.3">
      <c r="CO4611" s="15"/>
    </row>
    <row r="4612" spans="93:93" x14ac:dyDescent="0.3">
      <c r="CO4612" s="15"/>
    </row>
    <row r="4613" spans="93:93" x14ac:dyDescent="0.3">
      <c r="CO4613" s="15"/>
    </row>
    <row r="4614" spans="93:93" x14ac:dyDescent="0.3">
      <c r="CO4614" s="15"/>
    </row>
    <row r="4615" spans="93:93" x14ac:dyDescent="0.3">
      <c r="CO4615" s="15"/>
    </row>
    <row r="4616" spans="93:93" x14ac:dyDescent="0.3">
      <c r="CO4616" s="15"/>
    </row>
    <row r="4617" spans="93:93" x14ac:dyDescent="0.3">
      <c r="CO4617" s="15"/>
    </row>
    <row r="4618" spans="93:93" x14ac:dyDescent="0.3">
      <c r="CO4618" s="15"/>
    </row>
    <row r="4619" spans="93:93" x14ac:dyDescent="0.3">
      <c r="CO4619" s="15"/>
    </row>
    <row r="4620" spans="93:93" x14ac:dyDescent="0.3">
      <c r="CO4620" s="15"/>
    </row>
    <row r="4621" spans="93:93" x14ac:dyDescent="0.3">
      <c r="CO4621" s="15"/>
    </row>
    <row r="4622" spans="93:93" x14ac:dyDescent="0.3">
      <c r="CO4622" s="15"/>
    </row>
    <row r="4623" spans="93:93" x14ac:dyDescent="0.3">
      <c r="CO4623" s="15"/>
    </row>
    <row r="4624" spans="93:93" x14ac:dyDescent="0.3">
      <c r="CO4624" s="15"/>
    </row>
    <row r="4625" spans="93:93" x14ac:dyDescent="0.3">
      <c r="CO4625" s="15"/>
    </row>
    <row r="4626" spans="93:93" x14ac:dyDescent="0.3">
      <c r="CO4626" s="15"/>
    </row>
    <row r="4627" spans="93:93" x14ac:dyDescent="0.3">
      <c r="CO4627" s="15"/>
    </row>
    <row r="4628" spans="93:93" x14ac:dyDescent="0.3">
      <c r="CO4628" s="15"/>
    </row>
    <row r="4629" spans="93:93" x14ac:dyDescent="0.3">
      <c r="CO4629" s="15"/>
    </row>
    <row r="4630" spans="93:93" x14ac:dyDescent="0.3">
      <c r="CO4630" s="15"/>
    </row>
    <row r="4631" spans="93:93" x14ac:dyDescent="0.3">
      <c r="CO4631" s="15"/>
    </row>
    <row r="4632" spans="93:93" x14ac:dyDescent="0.3">
      <c r="CO4632" s="15"/>
    </row>
    <row r="4633" spans="93:93" x14ac:dyDescent="0.3">
      <c r="CO4633" s="15"/>
    </row>
    <row r="4634" spans="93:93" x14ac:dyDescent="0.3">
      <c r="CO4634" s="15"/>
    </row>
    <row r="4635" spans="93:93" x14ac:dyDescent="0.3">
      <c r="CO4635" s="15"/>
    </row>
    <row r="4636" spans="93:93" x14ac:dyDescent="0.3">
      <c r="CO4636" s="15"/>
    </row>
    <row r="4637" spans="93:93" x14ac:dyDescent="0.3">
      <c r="CO4637" s="15"/>
    </row>
    <row r="4638" spans="93:93" x14ac:dyDescent="0.3">
      <c r="CO4638" s="15"/>
    </row>
    <row r="4639" spans="93:93" x14ac:dyDescent="0.3">
      <c r="CO4639" s="15"/>
    </row>
    <row r="4640" spans="93:93" x14ac:dyDescent="0.3">
      <c r="CO4640" s="15"/>
    </row>
    <row r="4641" spans="93:93" x14ac:dyDescent="0.3">
      <c r="CO4641" s="15"/>
    </row>
    <row r="4642" spans="93:93" x14ac:dyDescent="0.3">
      <c r="CO4642" s="15"/>
    </row>
    <row r="4643" spans="93:93" x14ac:dyDescent="0.3">
      <c r="CO4643" s="15"/>
    </row>
    <row r="4644" spans="93:93" x14ac:dyDescent="0.3">
      <c r="CO4644" s="15"/>
    </row>
    <row r="4645" spans="93:93" x14ac:dyDescent="0.3">
      <c r="CO4645" s="15"/>
    </row>
    <row r="4646" spans="93:93" x14ac:dyDescent="0.3">
      <c r="CO4646" s="15"/>
    </row>
    <row r="4647" spans="93:93" x14ac:dyDescent="0.3">
      <c r="CO4647" s="15"/>
    </row>
    <row r="4648" spans="93:93" x14ac:dyDescent="0.3">
      <c r="CO4648" s="15"/>
    </row>
    <row r="4649" spans="93:93" x14ac:dyDescent="0.3">
      <c r="CO4649" s="15"/>
    </row>
    <row r="4650" spans="93:93" x14ac:dyDescent="0.3">
      <c r="CO4650" s="15"/>
    </row>
    <row r="4651" spans="93:93" x14ac:dyDescent="0.3">
      <c r="CO4651" s="15"/>
    </row>
    <row r="4652" spans="93:93" x14ac:dyDescent="0.3">
      <c r="CO4652" s="15"/>
    </row>
    <row r="4653" spans="93:93" x14ac:dyDescent="0.3">
      <c r="CO4653" s="15"/>
    </row>
    <row r="4654" spans="93:93" x14ac:dyDescent="0.3">
      <c r="CO4654" s="15"/>
    </row>
    <row r="4655" spans="93:93" x14ac:dyDescent="0.3">
      <c r="CO4655" s="15"/>
    </row>
    <row r="4656" spans="93:93" x14ac:dyDescent="0.3">
      <c r="CO4656" s="15"/>
    </row>
    <row r="4657" spans="93:93" x14ac:dyDescent="0.3">
      <c r="CO4657" s="15"/>
    </row>
    <row r="4658" spans="93:93" x14ac:dyDescent="0.3">
      <c r="CO4658" s="15"/>
    </row>
    <row r="4659" spans="93:93" x14ac:dyDescent="0.3">
      <c r="CO4659" s="15"/>
    </row>
    <row r="4660" spans="93:93" x14ac:dyDescent="0.3">
      <c r="CO4660" s="15"/>
    </row>
    <row r="4661" spans="93:93" x14ac:dyDescent="0.3">
      <c r="CO4661" s="15"/>
    </row>
    <row r="4662" spans="93:93" x14ac:dyDescent="0.3">
      <c r="CO4662" s="15"/>
    </row>
    <row r="4663" spans="93:93" x14ac:dyDescent="0.3">
      <c r="CO4663" s="15"/>
    </row>
    <row r="4664" spans="93:93" x14ac:dyDescent="0.3">
      <c r="CO4664" s="15"/>
    </row>
    <row r="4665" spans="93:93" x14ac:dyDescent="0.3">
      <c r="CO4665" s="15"/>
    </row>
    <row r="4666" spans="93:93" x14ac:dyDescent="0.3">
      <c r="CO4666" s="15"/>
    </row>
    <row r="4667" spans="93:93" x14ac:dyDescent="0.3">
      <c r="CO4667" s="15"/>
    </row>
    <row r="4668" spans="93:93" x14ac:dyDescent="0.3">
      <c r="CO4668" s="15"/>
    </row>
    <row r="4669" spans="93:93" x14ac:dyDescent="0.3">
      <c r="CO4669" s="15"/>
    </row>
    <row r="4670" spans="93:93" x14ac:dyDescent="0.3">
      <c r="CO4670" s="15"/>
    </row>
    <row r="4671" spans="93:93" x14ac:dyDescent="0.3">
      <c r="CO4671" s="15"/>
    </row>
    <row r="4672" spans="93:93" x14ac:dyDescent="0.3">
      <c r="CO4672" s="15"/>
    </row>
    <row r="4673" spans="93:93" x14ac:dyDescent="0.3">
      <c r="CO4673" s="15"/>
    </row>
    <row r="4674" spans="93:93" x14ac:dyDescent="0.3">
      <c r="CO4674" s="15"/>
    </row>
    <row r="4675" spans="93:93" x14ac:dyDescent="0.3">
      <c r="CO4675" s="15"/>
    </row>
    <row r="4676" spans="93:93" x14ac:dyDescent="0.3">
      <c r="CO4676" s="15"/>
    </row>
    <row r="4677" spans="93:93" x14ac:dyDescent="0.3">
      <c r="CO4677" s="15"/>
    </row>
    <row r="4678" spans="93:93" x14ac:dyDescent="0.3">
      <c r="CO4678" s="15"/>
    </row>
    <row r="4679" spans="93:93" x14ac:dyDescent="0.3">
      <c r="CO4679" s="15"/>
    </row>
    <row r="4680" spans="93:93" x14ac:dyDescent="0.3">
      <c r="CO4680" s="15"/>
    </row>
    <row r="4681" spans="93:93" x14ac:dyDescent="0.3">
      <c r="CO4681" s="15"/>
    </row>
    <row r="4682" spans="93:93" x14ac:dyDescent="0.3">
      <c r="CO4682" s="15"/>
    </row>
    <row r="4683" spans="93:93" x14ac:dyDescent="0.3">
      <c r="CO4683" s="15"/>
    </row>
    <row r="4684" spans="93:93" x14ac:dyDescent="0.3">
      <c r="CO4684" s="15"/>
    </row>
    <row r="4685" spans="93:93" x14ac:dyDescent="0.3">
      <c r="CO4685" s="15"/>
    </row>
    <row r="4686" spans="93:93" x14ac:dyDescent="0.3">
      <c r="CO4686" s="15"/>
    </row>
    <row r="4687" spans="93:93" x14ac:dyDescent="0.3">
      <c r="CO4687" s="15"/>
    </row>
    <row r="4688" spans="93:93" x14ac:dyDescent="0.3">
      <c r="CO4688" s="15"/>
    </row>
    <row r="4689" spans="93:93" x14ac:dyDescent="0.3">
      <c r="CO4689" s="15"/>
    </row>
    <row r="4690" spans="93:93" x14ac:dyDescent="0.3">
      <c r="CO4690" s="15"/>
    </row>
    <row r="4691" spans="93:93" x14ac:dyDescent="0.3">
      <c r="CO4691" s="15"/>
    </row>
    <row r="4692" spans="93:93" x14ac:dyDescent="0.3">
      <c r="CO4692" s="15"/>
    </row>
    <row r="4693" spans="93:93" x14ac:dyDescent="0.3">
      <c r="CO4693" s="15"/>
    </row>
    <row r="4694" spans="93:93" x14ac:dyDescent="0.3">
      <c r="CO4694" s="15"/>
    </row>
    <row r="4695" spans="93:93" x14ac:dyDescent="0.3">
      <c r="CO4695" s="15"/>
    </row>
    <row r="4696" spans="93:93" x14ac:dyDescent="0.3">
      <c r="CO4696" s="15"/>
    </row>
    <row r="4697" spans="93:93" x14ac:dyDescent="0.3">
      <c r="CO4697" s="15"/>
    </row>
    <row r="4698" spans="93:93" x14ac:dyDescent="0.3">
      <c r="CO4698" s="15"/>
    </row>
    <row r="4699" spans="93:93" x14ac:dyDescent="0.3">
      <c r="CO4699" s="15"/>
    </row>
    <row r="4700" spans="93:93" x14ac:dyDescent="0.3">
      <c r="CO4700" s="15"/>
    </row>
    <row r="4701" spans="93:93" x14ac:dyDescent="0.3">
      <c r="CO4701" s="15"/>
    </row>
    <row r="4702" spans="93:93" x14ac:dyDescent="0.3">
      <c r="CO4702" s="15"/>
    </row>
    <row r="4703" spans="93:93" x14ac:dyDescent="0.3">
      <c r="CO4703" s="15"/>
    </row>
    <row r="4704" spans="93:93" x14ac:dyDescent="0.3">
      <c r="CO4704" s="15"/>
    </row>
    <row r="4705" spans="93:93" x14ac:dyDescent="0.3">
      <c r="CO4705" s="15"/>
    </row>
    <row r="4706" spans="93:93" x14ac:dyDescent="0.3">
      <c r="CO4706" s="15"/>
    </row>
    <row r="4707" spans="93:93" x14ac:dyDescent="0.3">
      <c r="CO4707" s="15"/>
    </row>
    <row r="4708" spans="93:93" x14ac:dyDescent="0.3">
      <c r="CO4708" s="15"/>
    </row>
    <row r="4709" spans="93:93" x14ac:dyDescent="0.3">
      <c r="CO4709" s="15"/>
    </row>
    <row r="4710" spans="93:93" x14ac:dyDescent="0.3">
      <c r="CO4710" s="15"/>
    </row>
    <row r="4711" spans="93:93" x14ac:dyDescent="0.3">
      <c r="CO4711" s="15"/>
    </row>
    <row r="4712" spans="93:93" x14ac:dyDescent="0.3">
      <c r="CO4712" s="15"/>
    </row>
    <row r="4713" spans="93:93" x14ac:dyDescent="0.3">
      <c r="CO4713" s="15"/>
    </row>
    <row r="4714" spans="93:93" x14ac:dyDescent="0.3">
      <c r="CO4714" s="15"/>
    </row>
    <row r="4715" spans="93:93" x14ac:dyDescent="0.3">
      <c r="CO4715" s="15"/>
    </row>
    <row r="4716" spans="93:93" x14ac:dyDescent="0.3">
      <c r="CO4716" s="15"/>
    </row>
    <row r="4717" spans="93:93" x14ac:dyDescent="0.3">
      <c r="CO4717" s="15"/>
    </row>
    <row r="4718" spans="93:93" x14ac:dyDescent="0.3">
      <c r="CO4718" s="15"/>
    </row>
    <row r="4719" spans="93:93" x14ac:dyDescent="0.3">
      <c r="CO4719" s="15"/>
    </row>
    <row r="4720" spans="93:93" x14ac:dyDescent="0.3">
      <c r="CO4720" s="15"/>
    </row>
    <row r="4721" spans="93:93" x14ac:dyDescent="0.3">
      <c r="CO4721" s="15"/>
    </row>
    <row r="4722" spans="93:93" x14ac:dyDescent="0.3">
      <c r="CO4722" s="15"/>
    </row>
    <row r="4723" spans="93:93" x14ac:dyDescent="0.3">
      <c r="CO4723" s="15"/>
    </row>
    <row r="4724" spans="93:93" x14ac:dyDescent="0.3">
      <c r="CO4724" s="15"/>
    </row>
    <row r="4725" spans="93:93" x14ac:dyDescent="0.3">
      <c r="CO4725" s="15"/>
    </row>
    <row r="4726" spans="93:93" x14ac:dyDescent="0.3">
      <c r="CO4726" s="15"/>
    </row>
    <row r="4727" spans="93:93" x14ac:dyDescent="0.3">
      <c r="CO4727" s="15"/>
    </row>
    <row r="4728" spans="93:93" x14ac:dyDescent="0.3">
      <c r="CO4728" s="15"/>
    </row>
    <row r="4729" spans="93:93" x14ac:dyDescent="0.3">
      <c r="CO4729" s="15"/>
    </row>
    <row r="4730" spans="93:93" x14ac:dyDescent="0.3">
      <c r="CO4730" s="15"/>
    </row>
    <row r="4731" spans="93:93" x14ac:dyDescent="0.3">
      <c r="CO4731" s="15"/>
    </row>
    <row r="4732" spans="93:93" x14ac:dyDescent="0.3">
      <c r="CO4732" s="15"/>
    </row>
    <row r="4733" spans="93:93" x14ac:dyDescent="0.3">
      <c r="CO4733" s="15"/>
    </row>
    <row r="4734" spans="93:93" x14ac:dyDescent="0.3">
      <c r="CO4734" s="15"/>
    </row>
    <row r="4735" spans="93:93" x14ac:dyDescent="0.3">
      <c r="CO4735" s="15"/>
    </row>
    <row r="4736" spans="93:93" x14ac:dyDescent="0.3">
      <c r="CO4736" s="15"/>
    </row>
    <row r="4737" spans="93:93" x14ac:dyDescent="0.3">
      <c r="CO4737" s="15"/>
    </row>
    <row r="4738" spans="93:93" x14ac:dyDescent="0.3">
      <c r="CO4738" s="15"/>
    </row>
    <row r="4739" spans="93:93" x14ac:dyDescent="0.3">
      <c r="CO4739" s="15"/>
    </row>
    <row r="4740" spans="93:93" x14ac:dyDescent="0.3">
      <c r="CO4740" s="15"/>
    </row>
    <row r="4741" spans="93:93" x14ac:dyDescent="0.3">
      <c r="CO4741" s="15"/>
    </row>
    <row r="4742" spans="93:93" x14ac:dyDescent="0.3">
      <c r="CO4742" s="15"/>
    </row>
    <row r="4743" spans="93:93" x14ac:dyDescent="0.3">
      <c r="CO4743" s="15"/>
    </row>
    <row r="4744" spans="93:93" x14ac:dyDescent="0.3">
      <c r="CO4744" s="15"/>
    </row>
    <row r="4745" spans="93:93" x14ac:dyDescent="0.3">
      <c r="CO4745" s="15"/>
    </row>
    <row r="4746" spans="93:93" x14ac:dyDescent="0.3">
      <c r="CO4746" s="15"/>
    </row>
    <row r="4747" spans="93:93" x14ac:dyDescent="0.3">
      <c r="CO4747" s="15"/>
    </row>
    <row r="4748" spans="93:93" x14ac:dyDescent="0.3">
      <c r="CO4748" s="15"/>
    </row>
    <row r="4749" spans="93:93" x14ac:dyDescent="0.3">
      <c r="CO4749" s="15"/>
    </row>
    <row r="4750" spans="93:93" x14ac:dyDescent="0.3">
      <c r="CO4750" s="15"/>
    </row>
    <row r="4751" spans="93:93" x14ac:dyDescent="0.3">
      <c r="CO4751" s="15"/>
    </row>
    <row r="4752" spans="93:93" x14ac:dyDescent="0.3">
      <c r="CO4752" s="15"/>
    </row>
    <row r="4753" spans="93:93" x14ac:dyDescent="0.3">
      <c r="CO4753" s="15"/>
    </row>
    <row r="4754" spans="93:93" x14ac:dyDescent="0.3">
      <c r="CO4754" s="15"/>
    </row>
    <row r="4755" spans="93:93" x14ac:dyDescent="0.3">
      <c r="CO4755" s="15"/>
    </row>
    <row r="4756" spans="93:93" x14ac:dyDescent="0.3">
      <c r="CO4756" s="15"/>
    </row>
    <row r="4757" spans="93:93" x14ac:dyDescent="0.3">
      <c r="CO4757" s="15"/>
    </row>
    <row r="4758" spans="93:93" x14ac:dyDescent="0.3">
      <c r="CO4758" s="15"/>
    </row>
    <row r="4759" spans="93:93" x14ac:dyDescent="0.3">
      <c r="CO4759" s="15"/>
    </row>
    <row r="4760" spans="93:93" x14ac:dyDescent="0.3">
      <c r="CO4760" s="15"/>
    </row>
    <row r="4761" spans="93:93" x14ac:dyDescent="0.3">
      <c r="CO4761" s="15"/>
    </row>
    <row r="4762" spans="93:93" x14ac:dyDescent="0.3">
      <c r="CO4762" s="15"/>
    </row>
    <row r="4763" spans="93:93" x14ac:dyDescent="0.3">
      <c r="CO4763" s="15"/>
    </row>
    <row r="4764" spans="93:93" x14ac:dyDescent="0.3">
      <c r="CO4764" s="15"/>
    </row>
    <row r="4765" spans="93:93" x14ac:dyDescent="0.3">
      <c r="CO4765" s="15"/>
    </row>
    <row r="4766" spans="93:93" x14ac:dyDescent="0.3">
      <c r="CO4766" s="15"/>
    </row>
    <row r="4767" spans="93:93" x14ac:dyDescent="0.3">
      <c r="CO4767" s="15"/>
    </row>
    <row r="4768" spans="93:93" x14ac:dyDescent="0.3">
      <c r="CO4768" s="15"/>
    </row>
    <row r="4769" spans="93:93" x14ac:dyDescent="0.3">
      <c r="CO4769" s="15"/>
    </row>
    <row r="4770" spans="93:93" x14ac:dyDescent="0.3">
      <c r="CO4770" s="15"/>
    </row>
    <row r="4771" spans="93:93" x14ac:dyDescent="0.3">
      <c r="CO4771" s="15"/>
    </row>
    <row r="4772" spans="93:93" x14ac:dyDescent="0.3">
      <c r="CO4772" s="15"/>
    </row>
    <row r="4773" spans="93:93" x14ac:dyDescent="0.3">
      <c r="CO4773" s="15"/>
    </row>
    <row r="4774" spans="93:93" x14ac:dyDescent="0.3">
      <c r="CO4774" s="15"/>
    </row>
    <row r="4775" spans="93:93" x14ac:dyDescent="0.3">
      <c r="CO4775" s="15"/>
    </row>
    <row r="4776" spans="93:93" x14ac:dyDescent="0.3">
      <c r="CO4776" s="15"/>
    </row>
    <row r="4777" spans="93:93" x14ac:dyDescent="0.3">
      <c r="CO4777" s="15"/>
    </row>
    <row r="4778" spans="93:93" x14ac:dyDescent="0.3">
      <c r="CO4778" s="15"/>
    </row>
    <row r="4779" spans="93:93" x14ac:dyDescent="0.3">
      <c r="CO4779" s="15"/>
    </row>
    <row r="4780" spans="93:93" x14ac:dyDescent="0.3">
      <c r="CO4780" s="15"/>
    </row>
    <row r="4781" spans="93:93" x14ac:dyDescent="0.3">
      <c r="CO4781" s="15"/>
    </row>
    <row r="4782" spans="93:93" x14ac:dyDescent="0.3">
      <c r="CO4782" s="15"/>
    </row>
    <row r="4783" spans="93:93" x14ac:dyDescent="0.3">
      <c r="CO4783" s="15"/>
    </row>
    <row r="4784" spans="93:93" x14ac:dyDescent="0.3">
      <c r="CO4784" s="15"/>
    </row>
    <row r="4785" spans="93:93" x14ac:dyDescent="0.3">
      <c r="CO4785" s="15"/>
    </row>
    <row r="4786" spans="93:93" x14ac:dyDescent="0.3">
      <c r="CO4786" s="15"/>
    </row>
    <row r="4787" spans="93:93" x14ac:dyDescent="0.3">
      <c r="CO4787" s="15"/>
    </row>
    <row r="4788" spans="93:93" x14ac:dyDescent="0.3">
      <c r="CO4788" s="15"/>
    </row>
    <row r="4789" spans="93:93" x14ac:dyDescent="0.3">
      <c r="CO4789" s="15"/>
    </row>
    <row r="4790" spans="93:93" x14ac:dyDescent="0.3">
      <c r="CO4790" s="15"/>
    </row>
    <row r="4791" spans="93:93" x14ac:dyDescent="0.3">
      <c r="CO4791" s="15"/>
    </row>
    <row r="4792" spans="93:93" x14ac:dyDescent="0.3">
      <c r="CO4792" s="15"/>
    </row>
    <row r="4793" spans="93:93" x14ac:dyDescent="0.3">
      <c r="CO4793" s="15"/>
    </row>
    <row r="4794" spans="93:93" x14ac:dyDescent="0.3">
      <c r="CO4794" s="15"/>
    </row>
    <row r="4795" spans="93:93" x14ac:dyDescent="0.3">
      <c r="CO4795" s="15"/>
    </row>
    <row r="4796" spans="93:93" x14ac:dyDescent="0.3">
      <c r="CO4796" s="15"/>
    </row>
    <row r="4797" spans="93:93" x14ac:dyDescent="0.3">
      <c r="CO4797" s="15"/>
    </row>
    <row r="4798" spans="93:93" x14ac:dyDescent="0.3">
      <c r="CO4798" s="15"/>
    </row>
    <row r="4799" spans="93:93" x14ac:dyDescent="0.3">
      <c r="CO4799" s="15"/>
    </row>
    <row r="4800" spans="93:93" x14ac:dyDescent="0.3">
      <c r="CO4800" s="15"/>
    </row>
    <row r="4801" spans="93:93" x14ac:dyDescent="0.3">
      <c r="CO4801" s="15"/>
    </row>
    <row r="4802" spans="93:93" x14ac:dyDescent="0.3">
      <c r="CO4802" s="15"/>
    </row>
    <row r="4803" spans="93:93" x14ac:dyDescent="0.3">
      <c r="CO4803" s="15"/>
    </row>
    <row r="4804" spans="93:93" x14ac:dyDescent="0.3">
      <c r="CO4804" s="15"/>
    </row>
    <row r="4805" spans="93:93" x14ac:dyDescent="0.3">
      <c r="CO4805" s="15"/>
    </row>
    <row r="4806" spans="93:93" x14ac:dyDescent="0.3">
      <c r="CO4806" s="15"/>
    </row>
    <row r="4807" spans="93:93" x14ac:dyDescent="0.3">
      <c r="CO4807" s="15"/>
    </row>
    <row r="4808" spans="93:93" x14ac:dyDescent="0.3">
      <c r="CO4808" s="15"/>
    </row>
    <row r="4809" spans="93:93" x14ac:dyDescent="0.3">
      <c r="CO4809" s="15"/>
    </row>
    <row r="4810" spans="93:93" x14ac:dyDescent="0.3">
      <c r="CO4810" s="15"/>
    </row>
    <row r="4811" spans="93:93" x14ac:dyDescent="0.3">
      <c r="CO4811" s="15"/>
    </row>
    <row r="4812" spans="93:93" x14ac:dyDescent="0.3">
      <c r="CO4812" s="15"/>
    </row>
    <row r="4813" spans="93:93" x14ac:dyDescent="0.3">
      <c r="CO4813" s="15"/>
    </row>
    <row r="4814" spans="93:93" x14ac:dyDescent="0.3">
      <c r="CO4814" s="15"/>
    </row>
    <row r="4815" spans="93:93" x14ac:dyDescent="0.3">
      <c r="CO4815" s="15"/>
    </row>
    <row r="4816" spans="93:93" x14ac:dyDescent="0.3">
      <c r="CO4816" s="15"/>
    </row>
    <row r="4817" spans="93:93" x14ac:dyDescent="0.3">
      <c r="CO4817" s="15"/>
    </row>
    <row r="4818" spans="93:93" x14ac:dyDescent="0.3">
      <c r="CO4818" s="15"/>
    </row>
    <row r="4819" spans="93:93" x14ac:dyDescent="0.3">
      <c r="CO4819" s="15"/>
    </row>
    <row r="4820" spans="93:93" x14ac:dyDescent="0.3">
      <c r="CO4820" s="15"/>
    </row>
    <row r="4821" spans="93:93" x14ac:dyDescent="0.3">
      <c r="CO4821" s="15"/>
    </row>
    <row r="4822" spans="93:93" x14ac:dyDescent="0.3">
      <c r="CO4822" s="15"/>
    </row>
    <row r="4823" spans="93:93" x14ac:dyDescent="0.3">
      <c r="CO4823" s="15"/>
    </row>
    <row r="4824" spans="93:93" x14ac:dyDescent="0.3">
      <c r="CO4824" s="15"/>
    </row>
    <row r="4825" spans="93:93" x14ac:dyDescent="0.3">
      <c r="CO4825" s="15"/>
    </row>
    <row r="4826" spans="93:93" x14ac:dyDescent="0.3">
      <c r="CO4826" s="15"/>
    </row>
    <row r="4827" spans="93:93" x14ac:dyDescent="0.3">
      <c r="CO4827" s="15"/>
    </row>
    <row r="4828" spans="93:93" x14ac:dyDescent="0.3">
      <c r="CO4828" s="15"/>
    </row>
    <row r="4829" spans="93:93" x14ac:dyDescent="0.3">
      <c r="CO4829" s="15"/>
    </row>
    <row r="4830" spans="93:93" x14ac:dyDescent="0.3">
      <c r="CO4830" s="15"/>
    </row>
    <row r="4831" spans="93:93" x14ac:dyDescent="0.3">
      <c r="CO4831" s="15"/>
    </row>
    <row r="4832" spans="93:93" x14ac:dyDescent="0.3">
      <c r="CO4832" s="15"/>
    </row>
    <row r="4833" spans="93:93" x14ac:dyDescent="0.3">
      <c r="CO4833" s="15"/>
    </row>
    <row r="4834" spans="93:93" x14ac:dyDescent="0.3">
      <c r="CO4834" s="15"/>
    </row>
    <row r="4835" spans="93:93" x14ac:dyDescent="0.3">
      <c r="CO4835" s="15"/>
    </row>
    <row r="4836" spans="93:93" x14ac:dyDescent="0.3">
      <c r="CO4836" s="15"/>
    </row>
    <row r="4837" spans="93:93" x14ac:dyDescent="0.3">
      <c r="CO4837" s="15"/>
    </row>
    <row r="4838" spans="93:93" x14ac:dyDescent="0.3">
      <c r="CO4838" s="15"/>
    </row>
    <row r="4839" spans="93:93" x14ac:dyDescent="0.3">
      <c r="CO4839" s="15"/>
    </row>
    <row r="4840" spans="93:93" x14ac:dyDescent="0.3">
      <c r="CO4840" s="15"/>
    </row>
    <row r="4841" spans="93:93" x14ac:dyDescent="0.3">
      <c r="CO4841" s="15"/>
    </row>
    <row r="4842" spans="93:93" x14ac:dyDescent="0.3">
      <c r="CO4842" s="15"/>
    </row>
    <row r="4843" spans="93:93" x14ac:dyDescent="0.3">
      <c r="CO4843" s="15"/>
    </row>
    <row r="4844" spans="93:93" x14ac:dyDescent="0.3">
      <c r="CO4844" s="15"/>
    </row>
    <row r="4845" spans="93:93" x14ac:dyDescent="0.3">
      <c r="CO4845" s="15"/>
    </row>
    <row r="4846" spans="93:93" x14ac:dyDescent="0.3">
      <c r="CO4846" s="15"/>
    </row>
    <row r="4847" spans="93:93" x14ac:dyDescent="0.3">
      <c r="CO4847" s="15"/>
    </row>
    <row r="4848" spans="93:93" x14ac:dyDescent="0.3">
      <c r="CO4848" s="15"/>
    </row>
    <row r="4849" spans="93:93" x14ac:dyDescent="0.3">
      <c r="CO4849" s="15"/>
    </row>
    <row r="4850" spans="93:93" x14ac:dyDescent="0.3">
      <c r="CO4850" s="15"/>
    </row>
    <row r="4851" spans="93:93" x14ac:dyDescent="0.3">
      <c r="CO4851" s="15"/>
    </row>
    <row r="4852" spans="93:93" x14ac:dyDescent="0.3">
      <c r="CO4852" s="15"/>
    </row>
    <row r="4853" spans="93:93" x14ac:dyDescent="0.3">
      <c r="CO4853" s="15"/>
    </row>
    <row r="4854" spans="93:93" x14ac:dyDescent="0.3">
      <c r="CO4854" s="15"/>
    </row>
    <row r="4855" spans="93:93" x14ac:dyDescent="0.3">
      <c r="CO4855" s="15"/>
    </row>
    <row r="4856" spans="93:93" x14ac:dyDescent="0.3">
      <c r="CO4856" s="15"/>
    </row>
    <row r="4857" spans="93:93" x14ac:dyDescent="0.3">
      <c r="CO4857" s="15"/>
    </row>
    <row r="4858" spans="93:93" x14ac:dyDescent="0.3">
      <c r="CO4858" s="15"/>
    </row>
    <row r="4859" spans="93:93" x14ac:dyDescent="0.3">
      <c r="CO4859" s="15"/>
    </row>
    <row r="4860" spans="93:93" x14ac:dyDescent="0.3">
      <c r="CO4860" s="15"/>
    </row>
    <row r="4861" spans="93:93" x14ac:dyDescent="0.3">
      <c r="CO4861" s="15"/>
    </row>
    <row r="4862" spans="93:93" x14ac:dyDescent="0.3">
      <c r="CO4862" s="15"/>
    </row>
    <row r="4863" spans="93:93" x14ac:dyDescent="0.3">
      <c r="CO4863" s="15"/>
    </row>
    <row r="4864" spans="93:93" x14ac:dyDescent="0.3">
      <c r="CO4864" s="15"/>
    </row>
    <row r="4865" spans="93:93" x14ac:dyDescent="0.3">
      <c r="CO4865" s="15"/>
    </row>
    <row r="4866" spans="93:93" x14ac:dyDescent="0.3">
      <c r="CO4866" s="15"/>
    </row>
    <row r="4867" spans="93:93" x14ac:dyDescent="0.3">
      <c r="CO4867" s="15"/>
    </row>
    <row r="4868" spans="93:93" x14ac:dyDescent="0.3">
      <c r="CO4868" s="15"/>
    </row>
    <row r="4869" spans="93:93" x14ac:dyDescent="0.3">
      <c r="CO4869" s="15"/>
    </row>
    <row r="4870" spans="93:93" x14ac:dyDescent="0.3">
      <c r="CO4870" s="15"/>
    </row>
    <row r="4871" spans="93:93" x14ac:dyDescent="0.3">
      <c r="CO4871" s="15"/>
    </row>
    <row r="4872" spans="93:93" x14ac:dyDescent="0.3">
      <c r="CO4872" s="15"/>
    </row>
    <row r="4873" spans="93:93" x14ac:dyDescent="0.3">
      <c r="CO4873" s="15"/>
    </row>
    <row r="4874" spans="93:93" x14ac:dyDescent="0.3">
      <c r="CO4874" s="15"/>
    </row>
    <row r="4875" spans="93:93" x14ac:dyDescent="0.3">
      <c r="CO4875" s="15"/>
    </row>
    <row r="4876" spans="93:93" x14ac:dyDescent="0.3">
      <c r="CO4876" s="15"/>
    </row>
    <row r="4877" spans="93:93" x14ac:dyDescent="0.3">
      <c r="CO4877" s="15"/>
    </row>
    <row r="4878" spans="93:93" x14ac:dyDescent="0.3">
      <c r="CO4878" s="15"/>
    </row>
    <row r="4879" spans="93:93" x14ac:dyDescent="0.3">
      <c r="CO4879" s="15"/>
    </row>
    <row r="4880" spans="93:93" x14ac:dyDescent="0.3">
      <c r="CO4880" s="15"/>
    </row>
    <row r="4881" spans="93:93" x14ac:dyDescent="0.3">
      <c r="CO4881" s="15"/>
    </row>
    <row r="4882" spans="93:93" x14ac:dyDescent="0.3">
      <c r="CO4882" s="15"/>
    </row>
    <row r="4883" spans="93:93" x14ac:dyDescent="0.3">
      <c r="CO4883" s="15"/>
    </row>
    <row r="4884" spans="93:93" x14ac:dyDescent="0.3">
      <c r="CO4884" s="15"/>
    </row>
    <row r="4885" spans="93:93" x14ac:dyDescent="0.3">
      <c r="CO4885" s="15"/>
    </row>
    <row r="4886" spans="93:93" x14ac:dyDescent="0.3">
      <c r="CO4886" s="15"/>
    </row>
    <row r="4887" spans="93:93" x14ac:dyDescent="0.3">
      <c r="CO4887" s="15"/>
    </row>
    <row r="4888" spans="93:93" x14ac:dyDescent="0.3">
      <c r="CO4888" s="15"/>
    </row>
    <row r="4889" spans="93:93" x14ac:dyDescent="0.3">
      <c r="CO4889" s="15"/>
    </row>
    <row r="4890" spans="93:93" x14ac:dyDescent="0.3">
      <c r="CO4890" s="15"/>
    </row>
    <row r="4891" spans="93:93" x14ac:dyDescent="0.3">
      <c r="CO4891" s="15"/>
    </row>
    <row r="4892" spans="93:93" x14ac:dyDescent="0.3">
      <c r="CO4892" s="15"/>
    </row>
    <row r="4893" spans="93:93" x14ac:dyDescent="0.3">
      <c r="CO4893" s="15"/>
    </row>
    <row r="4894" spans="93:93" x14ac:dyDescent="0.3">
      <c r="CO4894" s="15"/>
    </row>
    <row r="4895" spans="93:93" x14ac:dyDescent="0.3">
      <c r="CO4895" s="15"/>
    </row>
    <row r="4896" spans="93:93" x14ac:dyDescent="0.3">
      <c r="CO4896" s="15"/>
    </row>
    <row r="4897" spans="93:93" x14ac:dyDescent="0.3">
      <c r="CO4897" s="15"/>
    </row>
    <row r="4898" spans="93:93" x14ac:dyDescent="0.3">
      <c r="CO4898" s="15"/>
    </row>
    <row r="4899" spans="93:93" x14ac:dyDescent="0.3">
      <c r="CO4899" s="15"/>
    </row>
    <row r="4900" spans="93:93" x14ac:dyDescent="0.3">
      <c r="CO4900" s="15"/>
    </row>
    <row r="4901" spans="93:93" x14ac:dyDescent="0.3">
      <c r="CO4901" s="15"/>
    </row>
    <row r="4902" spans="93:93" x14ac:dyDescent="0.3">
      <c r="CO4902" s="15"/>
    </row>
    <row r="4903" spans="93:93" x14ac:dyDescent="0.3">
      <c r="CO4903" s="15"/>
    </row>
    <row r="4904" spans="93:93" x14ac:dyDescent="0.3">
      <c r="CO4904" s="15"/>
    </row>
    <row r="4905" spans="93:93" x14ac:dyDescent="0.3">
      <c r="CO4905" s="15"/>
    </row>
    <row r="4906" spans="93:93" x14ac:dyDescent="0.3">
      <c r="CO4906" s="15"/>
    </row>
    <row r="4907" spans="93:93" x14ac:dyDescent="0.3">
      <c r="CO4907" s="15"/>
    </row>
    <row r="4908" spans="93:93" x14ac:dyDescent="0.3">
      <c r="CO4908" s="15"/>
    </row>
    <row r="4909" spans="93:93" x14ac:dyDescent="0.3">
      <c r="CO4909" s="15"/>
    </row>
    <row r="4910" spans="93:93" x14ac:dyDescent="0.3">
      <c r="CO4910" s="15"/>
    </row>
    <row r="4911" spans="93:93" x14ac:dyDescent="0.3">
      <c r="CO4911" s="15"/>
    </row>
    <row r="4912" spans="93:93" x14ac:dyDescent="0.3">
      <c r="CO4912" s="15"/>
    </row>
    <row r="4913" spans="93:93" x14ac:dyDescent="0.3">
      <c r="CO4913" s="15"/>
    </row>
    <row r="4914" spans="93:93" x14ac:dyDescent="0.3">
      <c r="CO4914" s="15"/>
    </row>
    <row r="4915" spans="93:93" x14ac:dyDescent="0.3">
      <c r="CO4915" s="15"/>
    </row>
    <row r="4916" spans="93:93" x14ac:dyDescent="0.3">
      <c r="CO4916" s="15"/>
    </row>
    <row r="4917" spans="93:93" x14ac:dyDescent="0.3">
      <c r="CO4917" s="15"/>
    </row>
    <row r="4918" spans="93:93" x14ac:dyDescent="0.3">
      <c r="CO4918" s="15"/>
    </row>
    <row r="4919" spans="93:93" x14ac:dyDescent="0.3">
      <c r="CO4919" s="15"/>
    </row>
    <row r="4920" spans="93:93" x14ac:dyDescent="0.3">
      <c r="CO4920" s="15"/>
    </row>
    <row r="4921" spans="93:93" x14ac:dyDescent="0.3">
      <c r="CO4921" s="15"/>
    </row>
    <row r="4922" spans="93:93" x14ac:dyDescent="0.3">
      <c r="CO4922" s="15"/>
    </row>
    <row r="4923" spans="93:93" x14ac:dyDescent="0.3">
      <c r="CO4923" s="15"/>
    </row>
    <row r="4924" spans="93:93" x14ac:dyDescent="0.3">
      <c r="CO4924" s="15"/>
    </row>
    <row r="4925" spans="93:93" x14ac:dyDescent="0.3">
      <c r="CO4925" s="15"/>
    </row>
    <row r="4926" spans="93:93" x14ac:dyDescent="0.3">
      <c r="CO4926" s="15"/>
    </row>
    <row r="4927" spans="93:93" x14ac:dyDescent="0.3">
      <c r="CO4927" s="15"/>
    </row>
    <row r="4928" spans="93:93" x14ac:dyDescent="0.3">
      <c r="CO4928" s="15"/>
    </row>
    <row r="4929" spans="93:93" x14ac:dyDescent="0.3">
      <c r="CO4929" s="15"/>
    </row>
    <row r="4930" spans="93:93" x14ac:dyDescent="0.3">
      <c r="CO4930" s="15"/>
    </row>
    <row r="4931" spans="93:93" x14ac:dyDescent="0.3">
      <c r="CO4931" s="15"/>
    </row>
    <row r="4932" spans="93:93" x14ac:dyDescent="0.3">
      <c r="CO4932" s="15"/>
    </row>
    <row r="4933" spans="93:93" x14ac:dyDescent="0.3">
      <c r="CO4933" s="15"/>
    </row>
    <row r="4934" spans="93:93" x14ac:dyDescent="0.3">
      <c r="CO4934" s="15"/>
    </row>
    <row r="4935" spans="93:93" x14ac:dyDescent="0.3">
      <c r="CO4935" s="15"/>
    </row>
    <row r="4936" spans="93:93" x14ac:dyDescent="0.3">
      <c r="CO4936" s="15"/>
    </row>
    <row r="4937" spans="93:93" x14ac:dyDescent="0.3">
      <c r="CO4937" s="15"/>
    </row>
    <row r="4938" spans="93:93" x14ac:dyDescent="0.3">
      <c r="CO4938" s="15"/>
    </row>
    <row r="4939" spans="93:93" x14ac:dyDescent="0.3">
      <c r="CO4939" s="15"/>
    </row>
    <row r="4940" spans="93:93" x14ac:dyDescent="0.3">
      <c r="CO4940" s="15"/>
    </row>
    <row r="4941" spans="93:93" x14ac:dyDescent="0.3">
      <c r="CO4941" s="15"/>
    </row>
    <row r="4942" spans="93:93" x14ac:dyDescent="0.3">
      <c r="CO4942" s="15"/>
    </row>
    <row r="4943" spans="93:93" x14ac:dyDescent="0.3">
      <c r="CO4943" s="15"/>
    </row>
    <row r="4944" spans="93:93" x14ac:dyDescent="0.3">
      <c r="CO4944" s="15"/>
    </row>
    <row r="4945" spans="93:93" x14ac:dyDescent="0.3">
      <c r="CO4945" s="15"/>
    </row>
    <row r="4946" spans="93:93" x14ac:dyDescent="0.3">
      <c r="CO4946" s="15"/>
    </row>
    <row r="4947" spans="93:93" x14ac:dyDescent="0.3">
      <c r="CO4947" s="15"/>
    </row>
    <row r="4948" spans="93:93" x14ac:dyDescent="0.3">
      <c r="CO4948" s="15"/>
    </row>
    <row r="4949" spans="93:93" x14ac:dyDescent="0.3">
      <c r="CO4949" s="15"/>
    </row>
    <row r="4950" spans="93:93" x14ac:dyDescent="0.3">
      <c r="CO4950" s="15"/>
    </row>
    <row r="4951" spans="93:93" x14ac:dyDescent="0.3">
      <c r="CO4951" s="15"/>
    </row>
    <row r="4952" spans="93:93" x14ac:dyDescent="0.3">
      <c r="CO4952" s="15"/>
    </row>
    <row r="4953" spans="93:93" x14ac:dyDescent="0.3">
      <c r="CO4953" s="15"/>
    </row>
    <row r="4954" spans="93:93" x14ac:dyDescent="0.3">
      <c r="CO4954" s="15"/>
    </row>
    <row r="4955" spans="93:93" x14ac:dyDescent="0.3">
      <c r="CO4955" s="15"/>
    </row>
    <row r="4956" spans="93:93" x14ac:dyDescent="0.3">
      <c r="CO4956" s="15"/>
    </row>
    <row r="4957" spans="93:93" x14ac:dyDescent="0.3">
      <c r="CO4957" s="15"/>
    </row>
    <row r="4958" spans="93:93" x14ac:dyDescent="0.3">
      <c r="CO4958" s="15"/>
    </row>
    <row r="4959" spans="93:93" x14ac:dyDescent="0.3">
      <c r="CO4959" s="15"/>
    </row>
    <row r="4960" spans="93:93" x14ac:dyDescent="0.3">
      <c r="CO4960" s="15"/>
    </row>
    <row r="4961" spans="93:93" x14ac:dyDescent="0.3">
      <c r="CO4961" s="15"/>
    </row>
    <row r="4962" spans="93:93" x14ac:dyDescent="0.3">
      <c r="CO4962" s="15"/>
    </row>
    <row r="4963" spans="93:93" x14ac:dyDescent="0.3">
      <c r="CO4963" s="15"/>
    </row>
    <row r="4964" spans="93:93" x14ac:dyDescent="0.3">
      <c r="CO4964" s="15"/>
    </row>
    <row r="4965" spans="93:93" x14ac:dyDescent="0.3">
      <c r="CO4965" s="15"/>
    </row>
    <row r="4966" spans="93:93" x14ac:dyDescent="0.3">
      <c r="CO4966" s="15"/>
    </row>
    <row r="4967" spans="93:93" x14ac:dyDescent="0.3">
      <c r="CO4967" s="15"/>
    </row>
    <row r="4968" spans="93:93" x14ac:dyDescent="0.3">
      <c r="CO4968" s="15"/>
    </row>
    <row r="4969" spans="93:93" x14ac:dyDescent="0.3">
      <c r="CO4969" s="15"/>
    </row>
    <row r="4970" spans="93:93" x14ac:dyDescent="0.3">
      <c r="CO4970" s="15"/>
    </row>
    <row r="4971" spans="93:93" x14ac:dyDescent="0.3">
      <c r="CO4971" s="15"/>
    </row>
    <row r="4972" spans="93:93" x14ac:dyDescent="0.3">
      <c r="CO4972" s="15"/>
    </row>
    <row r="4973" spans="93:93" x14ac:dyDescent="0.3">
      <c r="CO4973" s="15"/>
    </row>
    <row r="4974" spans="93:93" x14ac:dyDescent="0.3">
      <c r="CO4974" s="15"/>
    </row>
    <row r="4975" spans="93:93" x14ac:dyDescent="0.3">
      <c r="CO4975" s="15"/>
    </row>
    <row r="4976" spans="93:93" x14ac:dyDescent="0.3">
      <c r="CO4976" s="15"/>
    </row>
    <row r="4977" spans="93:93" x14ac:dyDescent="0.3">
      <c r="CO4977" s="15"/>
    </row>
    <row r="4978" spans="93:93" x14ac:dyDescent="0.3">
      <c r="CO4978" s="15"/>
    </row>
    <row r="4979" spans="93:93" x14ac:dyDescent="0.3">
      <c r="CO4979" s="15"/>
    </row>
    <row r="4980" spans="93:93" x14ac:dyDescent="0.3">
      <c r="CO4980" s="15"/>
    </row>
    <row r="4981" spans="93:93" x14ac:dyDescent="0.3">
      <c r="CO4981" s="15"/>
    </row>
    <row r="4982" spans="93:93" x14ac:dyDescent="0.3">
      <c r="CO4982" s="15"/>
    </row>
    <row r="4983" spans="93:93" x14ac:dyDescent="0.3">
      <c r="CO4983" s="15"/>
    </row>
    <row r="4984" spans="93:93" x14ac:dyDescent="0.3">
      <c r="CO4984" s="15"/>
    </row>
    <row r="4985" spans="93:93" x14ac:dyDescent="0.3">
      <c r="CO4985" s="15"/>
    </row>
    <row r="4986" spans="93:93" x14ac:dyDescent="0.3">
      <c r="CO4986" s="15"/>
    </row>
    <row r="4987" spans="93:93" x14ac:dyDescent="0.3">
      <c r="CO4987" s="15"/>
    </row>
    <row r="4988" spans="93:93" x14ac:dyDescent="0.3">
      <c r="CO4988" s="15"/>
    </row>
    <row r="4989" spans="93:93" x14ac:dyDescent="0.3">
      <c r="CO4989" s="15"/>
    </row>
    <row r="4990" spans="93:93" x14ac:dyDescent="0.3">
      <c r="CO4990" s="15"/>
    </row>
    <row r="4991" spans="93:93" x14ac:dyDescent="0.3">
      <c r="CO4991" s="15"/>
    </row>
    <row r="4992" spans="93:93" x14ac:dyDescent="0.3">
      <c r="CO4992" s="15"/>
    </row>
    <row r="4993" spans="93:93" x14ac:dyDescent="0.3">
      <c r="CO4993" s="15"/>
    </row>
    <row r="4994" spans="93:93" x14ac:dyDescent="0.3">
      <c r="CO4994" s="15"/>
    </row>
    <row r="4995" spans="93:93" x14ac:dyDescent="0.3">
      <c r="CO4995" s="15"/>
    </row>
    <row r="4996" spans="93:93" x14ac:dyDescent="0.3">
      <c r="CO4996" s="15"/>
    </row>
    <row r="4997" spans="93:93" x14ac:dyDescent="0.3">
      <c r="CO4997" s="15"/>
    </row>
    <row r="4998" spans="93:93" x14ac:dyDescent="0.3">
      <c r="CO4998" s="15"/>
    </row>
    <row r="4999" spans="93:93" x14ac:dyDescent="0.3">
      <c r="CO4999" s="15"/>
    </row>
    <row r="5000" spans="93:93" x14ac:dyDescent="0.3">
      <c r="CO5000" s="15"/>
    </row>
    <row r="5001" spans="93:93" x14ac:dyDescent="0.3">
      <c r="CO5001" s="15"/>
    </row>
    <row r="5002" spans="93:93" x14ac:dyDescent="0.3">
      <c r="CO5002" s="15"/>
    </row>
    <row r="5003" spans="93:93" x14ac:dyDescent="0.3">
      <c r="CO5003" s="15"/>
    </row>
    <row r="5004" spans="93:93" x14ac:dyDescent="0.3">
      <c r="CO5004" s="15"/>
    </row>
    <row r="5005" spans="93:93" x14ac:dyDescent="0.3">
      <c r="CO5005" s="15"/>
    </row>
    <row r="5006" spans="93:93" x14ac:dyDescent="0.3">
      <c r="CO5006" s="15"/>
    </row>
    <row r="5007" spans="93:93" x14ac:dyDescent="0.3">
      <c r="CO5007" s="15"/>
    </row>
    <row r="5008" spans="93:93" x14ac:dyDescent="0.3">
      <c r="CO5008" s="15"/>
    </row>
    <row r="5009" spans="93:93" x14ac:dyDescent="0.3">
      <c r="CO5009" s="15"/>
    </row>
    <row r="5010" spans="93:93" x14ac:dyDescent="0.3">
      <c r="CO5010" s="15"/>
    </row>
    <row r="5011" spans="93:93" x14ac:dyDescent="0.3">
      <c r="CO5011" s="15"/>
    </row>
    <row r="5012" spans="93:93" x14ac:dyDescent="0.3">
      <c r="CO5012" s="15"/>
    </row>
    <row r="5013" spans="93:93" x14ac:dyDescent="0.3">
      <c r="CO5013" s="15"/>
    </row>
    <row r="5014" spans="93:93" x14ac:dyDescent="0.3">
      <c r="CO5014" s="15"/>
    </row>
    <row r="5015" spans="93:93" x14ac:dyDescent="0.3">
      <c r="CO5015" s="15"/>
    </row>
    <row r="5016" spans="93:93" x14ac:dyDescent="0.3">
      <c r="CO5016" s="15"/>
    </row>
    <row r="5017" spans="93:93" x14ac:dyDescent="0.3">
      <c r="CO5017" s="15"/>
    </row>
    <row r="5018" spans="93:93" x14ac:dyDescent="0.3">
      <c r="CO5018" s="15"/>
    </row>
    <row r="5019" spans="93:93" x14ac:dyDescent="0.3">
      <c r="CO5019" s="15"/>
    </row>
    <row r="5020" spans="93:93" x14ac:dyDescent="0.3">
      <c r="CO5020" s="15"/>
    </row>
    <row r="5021" spans="93:93" x14ac:dyDescent="0.3">
      <c r="CO5021" s="15"/>
    </row>
    <row r="5022" spans="93:93" x14ac:dyDescent="0.3">
      <c r="CO5022" s="15"/>
    </row>
    <row r="5023" spans="93:93" x14ac:dyDescent="0.3">
      <c r="CO5023" s="15"/>
    </row>
    <row r="5024" spans="93:93" x14ac:dyDescent="0.3">
      <c r="CO5024" s="15"/>
    </row>
    <row r="5025" spans="93:93" x14ac:dyDescent="0.3">
      <c r="CO5025" s="15"/>
    </row>
    <row r="5026" spans="93:93" x14ac:dyDescent="0.3">
      <c r="CO5026" s="15"/>
    </row>
    <row r="5027" spans="93:93" x14ac:dyDescent="0.3">
      <c r="CO5027" s="15"/>
    </row>
    <row r="5028" spans="93:93" x14ac:dyDescent="0.3">
      <c r="CO5028" s="15"/>
    </row>
    <row r="5029" spans="93:93" x14ac:dyDescent="0.3">
      <c r="CO5029" s="15"/>
    </row>
    <row r="5030" spans="93:93" x14ac:dyDescent="0.3">
      <c r="CO5030" s="15"/>
    </row>
    <row r="5031" spans="93:93" x14ac:dyDescent="0.3">
      <c r="CO5031" s="15"/>
    </row>
    <row r="5032" spans="93:93" x14ac:dyDescent="0.3">
      <c r="CO5032" s="15"/>
    </row>
    <row r="5033" spans="93:93" x14ac:dyDescent="0.3">
      <c r="CO5033" s="15"/>
    </row>
    <row r="5034" spans="93:93" x14ac:dyDescent="0.3">
      <c r="CO5034" s="15"/>
    </row>
    <row r="5035" spans="93:93" x14ac:dyDescent="0.3">
      <c r="CO5035" s="15"/>
    </row>
    <row r="5036" spans="93:93" x14ac:dyDescent="0.3">
      <c r="CO5036" s="15"/>
    </row>
    <row r="5037" spans="93:93" x14ac:dyDescent="0.3">
      <c r="CO5037" s="15"/>
    </row>
    <row r="5038" spans="93:93" x14ac:dyDescent="0.3">
      <c r="CO5038" s="15"/>
    </row>
    <row r="5039" spans="93:93" x14ac:dyDescent="0.3">
      <c r="CO5039" s="15"/>
    </row>
    <row r="5040" spans="93:93" x14ac:dyDescent="0.3">
      <c r="CO5040" s="15"/>
    </row>
    <row r="5041" spans="93:93" x14ac:dyDescent="0.3">
      <c r="CO5041" s="15"/>
    </row>
    <row r="5042" spans="93:93" x14ac:dyDescent="0.3">
      <c r="CO5042" s="15"/>
    </row>
    <row r="5043" spans="93:93" x14ac:dyDescent="0.3">
      <c r="CO5043" s="15"/>
    </row>
    <row r="5044" spans="93:93" x14ac:dyDescent="0.3">
      <c r="CO5044" s="15"/>
    </row>
    <row r="5045" spans="93:93" x14ac:dyDescent="0.3">
      <c r="CO5045" s="15"/>
    </row>
    <row r="5046" spans="93:93" x14ac:dyDescent="0.3">
      <c r="CO5046" s="15"/>
    </row>
    <row r="5047" spans="93:93" x14ac:dyDescent="0.3">
      <c r="CO5047" s="15"/>
    </row>
    <row r="5048" spans="93:93" x14ac:dyDescent="0.3">
      <c r="CO5048" s="15"/>
    </row>
    <row r="5049" spans="93:93" x14ac:dyDescent="0.3">
      <c r="CO5049" s="15"/>
    </row>
    <row r="5050" spans="93:93" x14ac:dyDescent="0.3">
      <c r="CO5050" s="15"/>
    </row>
    <row r="5051" spans="93:93" x14ac:dyDescent="0.3">
      <c r="CO5051" s="15"/>
    </row>
    <row r="5052" spans="93:93" x14ac:dyDescent="0.3">
      <c r="CO5052" s="15"/>
    </row>
    <row r="5053" spans="93:93" x14ac:dyDescent="0.3">
      <c r="CO5053" s="15"/>
    </row>
    <row r="5054" spans="93:93" x14ac:dyDescent="0.3">
      <c r="CO5054" s="15"/>
    </row>
    <row r="5055" spans="93:93" x14ac:dyDescent="0.3">
      <c r="CO5055" s="15"/>
    </row>
    <row r="5056" spans="93:93" x14ac:dyDescent="0.3">
      <c r="CO5056" s="15"/>
    </row>
    <row r="5057" spans="93:93" x14ac:dyDescent="0.3">
      <c r="CO5057" s="15"/>
    </row>
    <row r="5058" spans="93:93" x14ac:dyDescent="0.3">
      <c r="CO5058" s="15"/>
    </row>
    <row r="5059" spans="93:93" x14ac:dyDescent="0.3">
      <c r="CO5059" s="15"/>
    </row>
    <row r="5060" spans="93:93" x14ac:dyDescent="0.3">
      <c r="CO5060" s="15"/>
    </row>
    <row r="5061" spans="93:93" x14ac:dyDescent="0.3">
      <c r="CO5061" s="15"/>
    </row>
    <row r="5062" spans="93:93" x14ac:dyDescent="0.3">
      <c r="CO5062" s="15"/>
    </row>
    <row r="5063" spans="93:93" x14ac:dyDescent="0.3">
      <c r="CO5063" s="15"/>
    </row>
    <row r="5064" spans="93:93" x14ac:dyDescent="0.3">
      <c r="CO5064" s="15"/>
    </row>
    <row r="5065" spans="93:93" x14ac:dyDescent="0.3">
      <c r="CO5065" s="15"/>
    </row>
    <row r="5066" spans="93:93" x14ac:dyDescent="0.3">
      <c r="CO5066" s="15"/>
    </row>
    <row r="5067" spans="93:93" x14ac:dyDescent="0.3">
      <c r="CO5067" s="15"/>
    </row>
    <row r="5068" spans="93:93" x14ac:dyDescent="0.3">
      <c r="CO5068" s="15"/>
    </row>
    <row r="5069" spans="93:93" x14ac:dyDescent="0.3">
      <c r="CO5069" s="15"/>
    </row>
    <row r="5070" spans="93:93" x14ac:dyDescent="0.3">
      <c r="CO5070" s="15"/>
    </row>
    <row r="5071" spans="93:93" x14ac:dyDescent="0.3">
      <c r="CO5071" s="15"/>
    </row>
    <row r="5072" spans="93:93" x14ac:dyDescent="0.3">
      <c r="CO5072" s="15"/>
    </row>
    <row r="5073" spans="93:93" x14ac:dyDescent="0.3">
      <c r="CO5073" s="15"/>
    </row>
    <row r="5074" spans="93:93" x14ac:dyDescent="0.3">
      <c r="CO5074" s="15"/>
    </row>
    <row r="5075" spans="93:93" x14ac:dyDescent="0.3">
      <c r="CO5075" s="15"/>
    </row>
    <row r="5076" spans="93:93" x14ac:dyDescent="0.3">
      <c r="CO5076" s="15"/>
    </row>
    <row r="5077" spans="93:93" x14ac:dyDescent="0.3">
      <c r="CO5077" s="15"/>
    </row>
    <row r="5078" spans="93:93" x14ac:dyDescent="0.3">
      <c r="CO5078" s="15"/>
    </row>
    <row r="5079" spans="93:93" x14ac:dyDescent="0.3">
      <c r="CO5079" s="15"/>
    </row>
    <row r="5080" spans="93:93" x14ac:dyDescent="0.3">
      <c r="CO5080" s="15"/>
    </row>
    <row r="5081" spans="93:93" x14ac:dyDescent="0.3">
      <c r="CO5081" s="15"/>
    </row>
    <row r="5082" spans="93:93" x14ac:dyDescent="0.3">
      <c r="CO5082" s="15"/>
    </row>
    <row r="5083" spans="93:93" x14ac:dyDescent="0.3">
      <c r="CO5083" s="15"/>
    </row>
    <row r="5084" spans="93:93" x14ac:dyDescent="0.3">
      <c r="CO5084" s="15"/>
    </row>
    <row r="5085" spans="93:93" x14ac:dyDescent="0.3">
      <c r="CO5085" s="15"/>
    </row>
    <row r="5086" spans="93:93" x14ac:dyDescent="0.3">
      <c r="CO5086" s="15"/>
    </row>
    <row r="5087" spans="93:93" x14ac:dyDescent="0.3">
      <c r="CO5087" s="15"/>
    </row>
    <row r="5088" spans="93:93" x14ac:dyDescent="0.3">
      <c r="CO5088" s="15"/>
    </row>
    <row r="5089" spans="93:93" x14ac:dyDescent="0.3">
      <c r="CO5089" s="15"/>
    </row>
    <row r="5090" spans="93:93" x14ac:dyDescent="0.3">
      <c r="CO5090" s="15"/>
    </row>
    <row r="5091" spans="93:93" x14ac:dyDescent="0.3">
      <c r="CO5091" s="15"/>
    </row>
    <row r="5092" spans="93:93" x14ac:dyDescent="0.3">
      <c r="CO5092" s="15"/>
    </row>
    <row r="5093" spans="93:93" x14ac:dyDescent="0.3">
      <c r="CO5093" s="15"/>
    </row>
    <row r="5094" spans="93:93" x14ac:dyDescent="0.3">
      <c r="CO5094" s="15"/>
    </row>
    <row r="5095" spans="93:93" x14ac:dyDescent="0.3">
      <c r="CO5095" s="15"/>
    </row>
    <row r="5096" spans="93:93" x14ac:dyDescent="0.3">
      <c r="CO5096" s="15"/>
    </row>
    <row r="5097" spans="93:93" x14ac:dyDescent="0.3">
      <c r="CO5097" s="15"/>
    </row>
    <row r="5098" spans="93:93" x14ac:dyDescent="0.3">
      <c r="CO5098" s="15"/>
    </row>
    <row r="5099" spans="93:93" x14ac:dyDescent="0.3">
      <c r="CO5099" s="15"/>
    </row>
    <row r="5100" spans="93:93" x14ac:dyDescent="0.3">
      <c r="CO5100" s="15"/>
    </row>
    <row r="5101" spans="93:93" x14ac:dyDescent="0.3">
      <c r="CO5101" s="15"/>
    </row>
    <row r="5102" spans="93:93" x14ac:dyDescent="0.3">
      <c r="CO5102" s="15"/>
    </row>
    <row r="5103" spans="93:93" x14ac:dyDescent="0.3">
      <c r="CO5103" s="15"/>
    </row>
    <row r="5104" spans="93:93" x14ac:dyDescent="0.3">
      <c r="CO5104" s="15"/>
    </row>
    <row r="5105" spans="93:93" x14ac:dyDescent="0.3">
      <c r="CO5105" s="15"/>
    </row>
    <row r="5106" spans="93:93" x14ac:dyDescent="0.3">
      <c r="CO5106" s="15"/>
    </row>
    <row r="5107" spans="93:93" x14ac:dyDescent="0.3">
      <c r="CO5107" s="15"/>
    </row>
    <row r="5108" spans="93:93" x14ac:dyDescent="0.3">
      <c r="CO5108" s="15"/>
    </row>
    <row r="5109" spans="93:93" x14ac:dyDescent="0.3">
      <c r="CO5109" s="15"/>
    </row>
    <row r="5110" spans="93:93" x14ac:dyDescent="0.3">
      <c r="CO5110" s="15"/>
    </row>
    <row r="5111" spans="93:93" x14ac:dyDescent="0.3">
      <c r="CO5111" s="15"/>
    </row>
    <row r="5112" spans="93:93" x14ac:dyDescent="0.3">
      <c r="CO5112" s="15"/>
    </row>
    <row r="5113" spans="93:93" x14ac:dyDescent="0.3">
      <c r="CO5113" s="15"/>
    </row>
    <row r="5114" spans="93:93" x14ac:dyDescent="0.3">
      <c r="CO5114" s="15"/>
    </row>
    <row r="5115" spans="93:93" x14ac:dyDescent="0.3">
      <c r="CO5115" s="15"/>
    </row>
    <row r="5116" spans="93:93" x14ac:dyDescent="0.3">
      <c r="CO5116" s="15"/>
    </row>
    <row r="5117" spans="93:93" x14ac:dyDescent="0.3">
      <c r="CO5117" s="15"/>
    </row>
    <row r="5118" spans="93:93" x14ac:dyDescent="0.3">
      <c r="CO5118" s="15"/>
    </row>
    <row r="5119" spans="93:93" x14ac:dyDescent="0.3">
      <c r="CO5119" s="15"/>
    </row>
    <row r="5120" spans="93:93" x14ac:dyDescent="0.3">
      <c r="CO5120" s="15"/>
    </row>
    <row r="5121" spans="93:93" x14ac:dyDescent="0.3">
      <c r="CO5121" s="15"/>
    </row>
    <row r="5122" spans="93:93" x14ac:dyDescent="0.3">
      <c r="CO5122" s="15"/>
    </row>
    <row r="5123" spans="93:93" x14ac:dyDescent="0.3">
      <c r="CO5123" s="15"/>
    </row>
    <row r="5124" spans="93:93" x14ac:dyDescent="0.3">
      <c r="CO5124" s="15"/>
    </row>
    <row r="5125" spans="93:93" x14ac:dyDescent="0.3">
      <c r="CO5125" s="15"/>
    </row>
    <row r="5126" spans="93:93" x14ac:dyDescent="0.3">
      <c r="CO5126" s="15"/>
    </row>
    <row r="5127" spans="93:93" x14ac:dyDescent="0.3">
      <c r="CO5127" s="15"/>
    </row>
    <row r="5128" spans="93:93" x14ac:dyDescent="0.3">
      <c r="CO5128" s="15"/>
    </row>
    <row r="5129" spans="93:93" x14ac:dyDescent="0.3">
      <c r="CO5129" s="15"/>
    </row>
    <row r="5130" spans="93:93" x14ac:dyDescent="0.3">
      <c r="CO5130" s="15"/>
    </row>
    <row r="5131" spans="93:93" x14ac:dyDescent="0.3">
      <c r="CO5131" s="15"/>
    </row>
    <row r="5132" spans="93:93" x14ac:dyDescent="0.3">
      <c r="CO5132" s="15"/>
    </row>
    <row r="5133" spans="93:93" x14ac:dyDescent="0.3">
      <c r="CO5133" s="15"/>
    </row>
    <row r="5134" spans="93:93" x14ac:dyDescent="0.3">
      <c r="CO5134" s="15"/>
    </row>
    <row r="5135" spans="93:93" x14ac:dyDescent="0.3">
      <c r="CO5135" s="15"/>
    </row>
    <row r="5136" spans="93:93" x14ac:dyDescent="0.3">
      <c r="CO5136" s="15"/>
    </row>
    <row r="5137" spans="93:93" x14ac:dyDescent="0.3">
      <c r="CO5137" s="15"/>
    </row>
    <row r="5138" spans="93:93" x14ac:dyDescent="0.3">
      <c r="CO5138" s="15"/>
    </row>
    <row r="5139" spans="93:93" x14ac:dyDescent="0.3">
      <c r="CO5139" s="15"/>
    </row>
    <row r="5140" spans="93:93" x14ac:dyDescent="0.3">
      <c r="CO5140" s="15"/>
    </row>
    <row r="5141" spans="93:93" x14ac:dyDescent="0.3">
      <c r="CO5141" s="15"/>
    </row>
    <row r="5142" spans="93:93" x14ac:dyDescent="0.3">
      <c r="CO5142" s="15"/>
    </row>
    <row r="5143" spans="93:93" x14ac:dyDescent="0.3">
      <c r="CO5143" s="15"/>
    </row>
    <row r="5144" spans="93:93" x14ac:dyDescent="0.3">
      <c r="CO5144" s="15"/>
    </row>
    <row r="5145" spans="93:93" x14ac:dyDescent="0.3">
      <c r="CO5145" s="15"/>
    </row>
    <row r="5146" spans="93:93" x14ac:dyDescent="0.3">
      <c r="CO5146" s="15"/>
    </row>
    <row r="5147" spans="93:93" x14ac:dyDescent="0.3">
      <c r="CO5147" s="15"/>
    </row>
    <row r="5148" spans="93:93" x14ac:dyDescent="0.3">
      <c r="CO5148" s="15"/>
    </row>
    <row r="5149" spans="93:93" x14ac:dyDescent="0.3">
      <c r="CO5149" s="15"/>
    </row>
    <row r="5150" spans="93:93" x14ac:dyDescent="0.3">
      <c r="CO5150" s="15"/>
    </row>
    <row r="5151" spans="93:93" x14ac:dyDescent="0.3">
      <c r="CO5151" s="15"/>
    </row>
    <row r="5152" spans="93:93" x14ac:dyDescent="0.3">
      <c r="CO5152" s="15"/>
    </row>
    <row r="5153" spans="93:93" x14ac:dyDescent="0.3">
      <c r="CO5153" s="15"/>
    </row>
    <row r="5154" spans="93:93" x14ac:dyDescent="0.3">
      <c r="CO5154" s="15"/>
    </row>
    <row r="5155" spans="93:93" x14ac:dyDescent="0.3">
      <c r="CO5155" s="15"/>
    </row>
    <row r="5156" spans="93:93" x14ac:dyDescent="0.3">
      <c r="CO5156" s="15"/>
    </row>
    <row r="5157" spans="93:93" x14ac:dyDescent="0.3">
      <c r="CO5157" s="15"/>
    </row>
    <row r="5158" spans="93:93" x14ac:dyDescent="0.3">
      <c r="CO5158" s="15"/>
    </row>
    <row r="5159" spans="93:93" x14ac:dyDescent="0.3">
      <c r="CO5159" s="15"/>
    </row>
    <row r="5160" spans="93:93" x14ac:dyDescent="0.3">
      <c r="CO5160" s="15"/>
    </row>
    <row r="5161" spans="93:93" x14ac:dyDescent="0.3">
      <c r="CO5161" s="15"/>
    </row>
    <row r="5162" spans="93:93" x14ac:dyDescent="0.3">
      <c r="CO5162" s="15"/>
    </row>
    <row r="5163" spans="93:93" x14ac:dyDescent="0.3">
      <c r="CO5163" s="15"/>
    </row>
    <row r="5164" spans="93:93" x14ac:dyDescent="0.3">
      <c r="CO5164" s="15"/>
    </row>
    <row r="5165" spans="93:93" x14ac:dyDescent="0.3">
      <c r="CO5165" s="15"/>
    </row>
    <row r="5166" spans="93:93" x14ac:dyDescent="0.3">
      <c r="CO5166" s="15"/>
    </row>
    <row r="5167" spans="93:93" x14ac:dyDescent="0.3">
      <c r="CO5167" s="15"/>
    </row>
    <row r="5168" spans="93:93" x14ac:dyDescent="0.3">
      <c r="CO5168" s="15"/>
    </row>
    <row r="5169" spans="93:93" x14ac:dyDescent="0.3">
      <c r="CO5169" s="15"/>
    </row>
    <row r="5170" spans="93:93" x14ac:dyDescent="0.3">
      <c r="CO5170" s="15"/>
    </row>
    <row r="5171" spans="93:93" x14ac:dyDescent="0.3">
      <c r="CO5171" s="15"/>
    </row>
    <row r="5172" spans="93:93" x14ac:dyDescent="0.3">
      <c r="CO5172" s="15"/>
    </row>
    <row r="5173" spans="93:93" x14ac:dyDescent="0.3">
      <c r="CO5173" s="15"/>
    </row>
    <row r="5174" spans="93:93" x14ac:dyDescent="0.3">
      <c r="CO5174" s="15"/>
    </row>
    <row r="5175" spans="93:93" x14ac:dyDescent="0.3">
      <c r="CO5175" s="15"/>
    </row>
    <row r="5176" spans="93:93" x14ac:dyDescent="0.3">
      <c r="CO5176" s="15"/>
    </row>
    <row r="5177" spans="93:93" x14ac:dyDescent="0.3">
      <c r="CO5177" s="15"/>
    </row>
    <row r="5178" spans="93:93" x14ac:dyDescent="0.3">
      <c r="CO5178" s="15"/>
    </row>
    <row r="5179" spans="93:93" x14ac:dyDescent="0.3">
      <c r="CO5179" s="15"/>
    </row>
    <row r="5180" spans="93:93" x14ac:dyDescent="0.3">
      <c r="CO5180" s="15"/>
    </row>
    <row r="5181" spans="93:93" x14ac:dyDescent="0.3">
      <c r="CO5181" s="15"/>
    </row>
    <row r="5182" spans="93:93" x14ac:dyDescent="0.3">
      <c r="CO5182" s="15"/>
    </row>
    <row r="5183" spans="93:93" x14ac:dyDescent="0.3">
      <c r="CO5183" s="15"/>
    </row>
    <row r="5184" spans="93:93" x14ac:dyDescent="0.3">
      <c r="CO5184" s="15"/>
    </row>
    <row r="5185" spans="93:93" x14ac:dyDescent="0.3">
      <c r="CO5185" s="15"/>
    </row>
    <row r="5186" spans="93:93" x14ac:dyDescent="0.3">
      <c r="CO5186" s="15"/>
    </row>
    <row r="5187" spans="93:93" x14ac:dyDescent="0.3">
      <c r="CO5187" s="15"/>
    </row>
    <row r="5188" spans="93:93" x14ac:dyDescent="0.3">
      <c r="CO5188" s="15"/>
    </row>
    <row r="5189" spans="93:93" x14ac:dyDescent="0.3">
      <c r="CO5189" s="15"/>
    </row>
    <row r="5190" spans="93:93" x14ac:dyDescent="0.3">
      <c r="CO5190" s="15"/>
    </row>
    <row r="5191" spans="93:93" x14ac:dyDescent="0.3">
      <c r="CO5191" s="15"/>
    </row>
    <row r="5192" spans="93:93" x14ac:dyDescent="0.3">
      <c r="CO5192" s="15"/>
    </row>
    <row r="5193" spans="93:93" x14ac:dyDescent="0.3">
      <c r="CO5193" s="15"/>
    </row>
    <row r="5194" spans="93:93" x14ac:dyDescent="0.3">
      <c r="CO5194" s="15"/>
    </row>
    <row r="5195" spans="93:93" x14ac:dyDescent="0.3">
      <c r="CO5195" s="15"/>
    </row>
    <row r="5196" spans="93:93" x14ac:dyDescent="0.3">
      <c r="CO5196" s="15"/>
    </row>
    <row r="5197" spans="93:93" x14ac:dyDescent="0.3">
      <c r="CO5197" s="15"/>
    </row>
    <row r="5198" spans="93:93" x14ac:dyDescent="0.3">
      <c r="CO5198" s="15"/>
    </row>
    <row r="5199" spans="93:93" x14ac:dyDescent="0.3">
      <c r="CO5199" s="15"/>
    </row>
    <row r="5200" spans="93:93" x14ac:dyDescent="0.3">
      <c r="CO5200" s="15"/>
    </row>
    <row r="5201" spans="93:93" x14ac:dyDescent="0.3">
      <c r="CO5201" s="15"/>
    </row>
    <row r="5202" spans="93:93" x14ac:dyDescent="0.3">
      <c r="CO5202" s="15"/>
    </row>
    <row r="5203" spans="93:93" x14ac:dyDescent="0.3">
      <c r="CO5203" s="15"/>
    </row>
    <row r="5204" spans="93:93" x14ac:dyDescent="0.3">
      <c r="CO5204" s="15"/>
    </row>
    <row r="5205" spans="93:93" x14ac:dyDescent="0.3">
      <c r="CO5205" s="15"/>
    </row>
    <row r="5206" spans="93:93" x14ac:dyDescent="0.3">
      <c r="CO5206" s="15"/>
    </row>
    <row r="5207" spans="93:93" x14ac:dyDescent="0.3">
      <c r="CO5207" s="15"/>
    </row>
    <row r="5208" spans="93:93" x14ac:dyDescent="0.3">
      <c r="CO5208" s="15"/>
    </row>
    <row r="5209" spans="93:93" x14ac:dyDescent="0.3">
      <c r="CO5209" s="15"/>
    </row>
    <row r="5210" spans="93:93" x14ac:dyDescent="0.3">
      <c r="CO5210" s="15"/>
    </row>
    <row r="5211" spans="93:93" x14ac:dyDescent="0.3">
      <c r="CO5211" s="15"/>
    </row>
    <row r="5212" spans="93:93" x14ac:dyDescent="0.3">
      <c r="CO5212" s="15"/>
    </row>
    <row r="5213" spans="93:93" x14ac:dyDescent="0.3">
      <c r="CO5213" s="15"/>
    </row>
    <row r="5214" spans="93:93" x14ac:dyDescent="0.3">
      <c r="CO5214" s="15"/>
    </row>
    <row r="5215" spans="93:93" x14ac:dyDescent="0.3">
      <c r="CO5215" s="15"/>
    </row>
    <row r="5216" spans="93:93" x14ac:dyDescent="0.3">
      <c r="CO5216" s="15"/>
    </row>
    <row r="5217" spans="93:93" x14ac:dyDescent="0.3">
      <c r="CO5217" s="15"/>
    </row>
    <row r="5218" spans="93:93" x14ac:dyDescent="0.3">
      <c r="CO5218" s="15"/>
    </row>
    <row r="5219" spans="93:93" x14ac:dyDescent="0.3">
      <c r="CO5219" s="15"/>
    </row>
    <row r="5220" spans="93:93" x14ac:dyDescent="0.3">
      <c r="CO5220" s="15"/>
    </row>
    <row r="5221" spans="93:93" x14ac:dyDescent="0.3">
      <c r="CO5221" s="15"/>
    </row>
    <row r="5222" spans="93:93" x14ac:dyDescent="0.3">
      <c r="CO5222" s="15"/>
    </row>
    <row r="5223" spans="93:93" x14ac:dyDescent="0.3">
      <c r="CO5223" s="15"/>
    </row>
    <row r="5224" spans="93:93" x14ac:dyDescent="0.3">
      <c r="CO5224" s="15"/>
    </row>
    <row r="5225" spans="93:93" x14ac:dyDescent="0.3">
      <c r="CO5225" s="15"/>
    </row>
    <row r="5226" spans="93:93" x14ac:dyDescent="0.3">
      <c r="CO5226" s="15"/>
    </row>
    <row r="5227" spans="93:93" x14ac:dyDescent="0.3">
      <c r="CO5227" s="15"/>
    </row>
    <row r="5228" spans="93:93" x14ac:dyDescent="0.3">
      <c r="CO5228" s="15"/>
    </row>
    <row r="5229" spans="93:93" x14ac:dyDescent="0.3">
      <c r="CO5229" s="15"/>
    </row>
    <row r="5230" spans="93:93" x14ac:dyDescent="0.3">
      <c r="CO5230" s="15"/>
    </row>
    <row r="5231" spans="93:93" x14ac:dyDescent="0.3">
      <c r="CO5231" s="15"/>
    </row>
    <row r="5232" spans="93:93" x14ac:dyDescent="0.3">
      <c r="CO5232" s="15"/>
    </row>
    <row r="5233" spans="93:93" x14ac:dyDescent="0.3">
      <c r="CO5233" s="15"/>
    </row>
    <row r="5234" spans="93:93" x14ac:dyDescent="0.3">
      <c r="CO5234" s="15"/>
    </row>
    <row r="5235" spans="93:93" x14ac:dyDescent="0.3">
      <c r="CO5235" s="15"/>
    </row>
    <row r="5236" spans="93:93" x14ac:dyDescent="0.3">
      <c r="CO5236" s="15"/>
    </row>
    <row r="5237" spans="93:93" x14ac:dyDescent="0.3">
      <c r="CO5237" s="15"/>
    </row>
    <row r="5238" spans="93:93" x14ac:dyDescent="0.3">
      <c r="CO5238" s="15"/>
    </row>
    <row r="5239" spans="93:93" x14ac:dyDescent="0.3">
      <c r="CO5239" s="15"/>
    </row>
    <row r="5240" spans="93:93" x14ac:dyDescent="0.3">
      <c r="CO5240" s="15"/>
    </row>
    <row r="5241" spans="93:93" x14ac:dyDescent="0.3">
      <c r="CO5241" s="15"/>
    </row>
    <row r="5242" spans="93:93" x14ac:dyDescent="0.3">
      <c r="CO5242" s="15"/>
    </row>
    <row r="5243" spans="93:93" x14ac:dyDescent="0.3">
      <c r="CO5243" s="15"/>
    </row>
    <row r="5244" spans="93:93" x14ac:dyDescent="0.3">
      <c r="CO5244" s="15"/>
    </row>
    <row r="5245" spans="93:93" x14ac:dyDescent="0.3">
      <c r="CO5245" s="15"/>
    </row>
    <row r="5246" spans="93:93" x14ac:dyDescent="0.3">
      <c r="CO5246" s="15"/>
    </row>
    <row r="5247" spans="93:93" x14ac:dyDescent="0.3">
      <c r="CO5247" s="15"/>
    </row>
    <row r="5248" spans="93:93" x14ac:dyDescent="0.3">
      <c r="CO5248" s="15"/>
    </row>
    <row r="5249" spans="93:93" x14ac:dyDescent="0.3">
      <c r="CO5249" s="15"/>
    </row>
    <row r="5250" spans="93:93" x14ac:dyDescent="0.3">
      <c r="CO5250" s="15"/>
    </row>
    <row r="5251" spans="93:93" x14ac:dyDescent="0.3">
      <c r="CO5251" s="15"/>
    </row>
    <row r="5252" spans="93:93" x14ac:dyDescent="0.3">
      <c r="CO5252" s="15"/>
    </row>
    <row r="5253" spans="93:93" x14ac:dyDescent="0.3">
      <c r="CO5253" s="15"/>
    </row>
    <row r="5254" spans="93:93" x14ac:dyDescent="0.3">
      <c r="CO5254" s="15"/>
    </row>
    <row r="5255" spans="93:93" x14ac:dyDescent="0.3">
      <c r="CO5255" s="15"/>
    </row>
    <row r="5256" spans="93:93" x14ac:dyDescent="0.3">
      <c r="CO5256" s="15"/>
    </row>
    <row r="5257" spans="93:93" x14ac:dyDescent="0.3">
      <c r="CO5257" s="15"/>
    </row>
    <row r="5258" spans="93:93" x14ac:dyDescent="0.3">
      <c r="CO5258" s="15"/>
    </row>
    <row r="5259" spans="93:93" x14ac:dyDescent="0.3">
      <c r="CO5259" s="15"/>
    </row>
    <row r="5260" spans="93:93" x14ac:dyDescent="0.3">
      <c r="CO5260" s="15"/>
    </row>
    <row r="5261" spans="93:93" x14ac:dyDescent="0.3">
      <c r="CO5261" s="15"/>
    </row>
    <row r="5262" spans="93:93" x14ac:dyDescent="0.3">
      <c r="CO5262" s="15"/>
    </row>
    <row r="5263" spans="93:93" x14ac:dyDescent="0.3">
      <c r="CO5263" s="15"/>
    </row>
    <row r="5264" spans="93:93" x14ac:dyDescent="0.3">
      <c r="CO5264" s="15"/>
    </row>
    <row r="5265" spans="93:93" x14ac:dyDescent="0.3">
      <c r="CO5265" s="15"/>
    </row>
    <row r="5266" spans="93:93" x14ac:dyDescent="0.3">
      <c r="CO5266" s="15"/>
    </row>
    <row r="5267" spans="93:93" x14ac:dyDescent="0.3">
      <c r="CO5267" s="15"/>
    </row>
    <row r="5268" spans="93:93" x14ac:dyDescent="0.3">
      <c r="CO5268" s="15"/>
    </row>
    <row r="5269" spans="93:93" x14ac:dyDescent="0.3">
      <c r="CO5269" s="15"/>
    </row>
    <row r="5270" spans="93:93" x14ac:dyDescent="0.3">
      <c r="CO5270" s="15"/>
    </row>
    <row r="5271" spans="93:93" x14ac:dyDescent="0.3">
      <c r="CO5271" s="15"/>
    </row>
    <row r="5272" spans="93:93" x14ac:dyDescent="0.3">
      <c r="CO5272" s="15"/>
    </row>
    <row r="5273" spans="93:93" x14ac:dyDescent="0.3">
      <c r="CO5273" s="15"/>
    </row>
    <row r="5274" spans="93:93" x14ac:dyDescent="0.3">
      <c r="CO5274" s="15"/>
    </row>
    <row r="5275" spans="93:93" x14ac:dyDescent="0.3">
      <c r="CO5275" s="15"/>
    </row>
    <row r="5276" spans="93:93" x14ac:dyDescent="0.3">
      <c r="CO5276" s="15"/>
    </row>
    <row r="5277" spans="93:93" x14ac:dyDescent="0.3">
      <c r="CO5277" s="15"/>
    </row>
    <row r="5278" spans="93:93" x14ac:dyDescent="0.3">
      <c r="CO5278" s="15"/>
    </row>
    <row r="5279" spans="93:93" x14ac:dyDescent="0.3">
      <c r="CO5279" s="15"/>
    </row>
    <row r="5280" spans="93:93" x14ac:dyDescent="0.3">
      <c r="CO5280" s="15"/>
    </row>
    <row r="5281" spans="93:93" x14ac:dyDescent="0.3">
      <c r="CO5281" s="15"/>
    </row>
    <row r="5282" spans="93:93" x14ac:dyDescent="0.3">
      <c r="CO5282" s="15"/>
    </row>
    <row r="5283" spans="93:93" x14ac:dyDescent="0.3">
      <c r="CO5283" s="15"/>
    </row>
    <row r="5284" spans="93:93" x14ac:dyDescent="0.3">
      <c r="CO5284" s="15"/>
    </row>
    <row r="5285" spans="93:93" x14ac:dyDescent="0.3">
      <c r="CO5285" s="15"/>
    </row>
    <row r="5286" spans="93:93" x14ac:dyDescent="0.3">
      <c r="CO5286" s="15"/>
    </row>
    <row r="5287" spans="93:93" x14ac:dyDescent="0.3">
      <c r="CO5287" s="15"/>
    </row>
    <row r="5288" spans="93:93" x14ac:dyDescent="0.3">
      <c r="CO5288" s="15"/>
    </row>
    <row r="5289" spans="93:93" x14ac:dyDescent="0.3">
      <c r="CO5289" s="15"/>
    </row>
    <row r="5290" spans="93:93" x14ac:dyDescent="0.3">
      <c r="CO5290" s="15"/>
    </row>
    <row r="5291" spans="93:93" x14ac:dyDescent="0.3">
      <c r="CO5291" s="15"/>
    </row>
    <row r="5292" spans="93:93" x14ac:dyDescent="0.3">
      <c r="CO5292" s="15"/>
    </row>
    <row r="5293" spans="93:93" x14ac:dyDescent="0.3">
      <c r="CO5293" s="15"/>
    </row>
    <row r="5294" spans="93:93" x14ac:dyDescent="0.3">
      <c r="CO5294" s="15"/>
    </row>
    <row r="5295" spans="93:93" x14ac:dyDescent="0.3">
      <c r="CO5295" s="15"/>
    </row>
    <row r="5296" spans="93:93" x14ac:dyDescent="0.3">
      <c r="CO5296" s="15"/>
    </row>
    <row r="5297" spans="93:93" x14ac:dyDescent="0.3">
      <c r="CO5297" s="15"/>
    </row>
    <row r="5298" spans="93:93" x14ac:dyDescent="0.3">
      <c r="CO5298" s="15"/>
    </row>
    <row r="5299" spans="93:93" x14ac:dyDescent="0.3">
      <c r="CO5299" s="15"/>
    </row>
    <row r="5300" spans="93:93" x14ac:dyDescent="0.3">
      <c r="CO5300" s="15"/>
    </row>
    <row r="5301" spans="93:93" x14ac:dyDescent="0.3">
      <c r="CO5301" s="15"/>
    </row>
    <row r="5302" spans="93:93" x14ac:dyDescent="0.3">
      <c r="CO5302" s="15"/>
    </row>
    <row r="5303" spans="93:93" x14ac:dyDescent="0.3">
      <c r="CO5303" s="15"/>
    </row>
    <row r="5304" spans="93:93" x14ac:dyDescent="0.3">
      <c r="CO5304" s="15"/>
    </row>
    <row r="5305" spans="93:93" x14ac:dyDescent="0.3">
      <c r="CO5305" s="15"/>
    </row>
    <row r="5306" spans="93:93" x14ac:dyDescent="0.3">
      <c r="CO5306" s="15"/>
    </row>
    <row r="5307" spans="93:93" x14ac:dyDescent="0.3">
      <c r="CO5307" s="15"/>
    </row>
    <row r="5308" spans="93:93" x14ac:dyDescent="0.3">
      <c r="CO5308" s="15"/>
    </row>
    <row r="5309" spans="93:93" x14ac:dyDescent="0.3">
      <c r="CO5309" s="15"/>
    </row>
    <row r="5310" spans="93:93" x14ac:dyDescent="0.3">
      <c r="CO5310" s="15"/>
    </row>
    <row r="5311" spans="93:93" x14ac:dyDescent="0.3">
      <c r="CO5311" s="15"/>
    </row>
    <row r="5312" spans="93:93" x14ac:dyDescent="0.3">
      <c r="CO5312" s="15"/>
    </row>
    <row r="5313" spans="93:93" x14ac:dyDescent="0.3">
      <c r="CO5313" s="15"/>
    </row>
    <row r="5314" spans="93:93" x14ac:dyDescent="0.3">
      <c r="CO5314" s="15"/>
    </row>
    <row r="5315" spans="93:93" x14ac:dyDescent="0.3">
      <c r="CO5315" s="15"/>
    </row>
    <row r="5316" spans="93:93" x14ac:dyDescent="0.3">
      <c r="CO5316" s="15"/>
    </row>
    <row r="5317" spans="93:93" x14ac:dyDescent="0.3">
      <c r="CO5317" s="15"/>
    </row>
    <row r="5318" spans="93:93" x14ac:dyDescent="0.3">
      <c r="CO5318" s="15"/>
    </row>
    <row r="5319" spans="93:93" x14ac:dyDescent="0.3">
      <c r="CO5319" s="15"/>
    </row>
    <row r="5320" spans="93:93" x14ac:dyDescent="0.3">
      <c r="CO5320" s="15"/>
    </row>
    <row r="5321" spans="93:93" x14ac:dyDescent="0.3">
      <c r="CO5321" s="15"/>
    </row>
    <row r="5322" spans="93:93" x14ac:dyDescent="0.3">
      <c r="CO5322" s="15"/>
    </row>
    <row r="5323" spans="93:93" x14ac:dyDescent="0.3">
      <c r="CO5323" s="15"/>
    </row>
    <row r="5324" spans="93:93" x14ac:dyDescent="0.3">
      <c r="CO5324" s="15"/>
    </row>
    <row r="5325" spans="93:93" x14ac:dyDescent="0.3">
      <c r="CO5325" s="15"/>
    </row>
    <row r="5326" spans="93:93" x14ac:dyDescent="0.3">
      <c r="CO5326" s="15"/>
    </row>
    <row r="5327" spans="93:93" x14ac:dyDescent="0.3">
      <c r="CO5327" s="15"/>
    </row>
    <row r="5328" spans="93:93" x14ac:dyDescent="0.3">
      <c r="CO5328" s="15"/>
    </row>
    <row r="5329" spans="93:93" x14ac:dyDescent="0.3">
      <c r="CO5329" s="15"/>
    </row>
    <row r="5330" spans="93:93" x14ac:dyDescent="0.3">
      <c r="CO5330" s="15"/>
    </row>
    <row r="5331" spans="93:93" x14ac:dyDescent="0.3">
      <c r="CO5331" s="15"/>
    </row>
    <row r="5332" spans="93:93" x14ac:dyDescent="0.3">
      <c r="CO5332" s="15"/>
    </row>
    <row r="5333" spans="93:93" x14ac:dyDescent="0.3">
      <c r="CO5333" s="15"/>
    </row>
    <row r="5334" spans="93:93" x14ac:dyDescent="0.3">
      <c r="CO5334" s="15"/>
    </row>
    <row r="5335" spans="93:93" x14ac:dyDescent="0.3">
      <c r="CO5335" s="15"/>
    </row>
    <row r="5336" spans="93:93" x14ac:dyDescent="0.3">
      <c r="CO5336" s="15"/>
    </row>
    <row r="5337" spans="93:93" x14ac:dyDescent="0.3">
      <c r="CO5337" s="15"/>
    </row>
    <row r="5338" spans="93:93" x14ac:dyDescent="0.3">
      <c r="CO5338" s="15"/>
    </row>
    <row r="5339" spans="93:93" x14ac:dyDescent="0.3">
      <c r="CO5339" s="15"/>
    </row>
    <row r="5340" spans="93:93" x14ac:dyDescent="0.3">
      <c r="CO5340" s="15"/>
    </row>
    <row r="5341" spans="93:93" x14ac:dyDescent="0.3">
      <c r="CO5341" s="15"/>
    </row>
    <row r="5342" spans="93:93" x14ac:dyDescent="0.3">
      <c r="CO5342" s="15"/>
    </row>
    <row r="5343" spans="93:93" x14ac:dyDescent="0.3">
      <c r="CO5343" s="15"/>
    </row>
    <row r="5344" spans="93:93" x14ac:dyDescent="0.3">
      <c r="CO5344" s="15"/>
    </row>
    <row r="5345" spans="93:93" x14ac:dyDescent="0.3">
      <c r="CO5345" s="15"/>
    </row>
    <row r="5346" spans="93:93" x14ac:dyDescent="0.3">
      <c r="CO5346" s="15"/>
    </row>
    <row r="5347" spans="93:93" x14ac:dyDescent="0.3">
      <c r="CO5347" s="15"/>
    </row>
    <row r="5348" spans="93:93" x14ac:dyDescent="0.3">
      <c r="CO5348" s="15"/>
    </row>
    <row r="5349" spans="93:93" x14ac:dyDescent="0.3">
      <c r="CO5349" s="15"/>
    </row>
    <row r="5350" spans="93:93" x14ac:dyDescent="0.3">
      <c r="CO5350" s="15"/>
    </row>
    <row r="5351" spans="93:93" x14ac:dyDescent="0.3">
      <c r="CO5351" s="15"/>
    </row>
    <row r="5352" spans="93:93" x14ac:dyDescent="0.3">
      <c r="CO5352" s="15"/>
    </row>
    <row r="5353" spans="93:93" x14ac:dyDescent="0.3">
      <c r="CO5353" s="15"/>
    </row>
    <row r="5354" spans="93:93" x14ac:dyDescent="0.3">
      <c r="CO5354" s="15"/>
    </row>
    <row r="5355" spans="93:93" x14ac:dyDescent="0.3">
      <c r="CO5355" s="15"/>
    </row>
    <row r="5356" spans="93:93" x14ac:dyDescent="0.3">
      <c r="CO5356" s="15"/>
    </row>
    <row r="5357" spans="93:93" x14ac:dyDescent="0.3">
      <c r="CO5357" s="15"/>
    </row>
    <row r="5358" spans="93:93" x14ac:dyDescent="0.3">
      <c r="CO5358" s="15"/>
    </row>
    <row r="5359" spans="93:93" x14ac:dyDescent="0.3">
      <c r="CO5359" s="15"/>
    </row>
    <row r="5360" spans="93:93" x14ac:dyDescent="0.3">
      <c r="CO5360" s="15"/>
    </row>
    <row r="5361" spans="93:93" x14ac:dyDescent="0.3">
      <c r="CO5361" s="15"/>
    </row>
    <row r="5362" spans="93:93" x14ac:dyDescent="0.3">
      <c r="CO5362" s="15"/>
    </row>
    <row r="5363" spans="93:93" x14ac:dyDescent="0.3">
      <c r="CO5363" s="15"/>
    </row>
    <row r="5364" spans="93:93" x14ac:dyDescent="0.3">
      <c r="CO5364" s="15"/>
    </row>
    <row r="5365" spans="93:93" x14ac:dyDescent="0.3">
      <c r="CO5365" s="15"/>
    </row>
    <row r="5366" spans="93:93" x14ac:dyDescent="0.3">
      <c r="CO5366" s="15"/>
    </row>
    <row r="5367" spans="93:93" x14ac:dyDescent="0.3">
      <c r="CO5367" s="15"/>
    </row>
    <row r="5368" spans="93:93" x14ac:dyDescent="0.3">
      <c r="CO5368" s="15"/>
    </row>
    <row r="5369" spans="93:93" x14ac:dyDescent="0.3">
      <c r="CO5369" s="15"/>
    </row>
    <row r="5370" spans="93:93" x14ac:dyDescent="0.3">
      <c r="CO5370" s="15"/>
    </row>
    <row r="5371" spans="93:93" x14ac:dyDescent="0.3">
      <c r="CO5371" s="15"/>
    </row>
    <row r="5372" spans="93:93" x14ac:dyDescent="0.3">
      <c r="CO5372" s="15"/>
    </row>
    <row r="5373" spans="93:93" x14ac:dyDescent="0.3">
      <c r="CO5373" s="15"/>
    </row>
    <row r="5374" spans="93:93" x14ac:dyDescent="0.3">
      <c r="CO5374" s="15"/>
    </row>
    <row r="5375" spans="93:93" x14ac:dyDescent="0.3">
      <c r="CO5375" s="15"/>
    </row>
    <row r="5376" spans="93:93" x14ac:dyDescent="0.3">
      <c r="CO5376" s="15"/>
    </row>
    <row r="5377" spans="93:93" x14ac:dyDescent="0.3">
      <c r="CO5377" s="15"/>
    </row>
    <row r="5378" spans="93:93" x14ac:dyDescent="0.3">
      <c r="CO5378" s="15"/>
    </row>
    <row r="5379" spans="93:93" x14ac:dyDescent="0.3">
      <c r="CO5379" s="15"/>
    </row>
    <row r="5380" spans="93:93" x14ac:dyDescent="0.3">
      <c r="CO5380" s="15"/>
    </row>
    <row r="5381" spans="93:93" x14ac:dyDescent="0.3">
      <c r="CO5381" s="15"/>
    </row>
    <row r="5382" spans="93:93" x14ac:dyDescent="0.3">
      <c r="CO5382" s="15"/>
    </row>
    <row r="5383" spans="93:93" x14ac:dyDescent="0.3">
      <c r="CO5383" s="15"/>
    </row>
    <row r="5384" spans="93:93" x14ac:dyDescent="0.3">
      <c r="CO5384" s="15"/>
    </row>
    <row r="5385" spans="93:93" x14ac:dyDescent="0.3">
      <c r="CO5385" s="15"/>
    </row>
    <row r="5386" spans="93:93" x14ac:dyDescent="0.3">
      <c r="CO5386" s="15"/>
    </row>
    <row r="5387" spans="93:93" x14ac:dyDescent="0.3">
      <c r="CO5387" s="15"/>
    </row>
    <row r="5388" spans="93:93" x14ac:dyDescent="0.3">
      <c r="CO5388" s="15"/>
    </row>
    <row r="5389" spans="93:93" x14ac:dyDescent="0.3">
      <c r="CO5389" s="15"/>
    </row>
    <row r="5390" spans="93:93" x14ac:dyDescent="0.3">
      <c r="CO5390" s="15"/>
    </row>
    <row r="5391" spans="93:93" x14ac:dyDescent="0.3">
      <c r="CO5391" s="15"/>
    </row>
    <row r="5392" spans="93:93" x14ac:dyDescent="0.3">
      <c r="CO5392" s="15"/>
    </row>
    <row r="5393" spans="93:93" x14ac:dyDescent="0.3">
      <c r="CO5393" s="15"/>
    </row>
    <row r="5394" spans="93:93" x14ac:dyDescent="0.3">
      <c r="CO5394" s="15"/>
    </row>
    <row r="5395" spans="93:93" x14ac:dyDescent="0.3">
      <c r="CO5395" s="15"/>
    </row>
    <row r="5396" spans="93:93" x14ac:dyDescent="0.3">
      <c r="CO5396" s="15"/>
    </row>
    <row r="5397" spans="93:93" x14ac:dyDescent="0.3">
      <c r="CO5397" s="15"/>
    </row>
    <row r="5398" spans="93:93" x14ac:dyDescent="0.3">
      <c r="CO5398" s="15"/>
    </row>
    <row r="5399" spans="93:93" x14ac:dyDescent="0.3">
      <c r="CO5399" s="15"/>
    </row>
    <row r="5400" spans="93:93" x14ac:dyDescent="0.3">
      <c r="CO5400" s="15"/>
    </row>
    <row r="5401" spans="93:93" x14ac:dyDescent="0.3">
      <c r="CO5401" s="15"/>
    </row>
    <row r="5402" spans="93:93" x14ac:dyDescent="0.3">
      <c r="CO5402" s="15"/>
    </row>
    <row r="5403" spans="93:93" x14ac:dyDescent="0.3">
      <c r="CO5403" s="15"/>
    </row>
    <row r="5404" spans="93:93" x14ac:dyDescent="0.3">
      <c r="CO5404" s="15"/>
    </row>
    <row r="5405" spans="93:93" x14ac:dyDescent="0.3">
      <c r="CO5405" s="15"/>
    </row>
    <row r="5406" spans="93:93" x14ac:dyDescent="0.3">
      <c r="CO5406" s="15"/>
    </row>
    <row r="5407" spans="93:93" x14ac:dyDescent="0.3">
      <c r="CO5407" s="15"/>
    </row>
    <row r="5408" spans="93:93" x14ac:dyDescent="0.3">
      <c r="CO5408" s="15"/>
    </row>
    <row r="5409" spans="93:93" x14ac:dyDescent="0.3">
      <c r="CO5409" s="15"/>
    </row>
    <row r="5410" spans="93:93" x14ac:dyDescent="0.3">
      <c r="CO5410" s="15"/>
    </row>
    <row r="5411" spans="93:93" x14ac:dyDescent="0.3">
      <c r="CO5411" s="15"/>
    </row>
    <row r="5412" spans="93:93" x14ac:dyDescent="0.3">
      <c r="CO5412" s="15"/>
    </row>
    <row r="5413" spans="93:93" x14ac:dyDescent="0.3">
      <c r="CO5413" s="15"/>
    </row>
    <row r="5414" spans="93:93" x14ac:dyDescent="0.3">
      <c r="CO5414" s="15"/>
    </row>
    <row r="5415" spans="93:93" x14ac:dyDescent="0.3">
      <c r="CO5415" s="15"/>
    </row>
    <row r="5416" spans="93:93" x14ac:dyDescent="0.3">
      <c r="CO5416" s="15"/>
    </row>
    <row r="5417" spans="93:93" x14ac:dyDescent="0.3">
      <c r="CO5417" s="15"/>
    </row>
    <row r="5418" spans="93:93" x14ac:dyDescent="0.3">
      <c r="CO5418" s="15"/>
    </row>
    <row r="5419" spans="93:93" x14ac:dyDescent="0.3">
      <c r="CO5419" s="15"/>
    </row>
    <row r="5420" spans="93:93" x14ac:dyDescent="0.3">
      <c r="CO5420" s="15"/>
    </row>
    <row r="5421" spans="93:93" x14ac:dyDescent="0.3">
      <c r="CO5421" s="15"/>
    </row>
    <row r="5422" spans="93:93" x14ac:dyDescent="0.3">
      <c r="CO5422" s="15"/>
    </row>
    <row r="5423" spans="93:93" x14ac:dyDescent="0.3">
      <c r="CO5423" s="15"/>
    </row>
    <row r="5424" spans="93:93" x14ac:dyDescent="0.3">
      <c r="CO5424" s="15"/>
    </row>
    <row r="5425" spans="93:93" x14ac:dyDescent="0.3">
      <c r="CO5425" s="15"/>
    </row>
    <row r="5426" spans="93:93" x14ac:dyDescent="0.3">
      <c r="CO5426" s="15"/>
    </row>
    <row r="5427" spans="93:93" x14ac:dyDescent="0.3">
      <c r="CO5427" s="15"/>
    </row>
    <row r="5428" spans="93:93" x14ac:dyDescent="0.3">
      <c r="CO5428" s="15"/>
    </row>
    <row r="5429" spans="93:93" x14ac:dyDescent="0.3">
      <c r="CO5429" s="15"/>
    </row>
    <row r="5430" spans="93:93" x14ac:dyDescent="0.3">
      <c r="CO5430" s="15"/>
    </row>
    <row r="5431" spans="93:93" x14ac:dyDescent="0.3">
      <c r="CO5431" s="15"/>
    </row>
    <row r="5432" spans="93:93" x14ac:dyDescent="0.3">
      <c r="CO5432" s="15"/>
    </row>
    <row r="5433" spans="93:93" x14ac:dyDescent="0.3">
      <c r="CO5433" s="15"/>
    </row>
    <row r="5434" spans="93:93" x14ac:dyDescent="0.3">
      <c r="CO5434" s="15"/>
    </row>
    <row r="5435" spans="93:93" x14ac:dyDescent="0.3">
      <c r="CO5435" s="15"/>
    </row>
    <row r="5436" spans="93:93" x14ac:dyDescent="0.3">
      <c r="CO5436" s="15"/>
    </row>
    <row r="5437" spans="93:93" x14ac:dyDescent="0.3">
      <c r="CO5437" s="15"/>
    </row>
    <row r="5438" spans="93:93" x14ac:dyDescent="0.3">
      <c r="CO5438" s="15"/>
    </row>
    <row r="5439" spans="93:93" x14ac:dyDescent="0.3">
      <c r="CO5439" s="15"/>
    </row>
    <row r="5440" spans="93:93" x14ac:dyDescent="0.3">
      <c r="CO5440" s="15"/>
    </row>
    <row r="5441" spans="93:93" x14ac:dyDescent="0.3">
      <c r="CO5441" s="15"/>
    </row>
    <row r="5442" spans="93:93" x14ac:dyDescent="0.3">
      <c r="CO5442" s="15"/>
    </row>
    <row r="5443" spans="93:93" x14ac:dyDescent="0.3">
      <c r="CO5443" s="15"/>
    </row>
    <row r="5444" spans="93:93" x14ac:dyDescent="0.3">
      <c r="CO5444" s="15"/>
    </row>
    <row r="5445" spans="93:93" x14ac:dyDescent="0.3">
      <c r="CO5445" s="15"/>
    </row>
    <row r="5446" spans="93:93" x14ac:dyDescent="0.3">
      <c r="CO5446" s="15"/>
    </row>
    <row r="5447" spans="93:93" x14ac:dyDescent="0.3">
      <c r="CO5447" s="15"/>
    </row>
    <row r="5448" spans="93:93" x14ac:dyDescent="0.3">
      <c r="CO5448" s="15"/>
    </row>
    <row r="5449" spans="93:93" x14ac:dyDescent="0.3">
      <c r="CO5449" s="15"/>
    </row>
    <row r="5450" spans="93:93" x14ac:dyDescent="0.3">
      <c r="CO5450" s="15"/>
    </row>
    <row r="5451" spans="93:93" x14ac:dyDescent="0.3">
      <c r="CO5451" s="15"/>
    </row>
    <row r="5452" spans="93:93" x14ac:dyDescent="0.3">
      <c r="CO5452" s="15"/>
    </row>
    <row r="5453" spans="93:93" x14ac:dyDescent="0.3">
      <c r="CO5453" s="15"/>
    </row>
    <row r="5454" spans="93:93" x14ac:dyDescent="0.3">
      <c r="CO5454" s="15"/>
    </row>
    <row r="5455" spans="93:93" x14ac:dyDescent="0.3">
      <c r="CO5455" s="15"/>
    </row>
    <row r="5456" spans="93:93" x14ac:dyDescent="0.3">
      <c r="CO5456" s="15"/>
    </row>
    <row r="5457" spans="93:93" x14ac:dyDescent="0.3">
      <c r="CO5457" s="15"/>
    </row>
    <row r="5458" spans="93:93" x14ac:dyDescent="0.3">
      <c r="CO5458" s="15"/>
    </row>
    <row r="5459" spans="93:93" x14ac:dyDescent="0.3">
      <c r="CO5459" s="15"/>
    </row>
    <row r="5460" spans="93:93" x14ac:dyDescent="0.3">
      <c r="CO5460" s="15"/>
    </row>
    <row r="5461" spans="93:93" x14ac:dyDescent="0.3">
      <c r="CO5461" s="15"/>
    </row>
    <row r="5462" spans="93:93" x14ac:dyDescent="0.3">
      <c r="CO5462" s="15"/>
    </row>
    <row r="5463" spans="93:93" x14ac:dyDescent="0.3">
      <c r="CO5463" s="15"/>
    </row>
    <row r="5464" spans="93:93" x14ac:dyDescent="0.3">
      <c r="CO5464" s="15"/>
    </row>
    <row r="5465" spans="93:93" x14ac:dyDescent="0.3">
      <c r="CO5465" s="15"/>
    </row>
    <row r="5466" spans="93:93" x14ac:dyDescent="0.3">
      <c r="CO5466" s="15"/>
    </row>
    <row r="5467" spans="93:93" x14ac:dyDescent="0.3">
      <c r="CO5467" s="15"/>
    </row>
    <row r="5468" spans="93:93" x14ac:dyDescent="0.3">
      <c r="CO5468" s="15"/>
    </row>
    <row r="5469" spans="93:93" x14ac:dyDescent="0.3">
      <c r="CO5469" s="15"/>
    </row>
    <row r="5470" spans="93:93" x14ac:dyDescent="0.3">
      <c r="CO5470" s="15"/>
    </row>
    <row r="5471" spans="93:93" x14ac:dyDescent="0.3">
      <c r="CO5471" s="15"/>
    </row>
    <row r="5472" spans="93:93" x14ac:dyDescent="0.3">
      <c r="CO5472" s="15"/>
    </row>
    <row r="5473" spans="93:93" x14ac:dyDescent="0.3">
      <c r="CO5473" s="15"/>
    </row>
    <row r="5474" spans="93:93" x14ac:dyDescent="0.3">
      <c r="CO5474" s="15"/>
    </row>
    <row r="5475" spans="93:93" x14ac:dyDescent="0.3">
      <c r="CO5475" s="15"/>
    </row>
    <row r="5476" spans="93:93" x14ac:dyDescent="0.3">
      <c r="CO5476" s="15"/>
    </row>
    <row r="5477" spans="93:93" x14ac:dyDescent="0.3">
      <c r="CO5477" s="15"/>
    </row>
    <row r="5478" spans="93:93" x14ac:dyDescent="0.3">
      <c r="CO5478" s="15"/>
    </row>
    <row r="5479" spans="93:93" x14ac:dyDescent="0.3">
      <c r="CO5479" s="15"/>
    </row>
    <row r="5480" spans="93:93" x14ac:dyDescent="0.3">
      <c r="CO5480" s="15"/>
    </row>
    <row r="5481" spans="93:93" x14ac:dyDescent="0.3">
      <c r="CO5481" s="15"/>
    </row>
    <row r="5482" spans="93:93" x14ac:dyDescent="0.3">
      <c r="CO5482" s="15"/>
    </row>
    <row r="5483" spans="93:93" x14ac:dyDescent="0.3">
      <c r="CO5483" s="15"/>
    </row>
    <row r="5484" spans="93:93" x14ac:dyDescent="0.3">
      <c r="CO5484" s="15"/>
    </row>
    <row r="5485" spans="93:93" x14ac:dyDescent="0.3">
      <c r="CO5485" s="15"/>
    </row>
    <row r="5486" spans="93:93" x14ac:dyDescent="0.3">
      <c r="CO5486" s="15"/>
    </row>
    <row r="5487" spans="93:93" x14ac:dyDescent="0.3">
      <c r="CO5487" s="15"/>
    </row>
    <row r="5488" spans="93:93" x14ac:dyDescent="0.3">
      <c r="CO5488" s="15"/>
    </row>
    <row r="5489" spans="93:93" x14ac:dyDescent="0.3">
      <c r="CO5489" s="15"/>
    </row>
    <row r="5490" spans="93:93" x14ac:dyDescent="0.3">
      <c r="CO5490" s="15"/>
    </row>
    <row r="5491" spans="93:93" x14ac:dyDescent="0.3">
      <c r="CO5491" s="15"/>
    </row>
    <row r="5492" spans="93:93" x14ac:dyDescent="0.3">
      <c r="CO5492" s="15"/>
    </row>
    <row r="5493" spans="93:93" x14ac:dyDescent="0.3">
      <c r="CO5493" s="15"/>
    </row>
    <row r="5494" spans="93:93" x14ac:dyDescent="0.3">
      <c r="CO5494" s="15"/>
    </row>
    <row r="5495" spans="93:93" x14ac:dyDescent="0.3">
      <c r="CO5495" s="15"/>
    </row>
    <row r="5496" spans="93:93" x14ac:dyDescent="0.3">
      <c r="CO5496" s="15"/>
    </row>
    <row r="5497" spans="93:93" x14ac:dyDescent="0.3">
      <c r="CO5497" s="15"/>
    </row>
    <row r="5498" spans="93:93" x14ac:dyDescent="0.3">
      <c r="CO5498" s="15"/>
    </row>
    <row r="5499" spans="93:93" x14ac:dyDescent="0.3">
      <c r="CO5499" s="15"/>
    </row>
    <row r="5500" spans="93:93" x14ac:dyDescent="0.3">
      <c r="CO5500" s="15"/>
    </row>
    <row r="5501" spans="93:93" x14ac:dyDescent="0.3">
      <c r="CO5501" s="15"/>
    </row>
    <row r="5502" spans="93:93" x14ac:dyDescent="0.3">
      <c r="CO5502" s="15"/>
    </row>
    <row r="5503" spans="93:93" x14ac:dyDescent="0.3">
      <c r="CO5503" s="15"/>
    </row>
    <row r="5504" spans="93:93" x14ac:dyDescent="0.3">
      <c r="CO5504" s="15"/>
    </row>
    <row r="5505" spans="93:93" x14ac:dyDescent="0.3">
      <c r="CO5505" s="15"/>
    </row>
    <row r="5506" spans="93:93" x14ac:dyDescent="0.3">
      <c r="CO5506" s="15"/>
    </row>
    <row r="5507" spans="93:93" x14ac:dyDescent="0.3">
      <c r="CO5507" s="15"/>
    </row>
    <row r="5508" spans="93:93" x14ac:dyDescent="0.3">
      <c r="CO5508" s="15"/>
    </row>
    <row r="5509" spans="93:93" x14ac:dyDescent="0.3">
      <c r="CO5509" s="15"/>
    </row>
    <row r="5510" spans="93:93" x14ac:dyDescent="0.3">
      <c r="CO5510" s="15"/>
    </row>
    <row r="5511" spans="93:93" x14ac:dyDescent="0.3">
      <c r="CO5511" s="15"/>
    </row>
    <row r="5512" spans="93:93" x14ac:dyDescent="0.3">
      <c r="CO5512" s="15"/>
    </row>
    <row r="5513" spans="93:93" x14ac:dyDescent="0.3">
      <c r="CO5513" s="15"/>
    </row>
    <row r="5514" spans="93:93" x14ac:dyDescent="0.3">
      <c r="CO5514" s="15"/>
    </row>
    <row r="5515" spans="93:93" x14ac:dyDescent="0.3">
      <c r="CO5515" s="15"/>
    </row>
    <row r="5516" spans="93:93" x14ac:dyDescent="0.3">
      <c r="CO5516" s="15"/>
    </row>
    <row r="5517" spans="93:93" x14ac:dyDescent="0.3">
      <c r="CO5517" s="15"/>
    </row>
    <row r="5518" spans="93:93" x14ac:dyDescent="0.3">
      <c r="CO5518" s="15"/>
    </row>
    <row r="5519" spans="93:93" x14ac:dyDescent="0.3">
      <c r="CO5519" s="15"/>
    </row>
    <row r="5520" spans="93:93" x14ac:dyDescent="0.3">
      <c r="CO5520" s="15"/>
    </row>
    <row r="5521" spans="93:93" x14ac:dyDescent="0.3">
      <c r="CO5521" s="15"/>
    </row>
    <row r="5522" spans="93:93" x14ac:dyDescent="0.3">
      <c r="CO5522" s="15"/>
    </row>
    <row r="5523" spans="93:93" x14ac:dyDescent="0.3">
      <c r="CO5523" s="15"/>
    </row>
    <row r="5524" spans="93:93" x14ac:dyDescent="0.3">
      <c r="CO5524" s="15"/>
    </row>
    <row r="5525" spans="93:93" x14ac:dyDescent="0.3">
      <c r="CO5525" s="15"/>
    </row>
    <row r="5526" spans="93:93" x14ac:dyDescent="0.3">
      <c r="CO5526" s="15"/>
    </row>
    <row r="5527" spans="93:93" x14ac:dyDescent="0.3">
      <c r="CO5527" s="15"/>
    </row>
    <row r="5528" spans="93:93" x14ac:dyDescent="0.3">
      <c r="CO5528" s="15"/>
    </row>
    <row r="5529" spans="93:93" x14ac:dyDescent="0.3">
      <c r="CO5529" s="15"/>
    </row>
    <row r="5530" spans="93:93" x14ac:dyDescent="0.3">
      <c r="CO5530" s="15"/>
    </row>
    <row r="5531" spans="93:93" x14ac:dyDescent="0.3">
      <c r="CO5531" s="15"/>
    </row>
    <row r="5532" spans="93:93" x14ac:dyDescent="0.3">
      <c r="CO5532" s="15"/>
    </row>
    <row r="5533" spans="93:93" x14ac:dyDescent="0.3">
      <c r="CO5533" s="15"/>
    </row>
    <row r="5534" spans="93:93" x14ac:dyDescent="0.3">
      <c r="CO5534" s="15"/>
    </row>
    <row r="5535" spans="93:93" x14ac:dyDescent="0.3">
      <c r="CO5535" s="15"/>
    </row>
    <row r="5536" spans="93:93" x14ac:dyDescent="0.3">
      <c r="CO5536" s="15"/>
    </row>
    <row r="5537" spans="93:93" x14ac:dyDescent="0.3">
      <c r="CO5537" s="15"/>
    </row>
    <row r="5538" spans="93:93" x14ac:dyDescent="0.3">
      <c r="CO5538" s="15"/>
    </row>
    <row r="5539" spans="93:93" x14ac:dyDescent="0.3">
      <c r="CO5539" s="15"/>
    </row>
    <row r="5540" spans="93:93" x14ac:dyDescent="0.3">
      <c r="CO5540" s="15"/>
    </row>
    <row r="5541" spans="93:93" x14ac:dyDescent="0.3">
      <c r="CO5541" s="15"/>
    </row>
    <row r="5542" spans="93:93" x14ac:dyDescent="0.3">
      <c r="CO5542" s="15"/>
    </row>
    <row r="5543" spans="93:93" x14ac:dyDescent="0.3">
      <c r="CO5543" s="15"/>
    </row>
    <row r="5544" spans="93:93" x14ac:dyDescent="0.3">
      <c r="CO5544" s="15"/>
    </row>
    <row r="5545" spans="93:93" x14ac:dyDescent="0.3">
      <c r="CO5545" s="15"/>
    </row>
    <row r="5546" spans="93:93" x14ac:dyDescent="0.3">
      <c r="CO5546" s="15"/>
    </row>
    <row r="5547" spans="93:93" x14ac:dyDescent="0.3">
      <c r="CO5547" s="15"/>
    </row>
    <row r="5548" spans="93:93" x14ac:dyDescent="0.3">
      <c r="CO5548" s="15"/>
    </row>
    <row r="5549" spans="93:93" x14ac:dyDescent="0.3">
      <c r="CO5549" s="15"/>
    </row>
    <row r="5550" spans="93:93" x14ac:dyDescent="0.3">
      <c r="CO5550" s="15"/>
    </row>
    <row r="5551" spans="93:93" x14ac:dyDescent="0.3">
      <c r="CO5551" s="15"/>
    </row>
    <row r="5552" spans="93:93" x14ac:dyDescent="0.3">
      <c r="CO5552" s="15"/>
    </row>
    <row r="5553" spans="93:93" x14ac:dyDescent="0.3">
      <c r="CO5553" s="15"/>
    </row>
    <row r="5554" spans="93:93" x14ac:dyDescent="0.3">
      <c r="CO5554" s="15"/>
    </row>
    <row r="5555" spans="93:93" x14ac:dyDescent="0.3">
      <c r="CO5555" s="15"/>
    </row>
    <row r="5556" spans="93:93" x14ac:dyDescent="0.3">
      <c r="CO5556" s="15"/>
    </row>
    <row r="5557" spans="93:93" x14ac:dyDescent="0.3">
      <c r="CO5557" s="15"/>
    </row>
    <row r="5558" spans="93:93" x14ac:dyDescent="0.3">
      <c r="CO5558" s="15"/>
    </row>
    <row r="5559" spans="93:93" x14ac:dyDescent="0.3">
      <c r="CO5559" s="15"/>
    </row>
    <row r="5560" spans="93:93" x14ac:dyDescent="0.3">
      <c r="CO5560" s="15"/>
    </row>
    <row r="5561" spans="93:93" x14ac:dyDescent="0.3">
      <c r="CO5561" s="15"/>
    </row>
    <row r="5562" spans="93:93" x14ac:dyDescent="0.3">
      <c r="CO5562" s="15"/>
    </row>
    <row r="5563" spans="93:93" x14ac:dyDescent="0.3">
      <c r="CO5563" s="15"/>
    </row>
    <row r="5564" spans="93:93" x14ac:dyDescent="0.3">
      <c r="CO5564" s="15"/>
    </row>
    <row r="5565" spans="93:93" x14ac:dyDescent="0.3">
      <c r="CO5565" s="15"/>
    </row>
    <row r="5566" spans="93:93" x14ac:dyDescent="0.3">
      <c r="CO5566" s="15"/>
    </row>
    <row r="5567" spans="93:93" x14ac:dyDescent="0.3">
      <c r="CO5567" s="15"/>
    </row>
    <row r="5568" spans="93:93" x14ac:dyDescent="0.3">
      <c r="CO5568" s="15"/>
    </row>
    <row r="5569" spans="93:93" x14ac:dyDescent="0.3">
      <c r="CO5569" s="15"/>
    </row>
    <row r="5570" spans="93:93" x14ac:dyDescent="0.3">
      <c r="CO5570" s="15"/>
    </row>
    <row r="5571" spans="93:93" x14ac:dyDescent="0.3">
      <c r="CO5571" s="15"/>
    </row>
    <row r="5572" spans="93:93" x14ac:dyDescent="0.3">
      <c r="CO5572" s="15"/>
    </row>
    <row r="5573" spans="93:93" x14ac:dyDescent="0.3">
      <c r="CO5573" s="15"/>
    </row>
    <row r="5574" spans="93:93" x14ac:dyDescent="0.3">
      <c r="CO5574" s="15"/>
    </row>
    <row r="5575" spans="93:93" x14ac:dyDescent="0.3">
      <c r="CO5575" s="15"/>
    </row>
    <row r="5576" spans="93:93" x14ac:dyDescent="0.3">
      <c r="CO5576" s="15"/>
    </row>
    <row r="5577" spans="93:93" x14ac:dyDescent="0.3">
      <c r="CO5577" s="15"/>
    </row>
    <row r="5578" spans="93:93" x14ac:dyDescent="0.3">
      <c r="CO5578" s="15"/>
    </row>
    <row r="5579" spans="93:93" x14ac:dyDescent="0.3">
      <c r="CO5579" s="15"/>
    </row>
    <row r="5580" spans="93:93" x14ac:dyDescent="0.3">
      <c r="CO5580" s="15"/>
    </row>
    <row r="5581" spans="93:93" x14ac:dyDescent="0.3">
      <c r="CO5581" s="15"/>
    </row>
    <row r="5582" spans="93:93" x14ac:dyDescent="0.3">
      <c r="CO5582" s="15"/>
    </row>
    <row r="5583" spans="93:93" x14ac:dyDescent="0.3">
      <c r="CO5583" s="15"/>
    </row>
    <row r="5584" spans="93:93" x14ac:dyDescent="0.3">
      <c r="CO5584" s="15"/>
    </row>
    <row r="5585" spans="93:93" x14ac:dyDescent="0.3">
      <c r="CO5585" s="15"/>
    </row>
    <row r="5586" spans="93:93" x14ac:dyDescent="0.3">
      <c r="CO5586" s="15"/>
    </row>
    <row r="5587" spans="93:93" x14ac:dyDescent="0.3">
      <c r="CO5587" s="15"/>
    </row>
    <row r="5588" spans="93:93" x14ac:dyDescent="0.3">
      <c r="CO5588" s="15"/>
    </row>
    <row r="5589" spans="93:93" x14ac:dyDescent="0.3">
      <c r="CO5589" s="15"/>
    </row>
    <row r="5590" spans="93:93" x14ac:dyDescent="0.3">
      <c r="CO5590" s="15"/>
    </row>
    <row r="5591" spans="93:93" x14ac:dyDescent="0.3">
      <c r="CO5591" s="15"/>
    </row>
    <row r="5592" spans="93:93" x14ac:dyDescent="0.3">
      <c r="CO5592" s="15"/>
    </row>
    <row r="5593" spans="93:93" x14ac:dyDescent="0.3">
      <c r="CO5593" s="15"/>
    </row>
    <row r="5594" spans="93:93" x14ac:dyDescent="0.3">
      <c r="CO5594" s="15"/>
    </row>
    <row r="5595" spans="93:93" x14ac:dyDescent="0.3">
      <c r="CO5595" s="15"/>
    </row>
    <row r="5596" spans="93:93" x14ac:dyDescent="0.3">
      <c r="CO5596" s="15"/>
    </row>
    <row r="5597" spans="93:93" x14ac:dyDescent="0.3">
      <c r="CO5597" s="15"/>
    </row>
    <row r="5598" spans="93:93" x14ac:dyDescent="0.3">
      <c r="CO5598" s="15"/>
    </row>
    <row r="5599" spans="93:93" x14ac:dyDescent="0.3">
      <c r="CO5599" s="15"/>
    </row>
    <row r="5600" spans="93:93" x14ac:dyDescent="0.3">
      <c r="CO5600" s="15"/>
    </row>
    <row r="5601" spans="93:93" x14ac:dyDescent="0.3">
      <c r="CO5601" s="15"/>
    </row>
    <row r="5602" spans="93:93" x14ac:dyDescent="0.3">
      <c r="CO5602" s="15"/>
    </row>
    <row r="5603" spans="93:93" x14ac:dyDescent="0.3">
      <c r="CO5603" s="15"/>
    </row>
    <row r="5604" spans="93:93" x14ac:dyDescent="0.3">
      <c r="CO5604" s="15"/>
    </row>
    <row r="5605" spans="93:93" x14ac:dyDescent="0.3">
      <c r="CO5605" s="15"/>
    </row>
    <row r="5606" spans="93:93" x14ac:dyDescent="0.3">
      <c r="CO5606" s="15"/>
    </row>
    <row r="5607" spans="93:93" x14ac:dyDescent="0.3">
      <c r="CO5607" s="15"/>
    </row>
    <row r="5608" spans="93:93" x14ac:dyDescent="0.3">
      <c r="CO5608" s="15"/>
    </row>
    <row r="5609" spans="93:93" x14ac:dyDescent="0.3">
      <c r="CO5609" s="15"/>
    </row>
    <row r="5610" spans="93:93" x14ac:dyDescent="0.3">
      <c r="CO5610" s="15"/>
    </row>
    <row r="5611" spans="93:93" x14ac:dyDescent="0.3">
      <c r="CO5611" s="15"/>
    </row>
    <row r="5612" spans="93:93" x14ac:dyDescent="0.3">
      <c r="CO5612" s="15"/>
    </row>
    <row r="5613" spans="93:93" x14ac:dyDescent="0.3">
      <c r="CO5613" s="15"/>
    </row>
    <row r="5614" spans="93:93" x14ac:dyDescent="0.3">
      <c r="CO5614" s="15"/>
    </row>
    <row r="5615" spans="93:93" x14ac:dyDescent="0.3">
      <c r="CO5615" s="15"/>
    </row>
    <row r="5616" spans="93:93" x14ac:dyDescent="0.3">
      <c r="CO5616" s="15"/>
    </row>
    <row r="5617" spans="93:93" x14ac:dyDescent="0.3">
      <c r="CO5617" s="15"/>
    </row>
    <row r="5618" spans="93:93" x14ac:dyDescent="0.3">
      <c r="CO5618" s="15"/>
    </row>
    <row r="5619" spans="93:93" x14ac:dyDescent="0.3">
      <c r="CO5619" s="15"/>
    </row>
    <row r="5620" spans="93:93" x14ac:dyDescent="0.3">
      <c r="CO5620" s="15"/>
    </row>
    <row r="5621" spans="93:93" x14ac:dyDescent="0.3">
      <c r="CO5621" s="15"/>
    </row>
    <row r="5622" spans="93:93" x14ac:dyDescent="0.3">
      <c r="CO5622" s="15"/>
    </row>
    <row r="5623" spans="93:93" x14ac:dyDescent="0.3">
      <c r="CO5623" s="15"/>
    </row>
    <row r="5624" spans="93:93" x14ac:dyDescent="0.3">
      <c r="CO5624" s="15"/>
    </row>
    <row r="5625" spans="93:93" x14ac:dyDescent="0.3">
      <c r="CO5625" s="15"/>
    </row>
    <row r="5626" spans="93:93" x14ac:dyDescent="0.3">
      <c r="CO5626" s="15"/>
    </row>
    <row r="5627" spans="93:93" x14ac:dyDescent="0.3">
      <c r="CO5627" s="15"/>
    </row>
    <row r="5628" spans="93:93" x14ac:dyDescent="0.3">
      <c r="CO5628" s="15"/>
    </row>
    <row r="5629" spans="93:93" x14ac:dyDescent="0.3">
      <c r="CO5629" s="15"/>
    </row>
    <row r="5630" spans="93:93" x14ac:dyDescent="0.3">
      <c r="CO5630" s="15"/>
    </row>
    <row r="5631" spans="93:93" x14ac:dyDescent="0.3">
      <c r="CO5631" s="15"/>
    </row>
    <row r="5632" spans="93:93" x14ac:dyDescent="0.3">
      <c r="CO5632" s="15"/>
    </row>
    <row r="5633" spans="93:93" x14ac:dyDescent="0.3">
      <c r="CO5633" s="15"/>
    </row>
    <row r="5634" spans="93:93" x14ac:dyDescent="0.3">
      <c r="CO5634" s="15"/>
    </row>
    <row r="5635" spans="93:93" x14ac:dyDescent="0.3">
      <c r="CO5635" s="15"/>
    </row>
    <row r="5636" spans="93:93" x14ac:dyDescent="0.3">
      <c r="CO5636" s="15"/>
    </row>
    <row r="5637" spans="93:93" x14ac:dyDescent="0.3">
      <c r="CO5637" s="15"/>
    </row>
    <row r="5638" spans="93:93" x14ac:dyDescent="0.3">
      <c r="CO5638" s="15"/>
    </row>
    <row r="5639" spans="93:93" x14ac:dyDescent="0.3">
      <c r="CO5639" s="15"/>
    </row>
    <row r="5640" spans="93:93" x14ac:dyDescent="0.3">
      <c r="CO5640" s="15"/>
    </row>
    <row r="5641" spans="93:93" x14ac:dyDescent="0.3">
      <c r="CO5641" s="15"/>
    </row>
    <row r="5642" spans="93:93" x14ac:dyDescent="0.3">
      <c r="CO5642" s="15"/>
    </row>
    <row r="5643" spans="93:93" x14ac:dyDescent="0.3">
      <c r="CO5643" s="15"/>
    </row>
    <row r="5644" spans="93:93" x14ac:dyDescent="0.3">
      <c r="CO5644" s="15"/>
    </row>
    <row r="5645" spans="93:93" x14ac:dyDescent="0.3">
      <c r="CO5645" s="15"/>
    </row>
    <row r="5646" spans="93:93" x14ac:dyDescent="0.3">
      <c r="CO5646" s="15"/>
    </row>
    <row r="5647" spans="93:93" x14ac:dyDescent="0.3">
      <c r="CO5647" s="15"/>
    </row>
    <row r="5648" spans="93:93" x14ac:dyDescent="0.3">
      <c r="CO5648" s="15"/>
    </row>
    <row r="5649" spans="93:93" x14ac:dyDescent="0.3">
      <c r="CO5649" s="15"/>
    </row>
    <row r="5650" spans="93:93" x14ac:dyDescent="0.3">
      <c r="CO5650" s="15"/>
    </row>
    <row r="5651" spans="93:93" x14ac:dyDescent="0.3">
      <c r="CO5651" s="15"/>
    </row>
    <row r="5652" spans="93:93" x14ac:dyDescent="0.3">
      <c r="CO5652" s="15"/>
    </row>
    <row r="5653" spans="93:93" x14ac:dyDescent="0.3">
      <c r="CO5653" s="15"/>
    </row>
    <row r="5654" spans="93:93" x14ac:dyDescent="0.3">
      <c r="CO5654" s="15"/>
    </row>
    <row r="5655" spans="93:93" x14ac:dyDescent="0.3">
      <c r="CO5655" s="15"/>
    </row>
    <row r="5656" spans="93:93" x14ac:dyDescent="0.3">
      <c r="CO5656" s="15"/>
    </row>
    <row r="5657" spans="93:93" x14ac:dyDescent="0.3">
      <c r="CO5657" s="15"/>
    </row>
    <row r="5658" spans="93:93" x14ac:dyDescent="0.3">
      <c r="CO5658" s="15"/>
    </row>
    <row r="5659" spans="93:93" x14ac:dyDescent="0.3">
      <c r="CO5659" s="15"/>
    </row>
    <row r="5660" spans="93:93" x14ac:dyDescent="0.3">
      <c r="CO5660" s="15"/>
    </row>
    <row r="5661" spans="93:93" x14ac:dyDescent="0.3">
      <c r="CO5661" s="15"/>
    </row>
    <row r="5662" spans="93:93" x14ac:dyDescent="0.3">
      <c r="CO5662" s="15"/>
    </row>
    <row r="5663" spans="93:93" x14ac:dyDescent="0.3">
      <c r="CO5663" s="15"/>
    </row>
    <row r="5664" spans="93:93" x14ac:dyDescent="0.3">
      <c r="CO5664" s="15"/>
    </row>
    <row r="5665" spans="93:93" x14ac:dyDescent="0.3">
      <c r="CO5665" s="15"/>
    </row>
    <row r="5666" spans="93:93" x14ac:dyDescent="0.3">
      <c r="CO5666" s="15"/>
    </row>
    <row r="5667" spans="93:93" x14ac:dyDescent="0.3">
      <c r="CO5667" s="15"/>
    </row>
    <row r="5668" spans="93:93" x14ac:dyDescent="0.3">
      <c r="CO5668" s="15"/>
    </row>
    <row r="5669" spans="93:93" x14ac:dyDescent="0.3">
      <c r="CO5669" s="15"/>
    </row>
    <row r="5670" spans="93:93" x14ac:dyDescent="0.3">
      <c r="CO5670" s="15"/>
    </row>
    <row r="5671" spans="93:93" x14ac:dyDescent="0.3">
      <c r="CO5671" s="15"/>
    </row>
    <row r="5672" spans="93:93" x14ac:dyDescent="0.3">
      <c r="CO5672" s="15"/>
    </row>
    <row r="5673" spans="93:93" x14ac:dyDescent="0.3">
      <c r="CO5673" s="15"/>
    </row>
    <row r="5674" spans="93:93" x14ac:dyDescent="0.3">
      <c r="CO5674" s="15"/>
    </row>
    <row r="5675" spans="93:93" x14ac:dyDescent="0.3">
      <c r="CO5675" s="15"/>
    </row>
    <row r="5676" spans="93:93" x14ac:dyDescent="0.3">
      <c r="CO5676" s="15"/>
    </row>
    <row r="5677" spans="93:93" x14ac:dyDescent="0.3">
      <c r="CO5677" s="15"/>
    </row>
    <row r="5678" spans="93:93" x14ac:dyDescent="0.3">
      <c r="CO5678" s="15"/>
    </row>
    <row r="5679" spans="93:93" x14ac:dyDescent="0.3">
      <c r="CO5679" s="15"/>
    </row>
    <row r="5680" spans="93:93" x14ac:dyDescent="0.3">
      <c r="CO5680" s="15"/>
    </row>
    <row r="5681" spans="93:93" x14ac:dyDescent="0.3">
      <c r="CO5681" s="15"/>
    </row>
    <row r="5682" spans="93:93" x14ac:dyDescent="0.3">
      <c r="CO5682" s="15"/>
    </row>
    <row r="5683" spans="93:93" x14ac:dyDescent="0.3">
      <c r="CO5683" s="15"/>
    </row>
    <row r="5684" spans="93:93" x14ac:dyDescent="0.3">
      <c r="CO5684" s="15"/>
    </row>
    <row r="5685" spans="93:93" x14ac:dyDescent="0.3">
      <c r="CO5685" s="15"/>
    </row>
    <row r="5686" spans="93:93" x14ac:dyDescent="0.3">
      <c r="CO5686" s="15"/>
    </row>
    <row r="5687" spans="93:93" x14ac:dyDescent="0.3">
      <c r="CO5687" s="15"/>
    </row>
    <row r="5688" spans="93:93" x14ac:dyDescent="0.3">
      <c r="CO5688" s="15"/>
    </row>
    <row r="5689" spans="93:93" x14ac:dyDescent="0.3">
      <c r="CO5689" s="15"/>
    </row>
    <row r="5690" spans="93:93" x14ac:dyDescent="0.3">
      <c r="CO5690" s="15"/>
    </row>
    <row r="5691" spans="93:93" x14ac:dyDescent="0.3">
      <c r="CO5691" s="15"/>
    </row>
    <row r="5692" spans="93:93" x14ac:dyDescent="0.3">
      <c r="CO5692" s="15"/>
    </row>
    <row r="5693" spans="93:93" x14ac:dyDescent="0.3">
      <c r="CO5693" s="15"/>
    </row>
    <row r="5694" spans="93:93" x14ac:dyDescent="0.3">
      <c r="CO5694" s="15"/>
    </row>
    <row r="5695" spans="93:93" x14ac:dyDescent="0.3">
      <c r="CO5695" s="15"/>
    </row>
    <row r="5696" spans="93:93" x14ac:dyDescent="0.3">
      <c r="CO5696" s="15"/>
    </row>
    <row r="5697" spans="93:93" x14ac:dyDescent="0.3">
      <c r="CO5697" s="15"/>
    </row>
    <row r="5698" spans="93:93" x14ac:dyDescent="0.3">
      <c r="CO5698" s="15"/>
    </row>
    <row r="5699" spans="93:93" x14ac:dyDescent="0.3">
      <c r="CO5699" s="15"/>
    </row>
    <row r="5700" spans="93:93" x14ac:dyDescent="0.3">
      <c r="CO5700" s="15"/>
    </row>
    <row r="5701" spans="93:93" x14ac:dyDescent="0.3">
      <c r="CO5701" s="15"/>
    </row>
    <row r="5702" spans="93:93" x14ac:dyDescent="0.3">
      <c r="CO5702" s="15"/>
    </row>
    <row r="5703" spans="93:93" x14ac:dyDescent="0.3">
      <c r="CO5703" s="15"/>
    </row>
    <row r="5704" spans="93:93" x14ac:dyDescent="0.3">
      <c r="CO5704" s="15"/>
    </row>
    <row r="5705" spans="93:93" x14ac:dyDescent="0.3">
      <c r="CO5705" s="15"/>
    </row>
    <row r="5706" spans="93:93" x14ac:dyDescent="0.3">
      <c r="CO5706" s="15"/>
    </row>
    <row r="5707" spans="93:93" x14ac:dyDescent="0.3">
      <c r="CO5707" s="15"/>
    </row>
    <row r="5708" spans="93:93" x14ac:dyDescent="0.3">
      <c r="CO5708" s="15"/>
    </row>
    <row r="5709" spans="93:93" x14ac:dyDescent="0.3">
      <c r="CO5709" s="15"/>
    </row>
    <row r="5710" spans="93:93" x14ac:dyDescent="0.3">
      <c r="CO5710" s="15"/>
    </row>
    <row r="5711" spans="93:93" x14ac:dyDescent="0.3">
      <c r="CO5711" s="15"/>
    </row>
    <row r="5712" spans="93:93" x14ac:dyDescent="0.3">
      <c r="CO5712" s="15"/>
    </row>
    <row r="5713" spans="93:93" x14ac:dyDescent="0.3">
      <c r="CO5713" s="15"/>
    </row>
    <row r="5714" spans="93:93" x14ac:dyDescent="0.3">
      <c r="CO5714" s="15"/>
    </row>
    <row r="5715" spans="93:93" x14ac:dyDescent="0.3">
      <c r="CO5715" s="15"/>
    </row>
    <row r="5716" spans="93:93" x14ac:dyDescent="0.3">
      <c r="CO5716" s="15"/>
    </row>
    <row r="5717" spans="93:93" x14ac:dyDescent="0.3">
      <c r="CO5717" s="15"/>
    </row>
    <row r="5718" spans="93:93" x14ac:dyDescent="0.3">
      <c r="CO5718" s="15"/>
    </row>
    <row r="5719" spans="93:93" x14ac:dyDescent="0.3">
      <c r="CO5719" s="15"/>
    </row>
    <row r="5720" spans="93:93" x14ac:dyDescent="0.3">
      <c r="CO5720" s="15"/>
    </row>
    <row r="5721" spans="93:93" x14ac:dyDescent="0.3">
      <c r="CO5721" s="15"/>
    </row>
    <row r="5722" spans="93:93" x14ac:dyDescent="0.3">
      <c r="CO5722" s="15"/>
    </row>
    <row r="5723" spans="93:93" x14ac:dyDescent="0.3">
      <c r="CO5723" s="15"/>
    </row>
    <row r="5724" spans="93:93" x14ac:dyDescent="0.3">
      <c r="CO5724" s="15"/>
    </row>
    <row r="5725" spans="93:93" x14ac:dyDescent="0.3">
      <c r="CO5725" s="15"/>
    </row>
    <row r="5726" spans="93:93" x14ac:dyDescent="0.3">
      <c r="CO5726" s="15"/>
    </row>
    <row r="5727" spans="93:93" x14ac:dyDescent="0.3">
      <c r="CO5727" s="15"/>
    </row>
    <row r="5728" spans="93:93" x14ac:dyDescent="0.3">
      <c r="CO5728" s="15"/>
    </row>
    <row r="5729" spans="93:93" x14ac:dyDescent="0.3">
      <c r="CO5729" s="15"/>
    </row>
    <row r="5730" spans="93:93" x14ac:dyDescent="0.3">
      <c r="CO5730" s="15"/>
    </row>
    <row r="5731" spans="93:93" x14ac:dyDescent="0.3">
      <c r="CO5731" s="15"/>
    </row>
    <row r="5732" spans="93:93" x14ac:dyDescent="0.3">
      <c r="CO5732" s="15"/>
    </row>
    <row r="5733" spans="93:93" x14ac:dyDescent="0.3">
      <c r="CO5733" s="15"/>
    </row>
    <row r="5734" spans="93:93" x14ac:dyDescent="0.3">
      <c r="CO5734" s="15"/>
    </row>
    <row r="5735" spans="93:93" x14ac:dyDescent="0.3">
      <c r="CO5735" s="15"/>
    </row>
    <row r="5736" spans="93:93" x14ac:dyDescent="0.3">
      <c r="CO5736" s="15"/>
    </row>
    <row r="5737" spans="93:93" x14ac:dyDescent="0.3">
      <c r="CO5737" s="15"/>
    </row>
    <row r="5738" spans="93:93" x14ac:dyDescent="0.3">
      <c r="CO5738" s="15"/>
    </row>
    <row r="5739" spans="93:93" x14ac:dyDescent="0.3">
      <c r="CO5739" s="15"/>
    </row>
    <row r="5740" spans="93:93" x14ac:dyDescent="0.3">
      <c r="CO5740" s="15"/>
    </row>
    <row r="5741" spans="93:93" x14ac:dyDescent="0.3">
      <c r="CO5741" s="15"/>
    </row>
    <row r="5742" spans="93:93" x14ac:dyDescent="0.3">
      <c r="CO5742" s="15"/>
    </row>
    <row r="5743" spans="93:93" x14ac:dyDescent="0.3">
      <c r="CO5743" s="15"/>
    </row>
    <row r="5744" spans="93:93" x14ac:dyDescent="0.3">
      <c r="CO5744" s="15"/>
    </row>
    <row r="5745" spans="93:93" x14ac:dyDescent="0.3">
      <c r="CO5745" s="15"/>
    </row>
    <row r="5746" spans="93:93" x14ac:dyDescent="0.3">
      <c r="CO5746" s="15"/>
    </row>
    <row r="5747" spans="93:93" x14ac:dyDescent="0.3">
      <c r="CO5747" s="15"/>
    </row>
    <row r="5748" spans="93:93" x14ac:dyDescent="0.3">
      <c r="CO5748" s="15"/>
    </row>
    <row r="5749" spans="93:93" x14ac:dyDescent="0.3">
      <c r="CO5749" s="15"/>
    </row>
    <row r="5750" spans="93:93" x14ac:dyDescent="0.3">
      <c r="CO5750" s="15"/>
    </row>
    <row r="5751" spans="93:93" x14ac:dyDescent="0.3">
      <c r="CO5751" s="15"/>
    </row>
    <row r="5752" spans="93:93" x14ac:dyDescent="0.3">
      <c r="CO5752" s="15"/>
    </row>
    <row r="5753" spans="93:93" x14ac:dyDescent="0.3">
      <c r="CO5753" s="15"/>
    </row>
    <row r="5754" spans="93:93" x14ac:dyDescent="0.3">
      <c r="CO5754" s="15"/>
    </row>
    <row r="5755" spans="93:93" x14ac:dyDescent="0.3">
      <c r="CO5755" s="15"/>
    </row>
    <row r="5756" spans="93:93" x14ac:dyDescent="0.3">
      <c r="CO5756" s="15"/>
    </row>
    <row r="5757" spans="93:93" x14ac:dyDescent="0.3">
      <c r="CO5757" s="15"/>
    </row>
    <row r="5758" spans="93:93" x14ac:dyDescent="0.3">
      <c r="CO5758" s="15"/>
    </row>
    <row r="5759" spans="93:93" x14ac:dyDescent="0.3">
      <c r="CO5759" s="15"/>
    </row>
    <row r="5760" spans="93:93" x14ac:dyDescent="0.3">
      <c r="CO5760" s="15"/>
    </row>
    <row r="5761" spans="93:93" x14ac:dyDescent="0.3">
      <c r="CO5761" s="15"/>
    </row>
    <row r="5762" spans="93:93" x14ac:dyDescent="0.3">
      <c r="CO5762" s="15"/>
    </row>
    <row r="5763" spans="93:93" x14ac:dyDescent="0.3">
      <c r="CO5763" s="15"/>
    </row>
    <row r="5764" spans="93:93" x14ac:dyDescent="0.3">
      <c r="CO5764" s="15"/>
    </row>
    <row r="5765" spans="93:93" x14ac:dyDescent="0.3">
      <c r="CO5765" s="15"/>
    </row>
    <row r="5766" spans="93:93" x14ac:dyDescent="0.3">
      <c r="CO5766" s="15"/>
    </row>
    <row r="5767" spans="93:93" x14ac:dyDescent="0.3">
      <c r="CO5767" s="15"/>
    </row>
    <row r="5768" spans="93:93" x14ac:dyDescent="0.3">
      <c r="CO5768" s="15"/>
    </row>
    <row r="5769" spans="93:93" x14ac:dyDescent="0.3">
      <c r="CO5769" s="15"/>
    </row>
    <row r="5770" spans="93:93" x14ac:dyDescent="0.3">
      <c r="CO5770" s="15"/>
    </row>
    <row r="5771" spans="93:93" x14ac:dyDescent="0.3">
      <c r="CO5771" s="15"/>
    </row>
    <row r="5772" spans="93:93" x14ac:dyDescent="0.3">
      <c r="CO5772" s="15"/>
    </row>
    <row r="5773" spans="93:93" x14ac:dyDescent="0.3">
      <c r="CO5773" s="15"/>
    </row>
    <row r="5774" spans="93:93" x14ac:dyDescent="0.3">
      <c r="CO5774" s="15"/>
    </row>
    <row r="5775" spans="93:93" x14ac:dyDescent="0.3">
      <c r="CO5775" s="15"/>
    </row>
    <row r="5776" spans="93:93" x14ac:dyDescent="0.3">
      <c r="CO5776" s="15"/>
    </row>
    <row r="5777" spans="93:93" x14ac:dyDescent="0.3">
      <c r="CO5777" s="15"/>
    </row>
    <row r="5778" spans="93:93" x14ac:dyDescent="0.3">
      <c r="CO5778" s="15"/>
    </row>
    <row r="5779" spans="93:93" x14ac:dyDescent="0.3">
      <c r="CO5779" s="15"/>
    </row>
    <row r="5780" spans="93:93" x14ac:dyDescent="0.3">
      <c r="CO5780" s="15"/>
    </row>
    <row r="5781" spans="93:93" x14ac:dyDescent="0.3">
      <c r="CO5781" s="15"/>
    </row>
    <row r="5782" spans="93:93" x14ac:dyDescent="0.3">
      <c r="CO5782" s="15"/>
    </row>
    <row r="5783" spans="93:93" x14ac:dyDescent="0.3">
      <c r="CO5783" s="15"/>
    </row>
    <row r="5784" spans="93:93" x14ac:dyDescent="0.3">
      <c r="CO5784" s="15"/>
    </row>
    <row r="5785" spans="93:93" x14ac:dyDescent="0.3">
      <c r="CO5785" s="15"/>
    </row>
    <row r="5786" spans="93:93" x14ac:dyDescent="0.3">
      <c r="CO5786" s="15"/>
    </row>
    <row r="5787" spans="93:93" x14ac:dyDescent="0.3">
      <c r="CO5787" s="15"/>
    </row>
    <row r="5788" spans="93:93" x14ac:dyDescent="0.3">
      <c r="CO5788" s="15"/>
    </row>
    <row r="5789" spans="93:93" x14ac:dyDescent="0.3">
      <c r="CO5789" s="15"/>
    </row>
    <row r="5790" spans="93:93" x14ac:dyDescent="0.3">
      <c r="CO5790" s="15"/>
    </row>
    <row r="5791" spans="93:93" x14ac:dyDescent="0.3">
      <c r="CO5791" s="15"/>
    </row>
    <row r="5792" spans="93:93" x14ac:dyDescent="0.3">
      <c r="CO5792" s="15"/>
    </row>
    <row r="5793" spans="93:93" x14ac:dyDescent="0.3">
      <c r="CO5793" s="15"/>
    </row>
    <row r="5794" spans="93:93" x14ac:dyDescent="0.3">
      <c r="CO5794" s="15"/>
    </row>
    <row r="5795" spans="93:93" x14ac:dyDescent="0.3">
      <c r="CO5795" s="15"/>
    </row>
    <row r="5796" spans="93:93" x14ac:dyDescent="0.3">
      <c r="CO5796" s="15"/>
    </row>
    <row r="5797" spans="93:93" x14ac:dyDescent="0.3">
      <c r="CO5797" s="15"/>
    </row>
    <row r="5798" spans="93:93" x14ac:dyDescent="0.3">
      <c r="CO5798" s="15"/>
    </row>
    <row r="5799" spans="93:93" x14ac:dyDescent="0.3">
      <c r="CO5799" s="15"/>
    </row>
    <row r="5800" spans="93:93" x14ac:dyDescent="0.3">
      <c r="CO5800" s="15"/>
    </row>
    <row r="5801" spans="93:93" x14ac:dyDescent="0.3">
      <c r="CO5801" s="15"/>
    </row>
    <row r="5802" spans="93:93" x14ac:dyDescent="0.3">
      <c r="CO5802" s="15"/>
    </row>
    <row r="5803" spans="93:93" x14ac:dyDescent="0.3">
      <c r="CO5803" s="15"/>
    </row>
    <row r="5804" spans="93:93" x14ac:dyDescent="0.3">
      <c r="CO5804" s="15"/>
    </row>
    <row r="5805" spans="93:93" x14ac:dyDescent="0.3">
      <c r="CO5805" s="15"/>
    </row>
    <row r="5806" spans="93:93" x14ac:dyDescent="0.3">
      <c r="CO5806" s="15"/>
    </row>
    <row r="5807" spans="93:93" x14ac:dyDescent="0.3">
      <c r="CO5807" s="15"/>
    </row>
    <row r="5808" spans="93:93" x14ac:dyDescent="0.3">
      <c r="CO5808" s="15"/>
    </row>
    <row r="5809" spans="93:93" x14ac:dyDescent="0.3">
      <c r="CO5809" s="15"/>
    </row>
    <row r="5810" spans="93:93" x14ac:dyDescent="0.3">
      <c r="CO5810" s="15"/>
    </row>
    <row r="5811" spans="93:93" x14ac:dyDescent="0.3">
      <c r="CO5811" s="15"/>
    </row>
    <row r="5812" spans="93:93" x14ac:dyDescent="0.3">
      <c r="CO5812" s="15"/>
    </row>
    <row r="5813" spans="93:93" x14ac:dyDescent="0.3">
      <c r="CO5813" s="15"/>
    </row>
    <row r="5814" spans="93:93" x14ac:dyDescent="0.3">
      <c r="CO5814" s="15"/>
    </row>
    <row r="5815" spans="93:93" x14ac:dyDescent="0.3">
      <c r="CO5815" s="15"/>
    </row>
    <row r="5816" spans="93:93" x14ac:dyDescent="0.3">
      <c r="CO5816" s="15"/>
    </row>
    <row r="5817" spans="93:93" x14ac:dyDescent="0.3">
      <c r="CO5817" s="15"/>
    </row>
    <row r="5818" spans="93:93" x14ac:dyDescent="0.3">
      <c r="CO5818" s="15"/>
    </row>
    <row r="5819" spans="93:93" x14ac:dyDescent="0.3">
      <c r="CO5819" s="15"/>
    </row>
    <row r="5820" spans="93:93" x14ac:dyDescent="0.3">
      <c r="CO5820" s="15"/>
    </row>
    <row r="5821" spans="93:93" x14ac:dyDescent="0.3">
      <c r="CO5821" s="15"/>
    </row>
    <row r="5822" spans="93:93" x14ac:dyDescent="0.3">
      <c r="CO5822" s="15"/>
    </row>
    <row r="5823" spans="93:93" x14ac:dyDescent="0.3">
      <c r="CO5823" s="15"/>
    </row>
    <row r="5824" spans="93:93" x14ac:dyDescent="0.3">
      <c r="CO5824" s="15"/>
    </row>
    <row r="5825" spans="93:93" x14ac:dyDescent="0.3">
      <c r="CO5825" s="15"/>
    </row>
    <row r="5826" spans="93:93" x14ac:dyDescent="0.3">
      <c r="CO5826" s="15"/>
    </row>
    <row r="5827" spans="93:93" x14ac:dyDescent="0.3">
      <c r="CO5827" s="15"/>
    </row>
    <row r="5828" spans="93:93" x14ac:dyDescent="0.3">
      <c r="CO5828" s="15"/>
    </row>
    <row r="5829" spans="93:93" x14ac:dyDescent="0.3">
      <c r="CO5829" s="15"/>
    </row>
    <row r="5830" spans="93:93" x14ac:dyDescent="0.3">
      <c r="CO5830" s="15"/>
    </row>
    <row r="5831" spans="93:93" x14ac:dyDescent="0.3">
      <c r="CO5831" s="15"/>
    </row>
    <row r="5832" spans="93:93" x14ac:dyDescent="0.3">
      <c r="CO5832" s="15"/>
    </row>
    <row r="5833" spans="93:93" x14ac:dyDescent="0.3">
      <c r="CO5833" s="15"/>
    </row>
    <row r="5834" spans="93:93" x14ac:dyDescent="0.3">
      <c r="CO5834" s="15"/>
    </row>
    <row r="5835" spans="93:93" x14ac:dyDescent="0.3">
      <c r="CO5835" s="15"/>
    </row>
    <row r="5836" spans="93:93" x14ac:dyDescent="0.3">
      <c r="CO5836" s="15"/>
    </row>
    <row r="5837" spans="93:93" x14ac:dyDescent="0.3">
      <c r="CO5837" s="15"/>
    </row>
    <row r="5838" spans="93:93" x14ac:dyDescent="0.3">
      <c r="CO5838" s="15"/>
    </row>
    <row r="5839" spans="93:93" x14ac:dyDescent="0.3">
      <c r="CO5839" s="15"/>
    </row>
    <row r="5840" spans="93:93" x14ac:dyDescent="0.3">
      <c r="CO5840" s="15"/>
    </row>
    <row r="5841" spans="93:93" x14ac:dyDescent="0.3">
      <c r="CO5841" s="15"/>
    </row>
    <row r="5842" spans="93:93" x14ac:dyDescent="0.3">
      <c r="CO5842" s="15"/>
    </row>
    <row r="5843" spans="93:93" x14ac:dyDescent="0.3">
      <c r="CO5843" s="15"/>
    </row>
    <row r="5844" spans="93:93" x14ac:dyDescent="0.3">
      <c r="CO5844" s="15"/>
    </row>
    <row r="5845" spans="93:93" x14ac:dyDescent="0.3">
      <c r="CO5845" s="15"/>
    </row>
    <row r="5846" spans="93:93" x14ac:dyDescent="0.3">
      <c r="CO5846" s="15"/>
    </row>
    <row r="5847" spans="93:93" x14ac:dyDescent="0.3">
      <c r="CO5847" s="15"/>
    </row>
    <row r="5848" spans="93:93" x14ac:dyDescent="0.3">
      <c r="CO5848" s="15"/>
    </row>
    <row r="5849" spans="93:93" x14ac:dyDescent="0.3">
      <c r="CO5849" s="15"/>
    </row>
    <row r="5850" spans="93:93" x14ac:dyDescent="0.3">
      <c r="CO5850" s="15"/>
    </row>
    <row r="5851" spans="93:93" x14ac:dyDescent="0.3">
      <c r="CO5851" s="15"/>
    </row>
    <row r="5852" spans="93:93" x14ac:dyDescent="0.3">
      <c r="CO5852" s="15"/>
    </row>
    <row r="5853" spans="93:93" x14ac:dyDescent="0.3">
      <c r="CO5853" s="15"/>
    </row>
    <row r="5854" spans="93:93" x14ac:dyDescent="0.3">
      <c r="CO5854" s="15"/>
    </row>
    <row r="5855" spans="93:93" x14ac:dyDescent="0.3">
      <c r="CO5855" s="15"/>
    </row>
    <row r="5856" spans="93:93" x14ac:dyDescent="0.3">
      <c r="CO5856" s="15"/>
    </row>
    <row r="5857" spans="93:93" x14ac:dyDescent="0.3">
      <c r="CO5857" s="15"/>
    </row>
    <row r="5858" spans="93:93" x14ac:dyDescent="0.3">
      <c r="CO5858" s="15"/>
    </row>
    <row r="5859" spans="93:93" x14ac:dyDescent="0.3">
      <c r="CO5859" s="15"/>
    </row>
    <row r="5860" spans="93:93" x14ac:dyDescent="0.3">
      <c r="CO5860" s="15"/>
    </row>
    <row r="5861" spans="93:93" x14ac:dyDescent="0.3">
      <c r="CO5861" s="15"/>
    </row>
    <row r="5862" spans="93:93" x14ac:dyDescent="0.3">
      <c r="CO5862" s="15"/>
    </row>
    <row r="5863" spans="93:93" x14ac:dyDescent="0.3">
      <c r="CO5863" s="15"/>
    </row>
    <row r="5864" spans="93:93" x14ac:dyDescent="0.3">
      <c r="CO5864" s="15"/>
    </row>
    <row r="5865" spans="93:93" x14ac:dyDescent="0.3">
      <c r="CO5865" s="15"/>
    </row>
    <row r="5866" spans="93:93" x14ac:dyDescent="0.3">
      <c r="CO5866" s="15"/>
    </row>
    <row r="5867" spans="93:93" x14ac:dyDescent="0.3">
      <c r="CO5867" s="15"/>
    </row>
    <row r="5868" spans="93:93" x14ac:dyDescent="0.3">
      <c r="CO5868" s="15"/>
    </row>
    <row r="5869" spans="93:93" x14ac:dyDescent="0.3">
      <c r="CO5869" s="15"/>
    </row>
    <row r="5870" spans="93:93" x14ac:dyDescent="0.3">
      <c r="CO5870" s="15"/>
    </row>
    <row r="5871" spans="93:93" x14ac:dyDescent="0.3">
      <c r="CO5871" s="15"/>
    </row>
    <row r="5872" spans="93:93" x14ac:dyDescent="0.3">
      <c r="CO5872" s="15"/>
    </row>
    <row r="5873" spans="93:93" x14ac:dyDescent="0.3">
      <c r="CO5873" s="15"/>
    </row>
    <row r="5874" spans="93:93" x14ac:dyDescent="0.3">
      <c r="CO5874" s="15"/>
    </row>
    <row r="5875" spans="93:93" x14ac:dyDescent="0.3">
      <c r="CO5875" s="15"/>
    </row>
    <row r="5876" spans="93:93" x14ac:dyDescent="0.3">
      <c r="CO5876" s="15"/>
    </row>
    <row r="5877" spans="93:93" x14ac:dyDescent="0.3">
      <c r="CO5877" s="15"/>
    </row>
    <row r="5878" spans="93:93" x14ac:dyDescent="0.3">
      <c r="CO5878" s="15"/>
    </row>
    <row r="5879" spans="93:93" x14ac:dyDescent="0.3">
      <c r="CO5879" s="15"/>
    </row>
    <row r="5880" spans="93:93" x14ac:dyDescent="0.3">
      <c r="CO5880" s="15"/>
    </row>
    <row r="5881" spans="93:93" x14ac:dyDescent="0.3">
      <c r="CO5881" s="15"/>
    </row>
    <row r="5882" spans="93:93" x14ac:dyDescent="0.3">
      <c r="CO5882" s="15"/>
    </row>
    <row r="5883" spans="93:93" x14ac:dyDescent="0.3">
      <c r="CO5883" s="15"/>
    </row>
    <row r="5884" spans="93:93" x14ac:dyDescent="0.3">
      <c r="CO5884" s="15"/>
    </row>
    <row r="5885" spans="93:93" x14ac:dyDescent="0.3">
      <c r="CO5885" s="15"/>
    </row>
    <row r="5886" spans="93:93" x14ac:dyDescent="0.3">
      <c r="CO5886" s="15"/>
    </row>
    <row r="5887" spans="93:93" x14ac:dyDescent="0.3">
      <c r="CO5887" s="15"/>
    </row>
    <row r="5888" spans="93:93" x14ac:dyDescent="0.3">
      <c r="CO5888" s="15"/>
    </row>
    <row r="5889" spans="93:93" x14ac:dyDescent="0.3">
      <c r="CO5889" s="15"/>
    </row>
    <row r="5890" spans="93:93" x14ac:dyDescent="0.3">
      <c r="CO5890" s="15"/>
    </row>
    <row r="5891" spans="93:93" x14ac:dyDescent="0.3">
      <c r="CO5891" s="15"/>
    </row>
    <row r="5892" spans="93:93" x14ac:dyDescent="0.3">
      <c r="CO5892" s="15"/>
    </row>
    <row r="5893" spans="93:93" x14ac:dyDescent="0.3">
      <c r="CO5893" s="15"/>
    </row>
    <row r="5894" spans="93:93" x14ac:dyDescent="0.3">
      <c r="CO5894" s="15"/>
    </row>
    <row r="5895" spans="93:93" x14ac:dyDescent="0.3">
      <c r="CO5895" s="15"/>
    </row>
    <row r="5896" spans="93:93" x14ac:dyDescent="0.3">
      <c r="CO5896" s="15"/>
    </row>
    <row r="5897" spans="93:93" x14ac:dyDescent="0.3">
      <c r="CO5897" s="15"/>
    </row>
    <row r="5898" spans="93:93" x14ac:dyDescent="0.3">
      <c r="CO5898" s="15"/>
    </row>
    <row r="5899" spans="93:93" x14ac:dyDescent="0.3">
      <c r="CO5899" s="15"/>
    </row>
    <row r="5900" spans="93:93" x14ac:dyDescent="0.3">
      <c r="CO5900" s="15"/>
    </row>
    <row r="5901" spans="93:93" x14ac:dyDescent="0.3">
      <c r="CO5901" s="15"/>
    </row>
    <row r="5902" spans="93:93" x14ac:dyDescent="0.3">
      <c r="CO5902" s="15"/>
    </row>
    <row r="5903" spans="93:93" x14ac:dyDescent="0.3">
      <c r="CO5903" s="15"/>
    </row>
    <row r="5904" spans="93:93" x14ac:dyDescent="0.3">
      <c r="CO5904" s="15"/>
    </row>
    <row r="5905" spans="93:93" x14ac:dyDescent="0.3">
      <c r="CO5905" s="15"/>
    </row>
    <row r="5906" spans="93:93" x14ac:dyDescent="0.3">
      <c r="CO5906" s="15"/>
    </row>
    <row r="5907" spans="93:93" x14ac:dyDescent="0.3">
      <c r="CO5907" s="15"/>
    </row>
    <row r="5908" spans="93:93" x14ac:dyDescent="0.3">
      <c r="CO5908" s="15"/>
    </row>
    <row r="5909" spans="93:93" x14ac:dyDescent="0.3">
      <c r="CO5909" s="15"/>
    </row>
    <row r="5910" spans="93:93" x14ac:dyDescent="0.3">
      <c r="CO5910" s="15"/>
    </row>
    <row r="5911" spans="93:93" x14ac:dyDescent="0.3">
      <c r="CO5911" s="15"/>
    </row>
    <row r="5912" spans="93:93" x14ac:dyDescent="0.3">
      <c r="CO5912" s="15"/>
    </row>
    <row r="5913" spans="93:93" x14ac:dyDescent="0.3">
      <c r="CO5913" s="15"/>
    </row>
    <row r="5914" spans="93:93" x14ac:dyDescent="0.3">
      <c r="CO5914" s="15"/>
    </row>
    <row r="5915" spans="93:93" x14ac:dyDescent="0.3">
      <c r="CO5915" s="15"/>
    </row>
    <row r="5916" spans="93:93" x14ac:dyDescent="0.3">
      <c r="CO5916" s="15"/>
    </row>
    <row r="5917" spans="93:93" x14ac:dyDescent="0.3">
      <c r="CO5917" s="15"/>
    </row>
    <row r="5918" spans="93:93" x14ac:dyDescent="0.3">
      <c r="CO5918" s="15"/>
    </row>
    <row r="5919" spans="93:93" x14ac:dyDescent="0.3">
      <c r="CO5919" s="15"/>
    </row>
    <row r="5920" spans="93:93" x14ac:dyDescent="0.3">
      <c r="CO5920" s="15"/>
    </row>
    <row r="5921" spans="93:93" x14ac:dyDescent="0.3">
      <c r="CO5921" s="15"/>
    </row>
    <row r="5922" spans="93:93" x14ac:dyDescent="0.3">
      <c r="CO5922" s="15"/>
    </row>
    <row r="5923" spans="93:93" x14ac:dyDescent="0.3">
      <c r="CO5923" s="15"/>
    </row>
    <row r="5924" spans="93:93" x14ac:dyDescent="0.3">
      <c r="CO5924" s="15"/>
    </row>
    <row r="5925" spans="93:93" x14ac:dyDescent="0.3">
      <c r="CO5925" s="15"/>
    </row>
    <row r="5926" spans="93:93" x14ac:dyDescent="0.3">
      <c r="CO5926" s="15"/>
    </row>
    <row r="5927" spans="93:93" x14ac:dyDescent="0.3">
      <c r="CO5927" s="15"/>
    </row>
    <row r="5928" spans="93:93" x14ac:dyDescent="0.3">
      <c r="CO5928" s="15"/>
    </row>
    <row r="5929" spans="93:93" x14ac:dyDescent="0.3">
      <c r="CO5929" s="15"/>
    </row>
    <row r="5930" spans="93:93" x14ac:dyDescent="0.3">
      <c r="CO5930" s="15"/>
    </row>
    <row r="5931" spans="93:93" x14ac:dyDescent="0.3">
      <c r="CO5931" s="15"/>
    </row>
    <row r="5932" spans="93:93" x14ac:dyDescent="0.3">
      <c r="CO5932" s="15"/>
    </row>
    <row r="5933" spans="93:93" x14ac:dyDescent="0.3">
      <c r="CO5933" s="15"/>
    </row>
    <row r="5934" spans="93:93" x14ac:dyDescent="0.3">
      <c r="CO5934" s="15"/>
    </row>
    <row r="5935" spans="93:93" x14ac:dyDescent="0.3">
      <c r="CO5935" s="15"/>
    </row>
    <row r="5936" spans="93:93" x14ac:dyDescent="0.3">
      <c r="CO5936" s="15"/>
    </row>
    <row r="5937" spans="93:93" x14ac:dyDescent="0.3">
      <c r="CO5937" s="15"/>
    </row>
    <row r="5938" spans="93:93" x14ac:dyDescent="0.3">
      <c r="CO5938" s="15"/>
    </row>
    <row r="5939" spans="93:93" x14ac:dyDescent="0.3">
      <c r="CO5939" s="15"/>
    </row>
    <row r="5940" spans="93:93" x14ac:dyDescent="0.3">
      <c r="CO5940" s="15"/>
    </row>
    <row r="5941" spans="93:93" x14ac:dyDescent="0.3">
      <c r="CO5941" s="15"/>
    </row>
    <row r="5942" spans="93:93" x14ac:dyDescent="0.3">
      <c r="CO5942" s="15"/>
    </row>
    <row r="5943" spans="93:93" x14ac:dyDescent="0.3">
      <c r="CO5943" s="15"/>
    </row>
    <row r="5944" spans="93:93" x14ac:dyDescent="0.3">
      <c r="CO5944" s="15"/>
    </row>
    <row r="5945" spans="93:93" x14ac:dyDescent="0.3">
      <c r="CO5945" s="15"/>
    </row>
    <row r="5946" spans="93:93" x14ac:dyDescent="0.3">
      <c r="CO5946" s="15"/>
    </row>
    <row r="5947" spans="93:93" x14ac:dyDescent="0.3">
      <c r="CO5947" s="15"/>
    </row>
    <row r="5948" spans="93:93" x14ac:dyDescent="0.3">
      <c r="CO5948" s="15"/>
    </row>
    <row r="5949" spans="93:93" x14ac:dyDescent="0.3">
      <c r="CO5949" s="15"/>
    </row>
    <row r="5950" spans="93:93" x14ac:dyDescent="0.3">
      <c r="CO5950" s="15"/>
    </row>
    <row r="5951" spans="93:93" x14ac:dyDescent="0.3">
      <c r="CO5951" s="15"/>
    </row>
    <row r="5952" spans="93:93" x14ac:dyDescent="0.3">
      <c r="CO5952" s="15"/>
    </row>
    <row r="5953" spans="93:93" x14ac:dyDescent="0.3">
      <c r="CO5953" s="15"/>
    </row>
    <row r="5954" spans="93:93" x14ac:dyDescent="0.3">
      <c r="CO5954" s="15"/>
    </row>
    <row r="5955" spans="93:93" x14ac:dyDescent="0.3">
      <c r="CO5955" s="15"/>
    </row>
    <row r="5956" spans="93:93" x14ac:dyDescent="0.3">
      <c r="CO5956" s="15"/>
    </row>
    <row r="5957" spans="93:93" x14ac:dyDescent="0.3">
      <c r="CO5957" s="15"/>
    </row>
    <row r="5958" spans="93:93" x14ac:dyDescent="0.3">
      <c r="CO5958" s="15"/>
    </row>
    <row r="5959" spans="93:93" x14ac:dyDescent="0.3">
      <c r="CO5959" s="15"/>
    </row>
    <row r="5960" spans="93:93" x14ac:dyDescent="0.3">
      <c r="CO5960" s="15"/>
    </row>
    <row r="5961" spans="93:93" x14ac:dyDescent="0.3">
      <c r="CO5961" s="15"/>
    </row>
    <row r="5962" spans="93:93" x14ac:dyDescent="0.3">
      <c r="CO5962" s="15"/>
    </row>
    <row r="5963" spans="93:93" x14ac:dyDescent="0.3">
      <c r="CO5963" s="15"/>
    </row>
    <row r="5964" spans="93:93" x14ac:dyDescent="0.3">
      <c r="CO5964" s="15"/>
    </row>
    <row r="5965" spans="93:93" x14ac:dyDescent="0.3">
      <c r="CO5965" s="15"/>
    </row>
    <row r="5966" spans="93:93" x14ac:dyDescent="0.3">
      <c r="CO5966" s="15"/>
    </row>
    <row r="5967" spans="93:93" x14ac:dyDescent="0.3">
      <c r="CO5967" s="15"/>
    </row>
    <row r="5968" spans="93:93" x14ac:dyDescent="0.3">
      <c r="CO5968" s="15"/>
    </row>
    <row r="5969" spans="93:93" x14ac:dyDescent="0.3">
      <c r="CO5969" s="15"/>
    </row>
    <row r="5970" spans="93:93" x14ac:dyDescent="0.3">
      <c r="CO5970" s="15"/>
    </row>
    <row r="5971" spans="93:93" x14ac:dyDescent="0.3">
      <c r="CO5971" s="15"/>
    </row>
    <row r="5972" spans="93:93" x14ac:dyDescent="0.3">
      <c r="CO5972" s="15"/>
    </row>
    <row r="5973" spans="93:93" x14ac:dyDescent="0.3">
      <c r="CO5973" s="15"/>
    </row>
    <row r="5974" spans="93:93" x14ac:dyDescent="0.3">
      <c r="CO5974" s="15"/>
    </row>
    <row r="5975" spans="93:93" x14ac:dyDescent="0.3">
      <c r="CO5975" s="15"/>
    </row>
    <row r="5976" spans="93:93" x14ac:dyDescent="0.3">
      <c r="CO5976" s="15"/>
    </row>
    <row r="5977" spans="93:93" x14ac:dyDescent="0.3">
      <c r="CO5977" s="15"/>
    </row>
    <row r="5978" spans="93:93" x14ac:dyDescent="0.3">
      <c r="CO5978" s="15"/>
    </row>
    <row r="5979" spans="93:93" x14ac:dyDescent="0.3">
      <c r="CO5979" s="15"/>
    </row>
    <row r="5980" spans="93:93" x14ac:dyDescent="0.3">
      <c r="CO5980" s="15"/>
    </row>
    <row r="5981" spans="93:93" x14ac:dyDescent="0.3">
      <c r="CO5981" s="15"/>
    </row>
    <row r="5982" spans="93:93" x14ac:dyDescent="0.3">
      <c r="CO5982" s="15"/>
    </row>
    <row r="5983" spans="93:93" x14ac:dyDescent="0.3">
      <c r="CO5983" s="15"/>
    </row>
    <row r="5984" spans="93:93" x14ac:dyDescent="0.3">
      <c r="CO5984" s="15"/>
    </row>
    <row r="5985" spans="93:93" x14ac:dyDescent="0.3">
      <c r="CO5985" s="15"/>
    </row>
    <row r="5986" spans="93:93" x14ac:dyDescent="0.3">
      <c r="CO5986" s="15"/>
    </row>
    <row r="5987" spans="93:93" x14ac:dyDescent="0.3">
      <c r="CO5987" s="15"/>
    </row>
    <row r="5988" spans="93:93" x14ac:dyDescent="0.3">
      <c r="CO5988" s="15"/>
    </row>
    <row r="5989" spans="93:93" x14ac:dyDescent="0.3">
      <c r="CO5989" s="15"/>
    </row>
    <row r="5990" spans="93:93" x14ac:dyDescent="0.3">
      <c r="CO5990" s="15"/>
    </row>
    <row r="5991" spans="93:93" x14ac:dyDescent="0.3">
      <c r="CO5991" s="15"/>
    </row>
    <row r="5992" spans="93:93" x14ac:dyDescent="0.3">
      <c r="CO5992" s="15"/>
    </row>
    <row r="5993" spans="93:93" x14ac:dyDescent="0.3">
      <c r="CO5993" s="15"/>
    </row>
    <row r="5994" spans="93:93" x14ac:dyDescent="0.3">
      <c r="CO5994" s="15"/>
    </row>
    <row r="5995" spans="93:93" x14ac:dyDescent="0.3">
      <c r="CO5995" s="15"/>
    </row>
    <row r="5996" spans="93:93" x14ac:dyDescent="0.3">
      <c r="CO5996" s="15"/>
    </row>
    <row r="5997" spans="93:93" x14ac:dyDescent="0.3">
      <c r="CO5997" s="15"/>
    </row>
    <row r="5998" spans="93:93" x14ac:dyDescent="0.3">
      <c r="CO5998" s="15"/>
    </row>
    <row r="5999" spans="93:93" x14ac:dyDescent="0.3">
      <c r="CO5999" s="15"/>
    </row>
    <row r="6000" spans="93:93" x14ac:dyDescent="0.3">
      <c r="CO6000" s="15"/>
    </row>
    <row r="6001" spans="93:93" x14ac:dyDescent="0.3">
      <c r="CO6001" s="15"/>
    </row>
    <row r="6002" spans="93:93" x14ac:dyDescent="0.3">
      <c r="CO6002" s="15"/>
    </row>
    <row r="6003" spans="93:93" x14ac:dyDescent="0.3">
      <c r="CO6003" s="15"/>
    </row>
    <row r="6004" spans="93:93" x14ac:dyDescent="0.3">
      <c r="CO6004" s="15"/>
    </row>
    <row r="6005" spans="93:93" x14ac:dyDescent="0.3">
      <c r="CO6005" s="15"/>
    </row>
    <row r="6006" spans="93:93" x14ac:dyDescent="0.3">
      <c r="CO6006" s="15"/>
    </row>
    <row r="6007" spans="93:93" x14ac:dyDescent="0.3">
      <c r="CO6007" s="15"/>
    </row>
    <row r="6008" spans="93:93" x14ac:dyDescent="0.3">
      <c r="CO6008" s="15"/>
    </row>
    <row r="6009" spans="93:93" x14ac:dyDescent="0.3">
      <c r="CO6009" s="15"/>
    </row>
    <row r="6010" spans="93:93" x14ac:dyDescent="0.3">
      <c r="CO6010" s="15"/>
    </row>
    <row r="6011" spans="93:93" x14ac:dyDescent="0.3">
      <c r="CO6011" s="15"/>
    </row>
    <row r="6012" spans="93:93" x14ac:dyDescent="0.3">
      <c r="CO6012" s="15"/>
    </row>
    <row r="6013" spans="93:93" x14ac:dyDescent="0.3">
      <c r="CO6013" s="15"/>
    </row>
    <row r="6014" spans="93:93" x14ac:dyDescent="0.3">
      <c r="CO6014" s="15"/>
    </row>
    <row r="6015" spans="93:93" x14ac:dyDescent="0.3">
      <c r="CO6015" s="15"/>
    </row>
    <row r="6016" spans="93:93" x14ac:dyDescent="0.3">
      <c r="CO6016" s="15"/>
    </row>
    <row r="6017" spans="93:93" x14ac:dyDescent="0.3">
      <c r="CO6017" s="15"/>
    </row>
    <row r="6018" spans="93:93" x14ac:dyDescent="0.3">
      <c r="CO6018" s="15"/>
    </row>
    <row r="6019" spans="93:93" x14ac:dyDescent="0.3">
      <c r="CO6019" s="15"/>
    </row>
    <row r="6020" spans="93:93" x14ac:dyDescent="0.3">
      <c r="CO6020" s="15"/>
    </row>
    <row r="6021" spans="93:93" x14ac:dyDescent="0.3">
      <c r="CO6021" s="15"/>
    </row>
    <row r="6022" spans="93:93" x14ac:dyDescent="0.3">
      <c r="CO6022" s="15"/>
    </row>
    <row r="6023" spans="93:93" x14ac:dyDescent="0.3">
      <c r="CO6023" s="15"/>
    </row>
    <row r="6024" spans="93:93" x14ac:dyDescent="0.3">
      <c r="CO6024" s="15"/>
    </row>
    <row r="6025" spans="93:93" x14ac:dyDescent="0.3">
      <c r="CO6025" s="15"/>
    </row>
    <row r="6026" spans="93:93" x14ac:dyDescent="0.3">
      <c r="CO6026" s="15"/>
    </row>
    <row r="6027" spans="93:93" x14ac:dyDescent="0.3">
      <c r="CO6027" s="15"/>
    </row>
    <row r="6028" spans="93:93" x14ac:dyDescent="0.3">
      <c r="CO6028" s="15"/>
    </row>
    <row r="6029" spans="93:93" x14ac:dyDescent="0.3">
      <c r="CO6029" s="15"/>
    </row>
    <row r="6030" spans="93:93" x14ac:dyDescent="0.3">
      <c r="CO6030" s="15"/>
    </row>
    <row r="6031" spans="93:93" x14ac:dyDescent="0.3">
      <c r="CO6031" s="15"/>
    </row>
    <row r="6032" spans="93:93" x14ac:dyDescent="0.3">
      <c r="CO6032" s="15"/>
    </row>
    <row r="6033" spans="93:93" x14ac:dyDescent="0.3">
      <c r="CO6033" s="15"/>
    </row>
    <row r="6034" spans="93:93" x14ac:dyDescent="0.3">
      <c r="CO6034" s="15"/>
    </row>
    <row r="6035" spans="93:93" x14ac:dyDescent="0.3">
      <c r="CO6035" s="15"/>
    </row>
    <row r="6036" spans="93:93" x14ac:dyDescent="0.3">
      <c r="CO6036" s="15"/>
    </row>
    <row r="6037" spans="93:93" x14ac:dyDescent="0.3">
      <c r="CO6037" s="15"/>
    </row>
    <row r="6038" spans="93:93" x14ac:dyDescent="0.3">
      <c r="CO6038" s="15"/>
    </row>
    <row r="6039" spans="93:93" x14ac:dyDescent="0.3">
      <c r="CO6039" s="15"/>
    </row>
    <row r="6040" spans="93:93" x14ac:dyDescent="0.3">
      <c r="CO6040" s="15"/>
    </row>
    <row r="6041" spans="93:93" x14ac:dyDescent="0.3">
      <c r="CO6041" s="15"/>
    </row>
    <row r="6042" spans="93:93" x14ac:dyDescent="0.3">
      <c r="CO6042" s="15"/>
    </row>
    <row r="6043" spans="93:93" x14ac:dyDescent="0.3">
      <c r="CO6043" s="15"/>
    </row>
    <row r="6044" spans="93:93" x14ac:dyDescent="0.3">
      <c r="CO6044" s="15"/>
    </row>
    <row r="6045" spans="93:93" x14ac:dyDescent="0.3">
      <c r="CO6045" s="15"/>
    </row>
    <row r="6046" spans="93:93" x14ac:dyDescent="0.3">
      <c r="CO6046" s="15"/>
    </row>
    <row r="6047" spans="93:93" x14ac:dyDescent="0.3">
      <c r="CO6047" s="15"/>
    </row>
    <row r="6048" spans="93:93" x14ac:dyDescent="0.3">
      <c r="CO6048" s="15"/>
    </row>
    <row r="6049" spans="93:93" x14ac:dyDescent="0.3">
      <c r="CO6049" s="15"/>
    </row>
    <row r="6050" spans="93:93" x14ac:dyDescent="0.3">
      <c r="CO6050" s="15"/>
    </row>
    <row r="6051" spans="93:93" x14ac:dyDescent="0.3">
      <c r="CO6051" s="15"/>
    </row>
    <row r="6052" spans="93:93" x14ac:dyDescent="0.3">
      <c r="CO6052" s="15"/>
    </row>
    <row r="6053" spans="93:93" x14ac:dyDescent="0.3">
      <c r="CO6053" s="15"/>
    </row>
    <row r="6054" spans="93:93" x14ac:dyDescent="0.3">
      <c r="CO6054" s="15"/>
    </row>
    <row r="6055" spans="93:93" x14ac:dyDescent="0.3">
      <c r="CO6055" s="15"/>
    </row>
    <row r="6056" spans="93:93" x14ac:dyDescent="0.3">
      <c r="CO6056" s="15"/>
    </row>
    <row r="6057" spans="93:93" x14ac:dyDescent="0.3">
      <c r="CO6057" s="15"/>
    </row>
    <row r="6058" spans="93:93" x14ac:dyDescent="0.3">
      <c r="CO6058" s="15"/>
    </row>
    <row r="6059" spans="93:93" x14ac:dyDescent="0.3">
      <c r="CO6059" s="15"/>
    </row>
    <row r="6060" spans="93:93" x14ac:dyDescent="0.3">
      <c r="CO6060" s="15"/>
    </row>
    <row r="6061" spans="93:93" x14ac:dyDescent="0.3">
      <c r="CO6061" s="15"/>
    </row>
    <row r="6062" spans="93:93" x14ac:dyDescent="0.3">
      <c r="CO6062" s="15"/>
    </row>
    <row r="6063" spans="93:93" x14ac:dyDescent="0.3">
      <c r="CO6063" s="15"/>
    </row>
    <row r="6064" spans="93:93" x14ac:dyDescent="0.3">
      <c r="CO6064" s="15"/>
    </row>
    <row r="6065" spans="93:93" x14ac:dyDescent="0.3">
      <c r="CO6065" s="15"/>
    </row>
    <row r="6066" spans="93:93" x14ac:dyDescent="0.3">
      <c r="CO6066" s="15"/>
    </row>
    <row r="6067" spans="93:93" x14ac:dyDescent="0.3">
      <c r="CO6067" s="15"/>
    </row>
    <row r="6068" spans="93:93" x14ac:dyDescent="0.3">
      <c r="CO6068" s="15"/>
    </row>
    <row r="6069" spans="93:93" x14ac:dyDescent="0.3">
      <c r="CO6069" s="15"/>
    </row>
    <row r="6070" spans="93:93" x14ac:dyDescent="0.3">
      <c r="CO6070" s="15"/>
    </row>
    <row r="6071" spans="93:93" x14ac:dyDescent="0.3">
      <c r="CO6071" s="15"/>
    </row>
    <row r="6072" spans="93:93" x14ac:dyDescent="0.3">
      <c r="CO6072" s="15"/>
    </row>
    <row r="6073" spans="93:93" x14ac:dyDescent="0.3">
      <c r="CO6073" s="15"/>
    </row>
    <row r="6074" spans="93:93" x14ac:dyDescent="0.3">
      <c r="CO6074" s="15"/>
    </row>
    <row r="6075" spans="93:93" x14ac:dyDescent="0.3">
      <c r="CO6075" s="15"/>
    </row>
    <row r="6076" spans="93:93" x14ac:dyDescent="0.3">
      <c r="CO6076" s="15"/>
    </row>
    <row r="6077" spans="93:93" x14ac:dyDescent="0.3">
      <c r="CO6077" s="15"/>
    </row>
    <row r="6078" spans="93:93" x14ac:dyDescent="0.3">
      <c r="CO6078" s="15"/>
    </row>
    <row r="6079" spans="93:93" x14ac:dyDescent="0.3">
      <c r="CO6079" s="15"/>
    </row>
    <row r="6080" spans="93:93" x14ac:dyDescent="0.3">
      <c r="CO6080" s="15"/>
    </row>
    <row r="6081" spans="93:93" x14ac:dyDescent="0.3">
      <c r="CO6081" s="15"/>
    </row>
    <row r="6082" spans="93:93" x14ac:dyDescent="0.3">
      <c r="CO6082" s="15"/>
    </row>
    <row r="6083" spans="93:93" x14ac:dyDescent="0.3">
      <c r="CO6083" s="15"/>
    </row>
    <row r="6084" spans="93:93" x14ac:dyDescent="0.3">
      <c r="CO6084" s="15"/>
    </row>
    <row r="6085" spans="93:93" x14ac:dyDescent="0.3">
      <c r="CO6085" s="15"/>
    </row>
    <row r="6086" spans="93:93" x14ac:dyDescent="0.3">
      <c r="CO6086" s="15"/>
    </row>
    <row r="6087" spans="93:93" x14ac:dyDescent="0.3">
      <c r="CO6087" s="15"/>
    </row>
    <row r="6088" spans="93:93" x14ac:dyDescent="0.3">
      <c r="CO6088" s="15"/>
    </row>
    <row r="6089" spans="93:93" x14ac:dyDescent="0.3">
      <c r="CO6089" s="15"/>
    </row>
    <row r="6090" spans="93:93" x14ac:dyDescent="0.3">
      <c r="CO6090" s="15"/>
    </row>
    <row r="6091" spans="93:93" x14ac:dyDescent="0.3">
      <c r="CO6091" s="15"/>
    </row>
    <row r="6092" spans="93:93" x14ac:dyDescent="0.3">
      <c r="CO6092" s="15"/>
    </row>
    <row r="6093" spans="93:93" x14ac:dyDescent="0.3">
      <c r="CO6093" s="15"/>
    </row>
    <row r="6094" spans="93:93" x14ac:dyDescent="0.3">
      <c r="CO6094" s="15"/>
    </row>
    <row r="6095" spans="93:93" x14ac:dyDescent="0.3">
      <c r="CO6095" s="15"/>
    </row>
    <row r="6096" spans="93:93" x14ac:dyDescent="0.3">
      <c r="CO6096" s="15"/>
    </row>
    <row r="6097" spans="93:93" x14ac:dyDescent="0.3">
      <c r="CO6097" s="15"/>
    </row>
    <row r="6098" spans="93:93" x14ac:dyDescent="0.3">
      <c r="CO6098" s="15"/>
    </row>
    <row r="6099" spans="93:93" x14ac:dyDescent="0.3">
      <c r="CO6099" s="15"/>
    </row>
    <row r="6100" spans="93:93" x14ac:dyDescent="0.3">
      <c r="CO6100" s="15"/>
    </row>
    <row r="6101" spans="93:93" x14ac:dyDescent="0.3">
      <c r="CO6101" s="15"/>
    </row>
    <row r="6102" spans="93:93" x14ac:dyDescent="0.3">
      <c r="CO6102" s="15"/>
    </row>
    <row r="6103" spans="93:93" x14ac:dyDescent="0.3">
      <c r="CO6103" s="15"/>
    </row>
    <row r="6104" spans="93:93" x14ac:dyDescent="0.3">
      <c r="CO6104" s="15"/>
    </row>
    <row r="6105" spans="93:93" x14ac:dyDescent="0.3">
      <c r="CO6105" s="15"/>
    </row>
    <row r="6106" spans="93:93" x14ac:dyDescent="0.3">
      <c r="CO6106" s="15"/>
    </row>
    <row r="6107" spans="93:93" x14ac:dyDescent="0.3">
      <c r="CO6107" s="15"/>
    </row>
    <row r="6108" spans="93:93" x14ac:dyDescent="0.3">
      <c r="CO6108" s="15"/>
    </row>
    <row r="6109" spans="93:93" x14ac:dyDescent="0.3">
      <c r="CO6109" s="15"/>
    </row>
    <row r="6110" spans="93:93" x14ac:dyDescent="0.3">
      <c r="CO6110" s="15"/>
    </row>
    <row r="6111" spans="93:93" x14ac:dyDescent="0.3">
      <c r="CO6111" s="15"/>
    </row>
    <row r="6112" spans="93:93" x14ac:dyDescent="0.3">
      <c r="CO6112" s="15"/>
    </row>
    <row r="6113" spans="93:93" x14ac:dyDescent="0.3">
      <c r="CO6113" s="15"/>
    </row>
    <row r="6114" spans="93:93" x14ac:dyDescent="0.3">
      <c r="CO6114" s="15"/>
    </row>
    <row r="6115" spans="93:93" x14ac:dyDescent="0.3">
      <c r="CO6115" s="15"/>
    </row>
    <row r="6116" spans="93:93" x14ac:dyDescent="0.3">
      <c r="CO6116" s="15"/>
    </row>
    <row r="6117" spans="93:93" x14ac:dyDescent="0.3">
      <c r="CO6117" s="15"/>
    </row>
    <row r="6118" spans="93:93" x14ac:dyDescent="0.3">
      <c r="CO6118" s="15"/>
    </row>
    <row r="6119" spans="93:93" x14ac:dyDescent="0.3">
      <c r="CO6119" s="15"/>
    </row>
    <row r="6120" spans="93:93" x14ac:dyDescent="0.3">
      <c r="CO6120" s="15"/>
    </row>
    <row r="6121" spans="93:93" x14ac:dyDescent="0.3">
      <c r="CO6121" s="15"/>
    </row>
    <row r="6122" spans="93:93" x14ac:dyDescent="0.3">
      <c r="CO6122" s="15"/>
    </row>
    <row r="6123" spans="93:93" x14ac:dyDescent="0.3">
      <c r="CO6123" s="15"/>
    </row>
    <row r="6124" spans="93:93" x14ac:dyDescent="0.3">
      <c r="CO6124" s="15"/>
    </row>
    <row r="6125" spans="93:93" x14ac:dyDescent="0.3">
      <c r="CO6125" s="15"/>
    </row>
    <row r="6126" spans="93:93" x14ac:dyDescent="0.3">
      <c r="CO6126" s="15"/>
    </row>
    <row r="6127" spans="93:93" x14ac:dyDescent="0.3">
      <c r="CO6127" s="15"/>
    </row>
    <row r="6128" spans="93:93" x14ac:dyDescent="0.3">
      <c r="CO6128" s="15"/>
    </row>
    <row r="6129" spans="93:93" x14ac:dyDescent="0.3">
      <c r="CO6129" s="15"/>
    </row>
    <row r="6130" spans="93:93" x14ac:dyDescent="0.3">
      <c r="CO6130" s="15"/>
    </row>
    <row r="6131" spans="93:93" x14ac:dyDescent="0.3">
      <c r="CO6131" s="15"/>
    </row>
    <row r="6132" spans="93:93" x14ac:dyDescent="0.3">
      <c r="CO6132" s="15"/>
    </row>
    <row r="6133" spans="93:93" x14ac:dyDescent="0.3">
      <c r="CO6133" s="15"/>
    </row>
    <row r="6134" spans="93:93" x14ac:dyDescent="0.3">
      <c r="CO6134" s="15"/>
    </row>
    <row r="6135" spans="93:93" x14ac:dyDescent="0.3">
      <c r="CO6135" s="15"/>
    </row>
    <row r="6136" spans="93:93" x14ac:dyDescent="0.3">
      <c r="CO6136" s="15"/>
    </row>
    <row r="6137" spans="93:93" x14ac:dyDescent="0.3">
      <c r="CO6137" s="15"/>
    </row>
    <row r="6138" spans="93:93" x14ac:dyDescent="0.3">
      <c r="CO6138" s="15"/>
    </row>
    <row r="6139" spans="93:93" x14ac:dyDescent="0.3">
      <c r="CO6139" s="15"/>
    </row>
    <row r="6140" spans="93:93" x14ac:dyDescent="0.3">
      <c r="CO6140" s="15"/>
    </row>
    <row r="6141" spans="93:93" x14ac:dyDescent="0.3">
      <c r="CO6141" s="15"/>
    </row>
    <row r="6142" spans="93:93" x14ac:dyDescent="0.3">
      <c r="CO6142" s="15"/>
    </row>
    <row r="6143" spans="93:93" x14ac:dyDescent="0.3">
      <c r="CO6143" s="15"/>
    </row>
    <row r="6144" spans="93:93" x14ac:dyDescent="0.3">
      <c r="CO6144" s="15"/>
    </row>
    <row r="6145" spans="93:93" x14ac:dyDescent="0.3">
      <c r="CO6145" s="15"/>
    </row>
    <row r="6146" spans="93:93" x14ac:dyDescent="0.3">
      <c r="CO6146" s="15"/>
    </row>
    <row r="6147" spans="93:93" x14ac:dyDescent="0.3">
      <c r="CO6147" s="15"/>
    </row>
    <row r="6148" spans="93:93" x14ac:dyDescent="0.3">
      <c r="CO6148" s="15"/>
    </row>
    <row r="6149" spans="93:93" x14ac:dyDescent="0.3">
      <c r="CO6149" s="15"/>
    </row>
    <row r="6150" spans="93:93" x14ac:dyDescent="0.3">
      <c r="CO6150" s="15"/>
    </row>
    <row r="6151" spans="93:93" x14ac:dyDescent="0.3">
      <c r="CO6151" s="15"/>
    </row>
    <row r="6152" spans="93:93" x14ac:dyDescent="0.3">
      <c r="CO6152" s="15"/>
    </row>
    <row r="6153" spans="93:93" x14ac:dyDescent="0.3">
      <c r="CO6153" s="15"/>
    </row>
    <row r="6154" spans="93:93" x14ac:dyDescent="0.3">
      <c r="CO6154" s="15"/>
    </row>
    <row r="6155" spans="93:93" x14ac:dyDescent="0.3">
      <c r="CO6155" s="15"/>
    </row>
    <row r="6156" spans="93:93" x14ac:dyDescent="0.3">
      <c r="CO6156" s="15"/>
    </row>
    <row r="6157" spans="93:93" x14ac:dyDescent="0.3">
      <c r="CO6157" s="15"/>
    </row>
    <row r="6158" spans="93:93" x14ac:dyDescent="0.3">
      <c r="CO6158" s="15"/>
    </row>
    <row r="6159" spans="93:93" x14ac:dyDescent="0.3">
      <c r="CO6159" s="15"/>
    </row>
    <row r="6160" spans="93:93" x14ac:dyDescent="0.3">
      <c r="CO6160" s="15"/>
    </row>
    <row r="6161" spans="93:93" x14ac:dyDescent="0.3">
      <c r="CO6161" s="15"/>
    </row>
    <row r="6162" spans="93:93" x14ac:dyDescent="0.3">
      <c r="CO6162" s="15"/>
    </row>
    <row r="6163" spans="93:93" x14ac:dyDescent="0.3">
      <c r="CO6163" s="15"/>
    </row>
    <row r="6164" spans="93:93" x14ac:dyDescent="0.3">
      <c r="CO6164" s="15"/>
    </row>
    <row r="6165" spans="93:93" x14ac:dyDescent="0.3">
      <c r="CO6165" s="15"/>
    </row>
    <row r="6166" spans="93:93" x14ac:dyDescent="0.3">
      <c r="CO6166" s="15"/>
    </row>
    <row r="6167" spans="93:93" x14ac:dyDescent="0.3">
      <c r="CO6167" s="15"/>
    </row>
    <row r="6168" spans="93:93" x14ac:dyDescent="0.3">
      <c r="CO6168" s="15"/>
    </row>
    <row r="6169" spans="93:93" x14ac:dyDescent="0.3">
      <c r="CO6169" s="15"/>
    </row>
    <row r="6170" spans="93:93" x14ac:dyDescent="0.3">
      <c r="CO6170" s="15"/>
    </row>
    <row r="6171" spans="93:93" x14ac:dyDescent="0.3">
      <c r="CO6171" s="15"/>
    </row>
    <row r="6172" spans="93:93" x14ac:dyDescent="0.3">
      <c r="CO6172" s="15"/>
    </row>
    <row r="6173" spans="93:93" x14ac:dyDescent="0.3">
      <c r="CO6173" s="15"/>
    </row>
    <row r="6174" spans="93:93" x14ac:dyDescent="0.3">
      <c r="CO6174" s="15"/>
    </row>
    <row r="6175" spans="93:93" x14ac:dyDescent="0.3">
      <c r="CO6175" s="15"/>
    </row>
    <row r="6176" spans="93:93" x14ac:dyDescent="0.3">
      <c r="CO6176" s="15"/>
    </row>
    <row r="6177" spans="93:93" x14ac:dyDescent="0.3">
      <c r="CO6177" s="15"/>
    </row>
    <row r="6178" spans="93:93" x14ac:dyDescent="0.3">
      <c r="CO6178" s="15"/>
    </row>
    <row r="6179" spans="93:93" x14ac:dyDescent="0.3">
      <c r="CO6179" s="15"/>
    </row>
    <row r="6180" spans="93:93" x14ac:dyDescent="0.3">
      <c r="CO6180" s="15"/>
    </row>
    <row r="6181" spans="93:93" x14ac:dyDescent="0.3">
      <c r="CO6181" s="15"/>
    </row>
    <row r="6182" spans="93:93" x14ac:dyDescent="0.3">
      <c r="CO6182" s="15"/>
    </row>
    <row r="6183" spans="93:93" x14ac:dyDescent="0.3">
      <c r="CO6183" s="15"/>
    </row>
    <row r="6184" spans="93:93" x14ac:dyDescent="0.3">
      <c r="CO6184" s="15"/>
    </row>
    <row r="6185" spans="93:93" x14ac:dyDescent="0.3">
      <c r="CO6185" s="15"/>
    </row>
    <row r="6186" spans="93:93" x14ac:dyDescent="0.3">
      <c r="CO6186" s="15"/>
    </row>
    <row r="6187" spans="93:93" x14ac:dyDescent="0.3">
      <c r="CO6187" s="15"/>
    </row>
    <row r="6188" spans="93:93" x14ac:dyDescent="0.3">
      <c r="CO6188" s="15"/>
    </row>
    <row r="6189" spans="93:93" x14ac:dyDescent="0.3">
      <c r="CO6189" s="15"/>
    </row>
    <row r="6190" spans="93:93" x14ac:dyDescent="0.3">
      <c r="CO6190" s="15"/>
    </row>
    <row r="6191" spans="93:93" x14ac:dyDescent="0.3">
      <c r="CO6191" s="15"/>
    </row>
    <row r="6192" spans="93:93" x14ac:dyDescent="0.3">
      <c r="CO6192" s="15"/>
    </row>
    <row r="6193" spans="93:93" x14ac:dyDescent="0.3">
      <c r="CO6193" s="15"/>
    </row>
    <row r="6194" spans="93:93" x14ac:dyDescent="0.3">
      <c r="CO6194" s="15"/>
    </row>
    <row r="6195" spans="93:93" x14ac:dyDescent="0.3">
      <c r="CO6195" s="15"/>
    </row>
    <row r="6196" spans="93:93" x14ac:dyDescent="0.3">
      <c r="CO6196" s="15"/>
    </row>
    <row r="6197" spans="93:93" x14ac:dyDescent="0.3">
      <c r="CO6197" s="15"/>
    </row>
    <row r="6198" spans="93:93" x14ac:dyDescent="0.3">
      <c r="CO6198" s="15"/>
    </row>
    <row r="6199" spans="93:93" x14ac:dyDescent="0.3">
      <c r="CO6199" s="15"/>
    </row>
    <row r="6200" spans="93:93" x14ac:dyDescent="0.3">
      <c r="CO6200" s="15"/>
    </row>
    <row r="6201" spans="93:93" x14ac:dyDescent="0.3">
      <c r="CO6201" s="15"/>
    </row>
    <row r="6202" spans="93:93" x14ac:dyDescent="0.3">
      <c r="CO6202" s="15"/>
    </row>
    <row r="6203" spans="93:93" x14ac:dyDescent="0.3">
      <c r="CO6203" s="15"/>
    </row>
    <row r="6204" spans="93:93" x14ac:dyDescent="0.3">
      <c r="CO6204" s="15"/>
    </row>
    <row r="6205" spans="93:93" x14ac:dyDescent="0.3">
      <c r="CO6205" s="15"/>
    </row>
    <row r="6206" spans="93:93" x14ac:dyDescent="0.3">
      <c r="CO6206" s="15"/>
    </row>
    <row r="6207" spans="93:93" x14ac:dyDescent="0.3">
      <c r="CO6207" s="15"/>
    </row>
    <row r="6208" spans="93:93" x14ac:dyDescent="0.3">
      <c r="CO6208" s="15"/>
    </row>
    <row r="6209" spans="93:93" x14ac:dyDescent="0.3">
      <c r="CO6209" s="15"/>
    </row>
    <row r="6210" spans="93:93" x14ac:dyDescent="0.3">
      <c r="CO6210" s="15"/>
    </row>
    <row r="6211" spans="93:93" x14ac:dyDescent="0.3">
      <c r="CO6211" s="15"/>
    </row>
    <row r="6212" spans="93:93" x14ac:dyDescent="0.3">
      <c r="CO6212" s="15"/>
    </row>
    <row r="6213" spans="93:93" x14ac:dyDescent="0.3">
      <c r="CO6213" s="15"/>
    </row>
    <row r="6214" spans="93:93" x14ac:dyDescent="0.3">
      <c r="CO6214" s="15"/>
    </row>
    <row r="6215" spans="93:93" x14ac:dyDescent="0.3">
      <c r="CO6215" s="15"/>
    </row>
    <row r="6216" spans="93:93" x14ac:dyDescent="0.3">
      <c r="CO6216" s="15"/>
    </row>
    <row r="6217" spans="93:93" x14ac:dyDescent="0.3">
      <c r="CO6217" s="15"/>
    </row>
    <row r="6218" spans="93:93" x14ac:dyDescent="0.3">
      <c r="CO6218" s="15"/>
    </row>
    <row r="6219" spans="93:93" x14ac:dyDescent="0.3">
      <c r="CO6219" s="15"/>
    </row>
    <row r="6220" spans="93:93" x14ac:dyDescent="0.3">
      <c r="CO6220" s="15"/>
    </row>
    <row r="6221" spans="93:93" x14ac:dyDescent="0.3">
      <c r="CO6221" s="15"/>
    </row>
    <row r="6222" spans="93:93" x14ac:dyDescent="0.3">
      <c r="CO6222" s="15"/>
    </row>
    <row r="6223" spans="93:93" x14ac:dyDescent="0.3">
      <c r="CO6223" s="15"/>
    </row>
    <row r="6224" spans="93:93" x14ac:dyDescent="0.3">
      <c r="CO6224" s="15"/>
    </row>
    <row r="6225" spans="93:93" x14ac:dyDescent="0.3">
      <c r="CO6225" s="15"/>
    </row>
    <row r="6226" spans="93:93" x14ac:dyDescent="0.3">
      <c r="CO6226" s="15"/>
    </row>
    <row r="6227" spans="93:93" x14ac:dyDescent="0.3">
      <c r="CO6227" s="15"/>
    </row>
    <row r="6228" spans="93:93" x14ac:dyDescent="0.3">
      <c r="CO6228" s="15"/>
    </row>
    <row r="6229" spans="93:93" x14ac:dyDescent="0.3">
      <c r="CO6229" s="15"/>
    </row>
    <row r="6230" spans="93:93" x14ac:dyDescent="0.3">
      <c r="CO6230" s="15"/>
    </row>
    <row r="6231" spans="93:93" x14ac:dyDescent="0.3">
      <c r="CO6231" s="15"/>
    </row>
    <row r="6232" spans="93:93" x14ac:dyDescent="0.3">
      <c r="CO6232" s="15"/>
    </row>
    <row r="6233" spans="93:93" x14ac:dyDescent="0.3">
      <c r="CO6233" s="15"/>
    </row>
    <row r="6234" spans="93:93" x14ac:dyDescent="0.3">
      <c r="CO6234" s="15"/>
    </row>
    <row r="6235" spans="93:93" x14ac:dyDescent="0.3">
      <c r="CO6235" s="15"/>
    </row>
    <row r="6236" spans="93:93" x14ac:dyDescent="0.3">
      <c r="CO6236" s="15"/>
    </row>
    <row r="6237" spans="93:93" x14ac:dyDescent="0.3">
      <c r="CO6237" s="15"/>
    </row>
    <row r="6238" spans="93:93" x14ac:dyDescent="0.3">
      <c r="CO6238" s="15"/>
    </row>
    <row r="6239" spans="93:93" x14ac:dyDescent="0.3">
      <c r="CO6239" s="15"/>
    </row>
    <row r="6240" spans="93:93" x14ac:dyDescent="0.3">
      <c r="CO6240" s="15"/>
    </row>
    <row r="6241" spans="93:93" x14ac:dyDescent="0.3">
      <c r="CO6241" s="15"/>
    </row>
    <row r="6242" spans="93:93" x14ac:dyDescent="0.3">
      <c r="CO6242" s="15"/>
    </row>
    <row r="6243" spans="93:93" x14ac:dyDescent="0.3">
      <c r="CO6243" s="15"/>
    </row>
    <row r="6244" spans="93:93" x14ac:dyDescent="0.3">
      <c r="CO6244" s="15"/>
    </row>
    <row r="6245" spans="93:93" x14ac:dyDescent="0.3">
      <c r="CO6245" s="15"/>
    </row>
    <row r="6246" spans="93:93" x14ac:dyDescent="0.3">
      <c r="CO6246" s="15"/>
    </row>
    <row r="6247" spans="93:93" x14ac:dyDescent="0.3">
      <c r="CO6247" s="15"/>
    </row>
    <row r="6248" spans="93:93" x14ac:dyDescent="0.3">
      <c r="CO6248" s="15"/>
    </row>
    <row r="6249" spans="93:93" x14ac:dyDescent="0.3">
      <c r="CO6249" s="15"/>
    </row>
    <row r="6250" spans="93:93" x14ac:dyDescent="0.3">
      <c r="CO6250" s="15"/>
    </row>
    <row r="6251" spans="93:93" x14ac:dyDescent="0.3">
      <c r="CO6251" s="15"/>
    </row>
    <row r="6252" spans="93:93" x14ac:dyDescent="0.3">
      <c r="CO6252" s="15"/>
    </row>
    <row r="6253" spans="93:93" x14ac:dyDescent="0.3">
      <c r="CO6253" s="15"/>
    </row>
    <row r="6254" spans="93:93" x14ac:dyDescent="0.3">
      <c r="CO6254" s="15"/>
    </row>
    <row r="6255" spans="93:93" x14ac:dyDescent="0.3">
      <c r="CO6255" s="15"/>
    </row>
    <row r="6256" spans="93:93" x14ac:dyDescent="0.3">
      <c r="CO6256" s="15"/>
    </row>
    <row r="6257" spans="93:93" x14ac:dyDescent="0.3">
      <c r="CO6257" s="15"/>
    </row>
    <row r="6258" spans="93:93" x14ac:dyDescent="0.3">
      <c r="CO6258" s="15"/>
    </row>
    <row r="6259" spans="93:93" x14ac:dyDescent="0.3">
      <c r="CO6259" s="15"/>
    </row>
    <row r="6260" spans="93:93" x14ac:dyDescent="0.3">
      <c r="CO6260" s="15"/>
    </row>
    <row r="6261" spans="93:93" x14ac:dyDescent="0.3">
      <c r="CO6261" s="15"/>
    </row>
    <row r="6262" spans="93:93" x14ac:dyDescent="0.3">
      <c r="CO6262" s="15"/>
    </row>
    <row r="6263" spans="93:93" x14ac:dyDescent="0.3">
      <c r="CO6263" s="15"/>
    </row>
    <row r="6264" spans="93:93" x14ac:dyDescent="0.3">
      <c r="CO6264" s="15"/>
    </row>
    <row r="6265" spans="93:93" x14ac:dyDescent="0.3">
      <c r="CO6265" s="15"/>
    </row>
    <row r="6266" spans="93:93" x14ac:dyDescent="0.3">
      <c r="CO6266" s="15"/>
    </row>
    <row r="6267" spans="93:93" x14ac:dyDescent="0.3">
      <c r="CO6267" s="15"/>
    </row>
    <row r="6268" spans="93:93" x14ac:dyDescent="0.3">
      <c r="CO6268" s="15"/>
    </row>
    <row r="6269" spans="93:93" x14ac:dyDescent="0.3">
      <c r="CO6269" s="15"/>
    </row>
    <row r="6270" spans="93:93" x14ac:dyDescent="0.3">
      <c r="CO6270" s="15"/>
    </row>
    <row r="6271" spans="93:93" x14ac:dyDescent="0.3">
      <c r="CO6271" s="15"/>
    </row>
    <row r="6272" spans="93:93" x14ac:dyDescent="0.3">
      <c r="CO6272" s="15"/>
    </row>
    <row r="6273" spans="93:93" x14ac:dyDescent="0.3">
      <c r="CO6273" s="15"/>
    </row>
    <row r="6274" spans="93:93" x14ac:dyDescent="0.3">
      <c r="CO6274" s="15"/>
    </row>
    <row r="6275" spans="93:93" x14ac:dyDescent="0.3">
      <c r="CO6275" s="15"/>
    </row>
    <row r="6276" spans="93:93" x14ac:dyDescent="0.3">
      <c r="CO6276" s="15"/>
    </row>
    <row r="6277" spans="93:93" x14ac:dyDescent="0.3">
      <c r="CO6277" s="15"/>
    </row>
    <row r="6278" spans="93:93" x14ac:dyDescent="0.3">
      <c r="CO6278" s="15"/>
    </row>
    <row r="6279" spans="93:93" x14ac:dyDescent="0.3">
      <c r="CO6279" s="15"/>
    </row>
    <row r="6280" spans="93:93" x14ac:dyDescent="0.3">
      <c r="CO6280" s="15"/>
    </row>
    <row r="6281" spans="93:93" x14ac:dyDescent="0.3">
      <c r="CO6281" s="15"/>
    </row>
    <row r="6282" spans="93:93" x14ac:dyDescent="0.3">
      <c r="CO6282" s="15"/>
    </row>
    <row r="6283" spans="93:93" x14ac:dyDescent="0.3">
      <c r="CO6283" s="15"/>
    </row>
    <row r="6284" spans="93:93" x14ac:dyDescent="0.3">
      <c r="CO6284" s="15"/>
    </row>
    <row r="6285" spans="93:93" x14ac:dyDescent="0.3">
      <c r="CO6285" s="15"/>
    </row>
    <row r="6286" spans="93:93" x14ac:dyDescent="0.3">
      <c r="CO6286" s="15"/>
    </row>
    <row r="6287" spans="93:93" x14ac:dyDescent="0.3">
      <c r="CO6287" s="15"/>
    </row>
    <row r="6288" spans="93:93" x14ac:dyDescent="0.3">
      <c r="CO6288" s="15"/>
    </row>
    <row r="6289" spans="93:93" x14ac:dyDescent="0.3">
      <c r="CO6289" s="15"/>
    </row>
    <row r="6290" spans="93:93" x14ac:dyDescent="0.3">
      <c r="CO6290" s="15"/>
    </row>
    <row r="6291" spans="93:93" x14ac:dyDescent="0.3">
      <c r="CO6291" s="15"/>
    </row>
    <row r="6292" spans="93:93" x14ac:dyDescent="0.3">
      <c r="CO6292" s="15"/>
    </row>
    <row r="6293" spans="93:93" x14ac:dyDescent="0.3">
      <c r="CO6293" s="15"/>
    </row>
    <row r="6294" spans="93:93" x14ac:dyDescent="0.3">
      <c r="CO6294" s="15"/>
    </row>
    <row r="6295" spans="93:93" x14ac:dyDescent="0.3">
      <c r="CO6295" s="15"/>
    </row>
    <row r="6296" spans="93:93" x14ac:dyDescent="0.3">
      <c r="CO6296" s="15"/>
    </row>
    <row r="6297" spans="93:93" x14ac:dyDescent="0.3">
      <c r="CO6297" s="15"/>
    </row>
    <row r="6298" spans="93:93" x14ac:dyDescent="0.3">
      <c r="CO6298" s="15"/>
    </row>
    <row r="6299" spans="93:93" x14ac:dyDescent="0.3">
      <c r="CO6299" s="15"/>
    </row>
    <row r="6300" spans="93:93" x14ac:dyDescent="0.3">
      <c r="CO6300" s="15"/>
    </row>
    <row r="6301" spans="93:93" x14ac:dyDescent="0.3">
      <c r="CO6301" s="15"/>
    </row>
    <row r="6302" spans="93:93" x14ac:dyDescent="0.3">
      <c r="CO6302" s="15"/>
    </row>
    <row r="6303" spans="93:93" x14ac:dyDescent="0.3">
      <c r="CO6303" s="15"/>
    </row>
    <row r="6304" spans="93:93" x14ac:dyDescent="0.3">
      <c r="CO6304" s="15"/>
    </row>
    <row r="6305" spans="93:93" x14ac:dyDescent="0.3">
      <c r="CO6305" s="15"/>
    </row>
    <row r="6306" spans="93:93" x14ac:dyDescent="0.3">
      <c r="CO6306" s="15"/>
    </row>
    <row r="6307" spans="93:93" x14ac:dyDescent="0.3">
      <c r="CO6307" s="15"/>
    </row>
    <row r="6308" spans="93:93" x14ac:dyDescent="0.3">
      <c r="CO6308" s="15"/>
    </row>
    <row r="6309" spans="93:93" x14ac:dyDescent="0.3">
      <c r="CO6309" s="15"/>
    </row>
    <row r="6310" spans="93:93" x14ac:dyDescent="0.3">
      <c r="CO6310" s="15"/>
    </row>
    <row r="6311" spans="93:93" x14ac:dyDescent="0.3">
      <c r="CO6311" s="15"/>
    </row>
    <row r="6312" spans="93:93" x14ac:dyDescent="0.3">
      <c r="CO6312" s="15"/>
    </row>
    <row r="6313" spans="93:93" x14ac:dyDescent="0.3">
      <c r="CO6313" s="15"/>
    </row>
    <row r="6314" spans="93:93" x14ac:dyDescent="0.3">
      <c r="CO6314" s="15"/>
    </row>
    <row r="6315" spans="93:93" x14ac:dyDescent="0.3">
      <c r="CO6315" s="15"/>
    </row>
    <row r="6316" spans="93:93" x14ac:dyDescent="0.3">
      <c r="CO6316" s="15"/>
    </row>
    <row r="6317" spans="93:93" x14ac:dyDescent="0.3">
      <c r="CO6317" s="15"/>
    </row>
    <row r="6318" spans="93:93" x14ac:dyDescent="0.3">
      <c r="CO6318" s="15"/>
    </row>
    <row r="6319" spans="93:93" x14ac:dyDescent="0.3">
      <c r="CO6319" s="15"/>
    </row>
    <row r="6320" spans="93:93" x14ac:dyDescent="0.3">
      <c r="CO6320" s="15"/>
    </row>
    <row r="6321" spans="93:93" x14ac:dyDescent="0.3">
      <c r="CO6321" s="15"/>
    </row>
    <row r="6322" spans="93:93" x14ac:dyDescent="0.3">
      <c r="CO6322" s="15"/>
    </row>
    <row r="6323" spans="93:93" x14ac:dyDescent="0.3">
      <c r="CO6323" s="15"/>
    </row>
    <row r="6324" spans="93:93" x14ac:dyDescent="0.3">
      <c r="CO6324" s="15"/>
    </row>
    <row r="6325" spans="93:93" x14ac:dyDescent="0.3">
      <c r="CO6325" s="15"/>
    </row>
    <row r="6326" spans="93:93" x14ac:dyDescent="0.3">
      <c r="CO6326" s="15"/>
    </row>
    <row r="6327" spans="93:93" x14ac:dyDescent="0.3">
      <c r="CO6327" s="15"/>
    </row>
    <row r="6328" spans="93:93" x14ac:dyDescent="0.3">
      <c r="CO6328" s="15"/>
    </row>
    <row r="6329" spans="93:93" x14ac:dyDescent="0.3">
      <c r="CO6329" s="15"/>
    </row>
    <row r="6330" spans="93:93" x14ac:dyDescent="0.3">
      <c r="CO6330" s="15"/>
    </row>
    <row r="6331" spans="93:93" x14ac:dyDescent="0.3">
      <c r="CO6331" s="15"/>
    </row>
    <row r="6332" spans="93:93" x14ac:dyDescent="0.3">
      <c r="CO6332" s="15"/>
    </row>
    <row r="6333" spans="93:93" x14ac:dyDescent="0.3">
      <c r="CO6333" s="15"/>
    </row>
    <row r="6334" spans="93:93" x14ac:dyDescent="0.3">
      <c r="CO6334" s="15"/>
    </row>
    <row r="6335" spans="93:93" x14ac:dyDescent="0.3">
      <c r="CO6335" s="15"/>
    </row>
    <row r="6336" spans="93:93" x14ac:dyDescent="0.3">
      <c r="CO6336" s="15"/>
    </row>
    <row r="6337" spans="93:93" x14ac:dyDescent="0.3">
      <c r="CO6337" s="15"/>
    </row>
    <row r="6338" spans="93:93" x14ac:dyDescent="0.3">
      <c r="CO6338" s="15"/>
    </row>
    <row r="6339" spans="93:93" x14ac:dyDescent="0.3">
      <c r="CO6339" s="15"/>
    </row>
    <row r="6340" spans="93:93" x14ac:dyDescent="0.3">
      <c r="CO6340" s="15"/>
    </row>
    <row r="6341" spans="93:93" x14ac:dyDescent="0.3">
      <c r="CO6341" s="15"/>
    </row>
    <row r="6342" spans="93:93" x14ac:dyDescent="0.3">
      <c r="CO6342" s="15"/>
    </row>
    <row r="6343" spans="93:93" x14ac:dyDescent="0.3">
      <c r="CO6343" s="15"/>
    </row>
    <row r="6344" spans="93:93" x14ac:dyDescent="0.3">
      <c r="CO6344" s="15"/>
    </row>
    <row r="6345" spans="93:93" x14ac:dyDescent="0.3">
      <c r="CO6345" s="15"/>
    </row>
    <row r="6346" spans="93:93" x14ac:dyDescent="0.3">
      <c r="CO6346" s="15"/>
    </row>
    <row r="6347" spans="93:93" x14ac:dyDescent="0.3">
      <c r="CO6347" s="15"/>
    </row>
    <row r="6348" spans="93:93" x14ac:dyDescent="0.3">
      <c r="CO6348" s="15"/>
    </row>
    <row r="6349" spans="93:93" x14ac:dyDescent="0.3">
      <c r="CO6349" s="15"/>
    </row>
    <row r="6350" spans="93:93" x14ac:dyDescent="0.3">
      <c r="CO6350" s="15"/>
    </row>
    <row r="6351" spans="93:93" x14ac:dyDescent="0.3">
      <c r="CO6351" s="15"/>
    </row>
    <row r="6352" spans="93:93" x14ac:dyDescent="0.3">
      <c r="CO6352" s="15"/>
    </row>
    <row r="6353" spans="93:93" x14ac:dyDescent="0.3">
      <c r="CO6353" s="15"/>
    </row>
    <row r="6354" spans="93:93" x14ac:dyDescent="0.3">
      <c r="CO6354" s="15"/>
    </row>
    <row r="6355" spans="93:93" x14ac:dyDescent="0.3">
      <c r="CO6355" s="15"/>
    </row>
    <row r="6356" spans="93:93" x14ac:dyDescent="0.3">
      <c r="CO6356" s="15"/>
    </row>
    <row r="6357" spans="93:93" x14ac:dyDescent="0.3">
      <c r="CO6357" s="15"/>
    </row>
    <row r="6358" spans="93:93" x14ac:dyDescent="0.3">
      <c r="CO6358" s="15"/>
    </row>
    <row r="6359" spans="93:93" x14ac:dyDescent="0.3">
      <c r="CO6359" s="15"/>
    </row>
    <row r="6360" spans="93:93" x14ac:dyDescent="0.3">
      <c r="CO6360" s="15"/>
    </row>
    <row r="6361" spans="93:93" x14ac:dyDescent="0.3">
      <c r="CO6361" s="15"/>
    </row>
    <row r="6362" spans="93:93" x14ac:dyDescent="0.3">
      <c r="CO6362" s="15"/>
    </row>
    <row r="6363" spans="93:93" x14ac:dyDescent="0.3">
      <c r="CO6363" s="15"/>
    </row>
    <row r="6364" spans="93:93" x14ac:dyDescent="0.3">
      <c r="CO6364" s="15"/>
    </row>
    <row r="6365" spans="93:93" x14ac:dyDescent="0.3">
      <c r="CO6365" s="15"/>
    </row>
    <row r="6366" spans="93:93" x14ac:dyDescent="0.3">
      <c r="CO6366" s="15"/>
    </row>
    <row r="6367" spans="93:93" x14ac:dyDescent="0.3">
      <c r="CO6367" s="15"/>
    </row>
    <row r="6368" spans="93:93" x14ac:dyDescent="0.3">
      <c r="CO6368" s="15"/>
    </row>
    <row r="6369" spans="93:93" x14ac:dyDescent="0.3">
      <c r="CO6369" s="15"/>
    </row>
    <row r="6370" spans="93:93" x14ac:dyDescent="0.3">
      <c r="CO6370" s="15"/>
    </row>
    <row r="6371" spans="93:93" x14ac:dyDescent="0.3">
      <c r="CO6371" s="15"/>
    </row>
    <row r="6372" spans="93:93" x14ac:dyDescent="0.3">
      <c r="CO6372" s="15"/>
    </row>
    <row r="6373" spans="93:93" x14ac:dyDescent="0.3">
      <c r="CO6373" s="15"/>
    </row>
    <row r="6374" spans="93:93" x14ac:dyDescent="0.3">
      <c r="CO6374" s="15"/>
    </row>
    <row r="6375" spans="93:93" x14ac:dyDescent="0.3">
      <c r="CO6375" s="15"/>
    </row>
    <row r="6376" spans="93:93" x14ac:dyDescent="0.3">
      <c r="CO6376" s="15"/>
    </row>
    <row r="6377" spans="93:93" x14ac:dyDescent="0.3">
      <c r="CO6377" s="15"/>
    </row>
    <row r="6378" spans="93:93" x14ac:dyDescent="0.3">
      <c r="CO6378" s="15"/>
    </row>
    <row r="6379" spans="93:93" x14ac:dyDescent="0.3">
      <c r="CO6379" s="15"/>
    </row>
    <row r="6380" spans="93:93" x14ac:dyDescent="0.3">
      <c r="CO6380" s="15"/>
    </row>
    <row r="6381" spans="93:93" x14ac:dyDescent="0.3">
      <c r="CO6381" s="15"/>
    </row>
    <row r="6382" spans="93:93" x14ac:dyDescent="0.3">
      <c r="CO6382" s="15"/>
    </row>
    <row r="6383" spans="93:93" x14ac:dyDescent="0.3">
      <c r="CO6383" s="15"/>
    </row>
    <row r="6384" spans="93:93" x14ac:dyDescent="0.3">
      <c r="CO6384" s="15"/>
    </row>
    <row r="6385" spans="93:93" x14ac:dyDescent="0.3">
      <c r="CO6385" s="15"/>
    </row>
    <row r="6386" spans="93:93" x14ac:dyDescent="0.3">
      <c r="CO6386" s="15"/>
    </row>
    <row r="6387" spans="93:93" x14ac:dyDescent="0.3">
      <c r="CO6387" s="15"/>
    </row>
    <row r="6388" spans="93:93" x14ac:dyDescent="0.3">
      <c r="CO6388" s="15"/>
    </row>
    <row r="6389" spans="93:93" x14ac:dyDescent="0.3">
      <c r="CO6389" s="15"/>
    </row>
    <row r="6390" spans="93:93" x14ac:dyDescent="0.3">
      <c r="CO6390" s="15"/>
    </row>
    <row r="6391" spans="93:93" x14ac:dyDescent="0.3">
      <c r="CO6391" s="15"/>
    </row>
    <row r="6392" spans="93:93" x14ac:dyDescent="0.3">
      <c r="CO6392" s="15"/>
    </row>
    <row r="6393" spans="93:93" x14ac:dyDescent="0.3">
      <c r="CO6393" s="15"/>
    </row>
    <row r="6394" spans="93:93" x14ac:dyDescent="0.3">
      <c r="CO6394" s="15"/>
    </row>
    <row r="6395" spans="93:93" x14ac:dyDescent="0.3">
      <c r="CO6395" s="15"/>
    </row>
    <row r="6396" spans="93:93" x14ac:dyDescent="0.3">
      <c r="CO6396" s="15"/>
    </row>
    <row r="6397" spans="93:93" x14ac:dyDescent="0.3">
      <c r="CO6397" s="15"/>
    </row>
    <row r="6398" spans="93:93" x14ac:dyDescent="0.3">
      <c r="CO6398" s="15"/>
    </row>
    <row r="6399" spans="93:93" x14ac:dyDescent="0.3">
      <c r="CO6399" s="15"/>
    </row>
    <row r="6400" spans="93:93" x14ac:dyDescent="0.3">
      <c r="CO6400" s="15"/>
    </row>
    <row r="6401" spans="93:93" x14ac:dyDescent="0.3">
      <c r="CO6401" s="15"/>
    </row>
    <row r="6402" spans="93:93" x14ac:dyDescent="0.3">
      <c r="CO6402" s="15"/>
    </row>
    <row r="6403" spans="93:93" x14ac:dyDescent="0.3">
      <c r="CO6403" s="15"/>
    </row>
    <row r="6404" spans="93:93" x14ac:dyDescent="0.3">
      <c r="CO6404" s="15"/>
    </row>
    <row r="6405" spans="93:93" x14ac:dyDescent="0.3">
      <c r="CO6405" s="15"/>
    </row>
    <row r="6406" spans="93:93" x14ac:dyDescent="0.3">
      <c r="CO6406" s="15"/>
    </row>
    <row r="6407" spans="93:93" x14ac:dyDescent="0.3">
      <c r="CO6407" s="15"/>
    </row>
    <row r="6408" spans="93:93" x14ac:dyDescent="0.3">
      <c r="CO6408" s="15"/>
    </row>
    <row r="6409" spans="93:93" x14ac:dyDescent="0.3">
      <c r="CO6409" s="15"/>
    </row>
    <row r="6410" spans="93:93" x14ac:dyDescent="0.3">
      <c r="CO6410" s="15"/>
    </row>
    <row r="6411" spans="93:93" x14ac:dyDescent="0.3">
      <c r="CO6411" s="15"/>
    </row>
    <row r="6412" spans="93:93" x14ac:dyDescent="0.3">
      <c r="CO6412" s="15"/>
    </row>
    <row r="6413" spans="93:93" x14ac:dyDescent="0.3">
      <c r="CO6413" s="15"/>
    </row>
    <row r="6414" spans="93:93" x14ac:dyDescent="0.3">
      <c r="CO6414" s="15"/>
    </row>
    <row r="6415" spans="93:93" x14ac:dyDescent="0.3">
      <c r="CO6415" s="15"/>
    </row>
    <row r="6416" spans="93:93" x14ac:dyDescent="0.3">
      <c r="CO6416" s="15"/>
    </row>
    <row r="6417" spans="93:93" x14ac:dyDescent="0.3">
      <c r="CO6417" s="15"/>
    </row>
    <row r="6418" spans="93:93" x14ac:dyDescent="0.3">
      <c r="CO6418" s="15"/>
    </row>
    <row r="6419" spans="93:93" x14ac:dyDescent="0.3">
      <c r="CO6419" s="15"/>
    </row>
    <row r="6420" spans="93:93" x14ac:dyDescent="0.3">
      <c r="CO6420" s="15"/>
    </row>
    <row r="6421" spans="93:93" x14ac:dyDescent="0.3">
      <c r="CO6421" s="15"/>
    </row>
    <row r="6422" spans="93:93" x14ac:dyDescent="0.3">
      <c r="CO6422" s="15"/>
    </row>
    <row r="6423" spans="93:93" x14ac:dyDescent="0.3">
      <c r="CO6423" s="15"/>
    </row>
    <row r="6424" spans="93:93" x14ac:dyDescent="0.3">
      <c r="CO6424" s="15"/>
    </row>
    <row r="6425" spans="93:93" x14ac:dyDescent="0.3">
      <c r="CO6425" s="15"/>
    </row>
    <row r="6426" spans="93:93" x14ac:dyDescent="0.3">
      <c r="CO6426" s="15"/>
    </row>
    <row r="6427" spans="93:93" x14ac:dyDescent="0.3">
      <c r="CO6427" s="15"/>
    </row>
    <row r="6428" spans="93:93" x14ac:dyDescent="0.3">
      <c r="CO6428" s="15"/>
    </row>
    <row r="6429" spans="93:93" x14ac:dyDescent="0.3">
      <c r="CO6429" s="15"/>
    </row>
    <row r="6430" spans="93:93" x14ac:dyDescent="0.3">
      <c r="CO6430" s="15"/>
    </row>
    <row r="6431" spans="93:93" x14ac:dyDescent="0.3">
      <c r="CO6431" s="15"/>
    </row>
    <row r="6432" spans="93:93" x14ac:dyDescent="0.3">
      <c r="CO6432" s="15"/>
    </row>
    <row r="6433" spans="93:93" x14ac:dyDescent="0.3">
      <c r="CO6433" s="15"/>
    </row>
    <row r="6434" spans="93:93" x14ac:dyDescent="0.3">
      <c r="CO6434" s="15"/>
    </row>
    <row r="6435" spans="93:93" x14ac:dyDescent="0.3">
      <c r="CO6435" s="15"/>
    </row>
    <row r="6436" spans="93:93" x14ac:dyDescent="0.3">
      <c r="CO6436" s="15"/>
    </row>
    <row r="6437" spans="93:93" x14ac:dyDescent="0.3">
      <c r="CO6437" s="15"/>
    </row>
    <row r="6438" spans="93:93" x14ac:dyDescent="0.3">
      <c r="CO6438" s="15"/>
    </row>
    <row r="6439" spans="93:93" x14ac:dyDescent="0.3">
      <c r="CO6439" s="15"/>
    </row>
    <row r="6440" spans="93:93" x14ac:dyDescent="0.3">
      <c r="CO6440" s="15"/>
    </row>
    <row r="6441" spans="93:93" x14ac:dyDescent="0.3">
      <c r="CO6441" s="15"/>
    </row>
    <row r="6442" spans="93:93" x14ac:dyDescent="0.3">
      <c r="CO6442" s="15"/>
    </row>
    <row r="6443" spans="93:93" x14ac:dyDescent="0.3">
      <c r="CO6443" s="15"/>
    </row>
    <row r="6444" spans="93:93" x14ac:dyDescent="0.3">
      <c r="CO6444" s="15"/>
    </row>
    <row r="6445" spans="93:93" x14ac:dyDescent="0.3">
      <c r="CO6445" s="15"/>
    </row>
    <row r="6446" spans="93:93" x14ac:dyDescent="0.3">
      <c r="CO6446" s="15"/>
    </row>
    <row r="6447" spans="93:93" x14ac:dyDescent="0.3">
      <c r="CO6447" s="15"/>
    </row>
    <row r="6448" spans="93:93" x14ac:dyDescent="0.3">
      <c r="CO6448" s="15"/>
    </row>
    <row r="6449" spans="93:93" x14ac:dyDescent="0.3">
      <c r="CO6449" s="15"/>
    </row>
    <row r="6450" spans="93:93" x14ac:dyDescent="0.3">
      <c r="CO6450" s="15"/>
    </row>
    <row r="6451" spans="93:93" x14ac:dyDescent="0.3">
      <c r="CO6451" s="15"/>
    </row>
    <row r="6452" spans="93:93" x14ac:dyDescent="0.3">
      <c r="CO6452" s="15"/>
    </row>
    <row r="6453" spans="93:93" x14ac:dyDescent="0.3">
      <c r="CO6453" s="15"/>
    </row>
    <row r="6454" spans="93:93" x14ac:dyDescent="0.3">
      <c r="CO6454" s="15"/>
    </row>
    <row r="6455" spans="93:93" x14ac:dyDescent="0.3">
      <c r="CO6455" s="15"/>
    </row>
    <row r="6456" spans="93:93" x14ac:dyDescent="0.3">
      <c r="CO6456" s="15"/>
    </row>
    <row r="6457" spans="93:93" x14ac:dyDescent="0.3">
      <c r="CO6457" s="15"/>
    </row>
    <row r="6458" spans="93:93" x14ac:dyDescent="0.3">
      <c r="CO6458" s="15"/>
    </row>
    <row r="6459" spans="93:93" x14ac:dyDescent="0.3">
      <c r="CO6459" s="15"/>
    </row>
    <row r="6460" spans="93:93" x14ac:dyDescent="0.3">
      <c r="CO6460" s="15"/>
    </row>
    <row r="6461" spans="93:93" x14ac:dyDescent="0.3">
      <c r="CO6461" s="15"/>
    </row>
    <row r="6462" spans="93:93" x14ac:dyDescent="0.3">
      <c r="CO6462" s="15"/>
    </row>
    <row r="6463" spans="93:93" x14ac:dyDescent="0.3">
      <c r="CO6463" s="15"/>
    </row>
    <row r="6464" spans="93:93" x14ac:dyDescent="0.3">
      <c r="CO6464" s="15"/>
    </row>
    <row r="6465" spans="93:93" x14ac:dyDescent="0.3">
      <c r="CO6465" s="15"/>
    </row>
    <row r="6466" spans="93:93" x14ac:dyDescent="0.3">
      <c r="CO6466" s="15"/>
    </row>
    <row r="6467" spans="93:93" x14ac:dyDescent="0.3">
      <c r="CO6467" s="15"/>
    </row>
    <row r="6468" spans="93:93" x14ac:dyDescent="0.3">
      <c r="CO6468" s="15"/>
    </row>
    <row r="6469" spans="93:93" x14ac:dyDescent="0.3">
      <c r="CO6469" s="15"/>
    </row>
    <row r="6470" spans="93:93" x14ac:dyDescent="0.3">
      <c r="CO6470" s="15"/>
    </row>
    <row r="6471" spans="93:93" x14ac:dyDescent="0.3">
      <c r="CO6471" s="15"/>
    </row>
    <row r="6472" spans="93:93" x14ac:dyDescent="0.3">
      <c r="CO6472" s="15"/>
    </row>
    <row r="6473" spans="93:93" x14ac:dyDescent="0.3">
      <c r="CO6473" s="15"/>
    </row>
    <row r="6474" spans="93:93" x14ac:dyDescent="0.3">
      <c r="CO6474" s="15"/>
    </row>
    <row r="6475" spans="93:93" x14ac:dyDescent="0.3">
      <c r="CO6475" s="15"/>
    </row>
    <row r="6476" spans="93:93" x14ac:dyDescent="0.3">
      <c r="CO6476" s="15"/>
    </row>
    <row r="6477" spans="93:93" x14ac:dyDescent="0.3">
      <c r="CO6477" s="15"/>
    </row>
    <row r="6478" spans="93:93" x14ac:dyDescent="0.3">
      <c r="CO6478" s="15"/>
    </row>
    <row r="6479" spans="93:93" x14ac:dyDescent="0.3">
      <c r="CO6479" s="15"/>
    </row>
    <row r="6480" spans="93:93" x14ac:dyDescent="0.3">
      <c r="CO6480" s="15"/>
    </row>
    <row r="6481" spans="93:93" x14ac:dyDescent="0.3">
      <c r="CO6481" s="15"/>
    </row>
    <row r="6482" spans="93:93" x14ac:dyDescent="0.3">
      <c r="CO6482" s="15"/>
    </row>
    <row r="6483" spans="93:93" x14ac:dyDescent="0.3">
      <c r="CO6483" s="15"/>
    </row>
    <row r="6484" spans="93:93" x14ac:dyDescent="0.3">
      <c r="CO6484" s="15"/>
    </row>
    <row r="6485" spans="93:93" x14ac:dyDescent="0.3">
      <c r="CO6485" s="15"/>
    </row>
    <row r="6486" spans="93:93" x14ac:dyDescent="0.3">
      <c r="CO6486" s="15"/>
    </row>
    <row r="6487" spans="93:93" x14ac:dyDescent="0.3">
      <c r="CO6487" s="15"/>
    </row>
    <row r="6488" spans="93:93" x14ac:dyDescent="0.3">
      <c r="CO6488" s="15"/>
    </row>
    <row r="6489" spans="93:93" x14ac:dyDescent="0.3">
      <c r="CO6489" s="15"/>
    </row>
    <row r="6490" spans="93:93" x14ac:dyDescent="0.3">
      <c r="CO6490" s="15"/>
    </row>
    <row r="6491" spans="93:93" x14ac:dyDescent="0.3">
      <c r="CO6491" s="15"/>
    </row>
    <row r="6492" spans="93:93" x14ac:dyDescent="0.3">
      <c r="CO6492" s="15"/>
    </row>
    <row r="6493" spans="93:93" x14ac:dyDescent="0.3">
      <c r="CO6493" s="15"/>
    </row>
    <row r="6494" spans="93:93" x14ac:dyDescent="0.3">
      <c r="CO6494" s="15"/>
    </row>
    <row r="6495" spans="93:93" x14ac:dyDescent="0.3">
      <c r="CO6495" s="15"/>
    </row>
    <row r="6496" spans="93:93" x14ac:dyDescent="0.3">
      <c r="CO6496" s="15"/>
    </row>
    <row r="6497" spans="93:93" x14ac:dyDescent="0.3">
      <c r="CO6497" s="15"/>
    </row>
    <row r="6498" spans="93:93" x14ac:dyDescent="0.3">
      <c r="CO6498" s="15"/>
    </row>
    <row r="6499" spans="93:93" x14ac:dyDescent="0.3">
      <c r="CO6499" s="15"/>
    </row>
    <row r="6500" spans="93:93" x14ac:dyDescent="0.3">
      <c r="CO6500" s="15"/>
    </row>
    <row r="6501" spans="93:93" x14ac:dyDescent="0.3">
      <c r="CO6501" s="15"/>
    </row>
    <row r="6502" spans="93:93" x14ac:dyDescent="0.3">
      <c r="CO6502" s="15"/>
    </row>
    <row r="6503" spans="93:93" x14ac:dyDescent="0.3">
      <c r="CO6503" s="15"/>
    </row>
    <row r="6504" spans="93:93" x14ac:dyDescent="0.3">
      <c r="CO6504" s="15"/>
    </row>
    <row r="6505" spans="93:93" x14ac:dyDescent="0.3">
      <c r="CO6505" s="15"/>
    </row>
    <row r="6506" spans="93:93" x14ac:dyDescent="0.3">
      <c r="CO6506" s="15"/>
    </row>
    <row r="6507" spans="93:93" x14ac:dyDescent="0.3">
      <c r="CO6507" s="15"/>
    </row>
    <row r="6508" spans="93:93" x14ac:dyDescent="0.3">
      <c r="CO6508" s="15"/>
    </row>
    <row r="6509" spans="93:93" x14ac:dyDescent="0.3">
      <c r="CO6509" s="15"/>
    </row>
    <row r="6510" spans="93:93" x14ac:dyDescent="0.3">
      <c r="CO6510" s="15"/>
    </row>
    <row r="6511" spans="93:93" x14ac:dyDescent="0.3">
      <c r="CO6511" s="15"/>
    </row>
    <row r="6512" spans="93:93" x14ac:dyDescent="0.3">
      <c r="CO6512" s="15"/>
    </row>
    <row r="6513" spans="93:93" x14ac:dyDescent="0.3">
      <c r="CO6513" s="15"/>
    </row>
    <row r="6514" spans="93:93" x14ac:dyDescent="0.3">
      <c r="CO6514" s="15"/>
    </row>
    <row r="6515" spans="93:93" x14ac:dyDescent="0.3">
      <c r="CO6515" s="15"/>
    </row>
    <row r="6516" spans="93:93" x14ac:dyDescent="0.3">
      <c r="CO6516" s="15"/>
    </row>
    <row r="6517" spans="93:93" x14ac:dyDescent="0.3">
      <c r="CO6517" s="15"/>
    </row>
    <row r="6518" spans="93:93" x14ac:dyDescent="0.3">
      <c r="CO6518" s="15"/>
    </row>
    <row r="6519" spans="93:93" x14ac:dyDescent="0.3">
      <c r="CO6519" s="15"/>
    </row>
    <row r="6520" spans="93:93" x14ac:dyDescent="0.3">
      <c r="CO6520" s="15"/>
    </row>
    <row r="6521" spans="93:93" x14ac:dyDescent="0.3">
      <c r="CO6521" s="15"/>
    </row>
    <row r="6522" spans="93:93" x14ac:dyDescent="0.3">
      <c r="CO6522" s="15"/>
    </row>
    <row r="6523" spans="93:93" x14ac:dyDescent="0.3">
      <c r="CO6523" s="15"/>
    </row>
    <row r="6524" spans="93:93" x14ac:dyDescent="0.3">
      <c r="CO6524" s="15"/>
    </row>
    <row r="6525" spans="93:93" x14ac:dyDescent="0.3">
      <c r="CO6525" s="15"/>
    </row>
    <row r="6526" spans="93:93" x14ac:dyDescent="0.3">
      <c r="CO6526" s="15"/>
    </row>
    <row r="6527" spans="93:93" x14ac:dyDescent="0.3">
      <c r="CO6527" s="15"/>
    </row>
    <row r="6528" spans="93:93" x14ac:dyDescent="0.3">
      <c r="CO6528" s="15"/>
    </row>
    <row r="6529" spans="93:93" x14ac:dyDescent="0.3">
      <c r="CO6529" s="15"/>
    </row>
    <row r="6530" spans="93:93" x14ac:dyDescent="0.3">
      <c r="CO6530" s="15"/>
    </row>
    <row r="6531" spans="93:93" x14ac:dyDescent="0.3">
      <c r="CO6531" s="15"/>
    </row>
    <row r="6532" spans="93:93" x14ac:dyDescent="0.3">
      <c r="CO6532" s="15"/>
    </row>
    <row r="6533" spans="93:93" x14ac:dyDescent="0.3">
      <c r="CO6533" s="15"/>
    </row>
    <row r="6534" spans="93:93" x14ac:dyDescent="0.3">
      <c r="CO6534" s="15"/>
    </row>
    <row r="6535" spans="93:93" x14ac:dyDescent="0.3">
      <c r="CO6535" s="15"/>
    </row>
    <row r="6536" spans="93:93" x14ac:dyDescent="0.3">
      <c r="CO6536" s="15"/>
    </row>
    <row r="6537" spans="93:93" x14ac:dyDescent="0.3">
      <c r="CO6537" s="15"/>
    </row>
    <row r="6538" spans="93:93" x14ac:dyDescent="0.3">
      <c r="CO6538" s="15"/>
    </row>
    <row r="6539" spans="93:93" x14ac:dyDescent="0.3">
      <c r="CO6539" s="15"/>
    </row>
    <row r="6540" spans="93:93" x14ac:dyDescent="0.3">
      <c r="CO6540" s="15"/>
    </row>
    <row r="6541" spans="93:93" x14ac:dyDescent="0.3">
      <c r="CO6541" s="15"/>
    </row>
    <row r="6542" spans="93:93" x14ac:dyDescent="0.3">
      <c r="CO6542" s="15"/>
    </row>
    <row r="6543" spans="93:93" x14ac:dyDescent="0.3">
      <c r="CO6543" s="15"/>
    </row>
    <row r="6544" spans="93:93" x14ac:dyDescent="0.3">
      <c r="CO6544" s="15"/>
    </row>
    <row r="6545" spans="93:93" x14ac:dyDescent="0.3">
      <c r="CO6545" s="15"/>
    </row>
    <row r="6546" spans="93:93" x14ac:dyDescent="0.3">
      <c r="CO6546" s="15"/>
    </row>
    <row r="6547" spans="93:93" x14ac:dyDescent="0.3">
      <c r="CO6547" s="15"/>
    </row>
    <row r="6548" spans="93:93" x14ac:dyDescent="0.3">
      <c r="CO6548" s="15"/>
    </row>
    <row r="6549" spans="93:93" x14ac:dyDescent="0.3">
      <c r="CO6549" s="15"/>
    </row>
    <row r="6550" spans="93:93" x14ac:dyDescent="0.3">
      <c r="CO6550" s="15"/>
    </row>
    <row r="6551" spans="93:93" x14ac:dyDescent="0.3">
      <c r="CO6551" s="15"/>
    </row>
    <row r="6552" spans="93:93" x14ac:dyDescent="0.3">
      <c r="CO6552" s="15"/>
    </row>
    <row r="6553" spans="93:93" x14ac:dyDescent="0.3">
      <c r="CO6553" s="15"/>
    </row>
    <row r="6554" spans="93:93" x14ac:dyDescent="0.3">
      <c r="CO6554" s="15"/>
    </row>
    <row r="6555" spans="93:93" x14ac:dyDescent="0.3">
      <c r="CO6555" s="15"/>
    </row>
    <row r="6556" spans="93:93" x14ac:dyDescent="0.3">
      <c r="CO6556" s="15"/>
    </row>
    <row r="6557" spans="93:93" x14ac:dyDescent="0.3">
      <c r="CO6557" s="15"/>
    </row>
    <row r="6558" spans="93:93" x14ac:dyDescent="0.3">
      <c r="CO6558" s="15"/>
    </row>
    <row r="6559" spans="93:93" x14ac:dyDescent="0.3">
      <c r="CO6559" s="15"/>
    </row>
    <row r="6560" spans="93:93" x14ac:dyDescent="0.3">
      <c r="CO6560" s="15"/>
    </row>
    <row r="6561" spans="93:93" x14ac:dyDescent="0.3">
      <c r="CO6561" s="15"/>
    </row>
    <row r="6562" spans="93:93" x14ac:dyDescent="0.3">
      <c r="CO6562" s="15"/>
    </row>
    <row r="6563" spans="93:93" x14ac:dyDescent="0.3">
      <c r="CO6563" s="15"/>
    </row>
    <row r="6564" spans="93:93" x14ac:dyDescent="0.3">
      <c r="CO6564" s="15"/>
    </row>
    <row r="6565" spans="93:93" x14ac:dyDescent="0.3">
      <c r="CO6565" s="15"/>
    </row>
    <row r="6566" spans="93:93" x14ac:dyDescent="0.3">
      <c r="CO6566" s="15"/>
    </row>
    <row r="6567" spans="93:93" x14ac:dyDescent="0.3">
      <c r="CO6567" s="15"/>
    </row>
    <row r="6568" spans="93:93" x14ac:dyDescent="0.3">
      <c r="CO6568" s="15"/>
    </row>
    <row r="6569" spans="93:93" x14ac:dyDescent="0.3">
      <c r="CO6569" s="15"/>
    </row>
    <row r="6570" spans="93:93" x14ac:dyDescent="0.3">
      <c r="CO6570" s="15"/>
    </row>
    <row r="6571" spans="93:93" x14ac:dyDescent="0.3">
      <c r="CO6571" s="15"/>
    </row>
    <row r="6572" spans="93:93" x14ac:dyDescent="0.3">
      <c r="CO6572" s="15"/>
    </row>
    <row r="6573" spans="93:93" x14ac:dyDescent="0.3">
      <c r="CO6573" s="15"/>
    </row>
    <row r="6574" spans="93:93" x14ac:dyDescent="0.3">
      <c r="CO6574" s="15"/>
    </row>
    <row r="6575" spans="93:93" x14ac:dyDescent="0.3">
      <c r="CO6575" s="15"/>
    </row>
    <row r="6576" spans="93:93" x14ac:dyDescent="0.3">
      <c r="CO6576" s="15"/>
    </row>
    <row r="6577" spans="93:93" x14ac:dyDescent="0.3">
      <c r="CO6577" s="15"/>
    </row>
    <row r="6578" spans="93:93" x14ac:dyDescent="0.3">
      <c r="CO6578" s="15"/>
    </row>
    <row r="6579" spans="93:93" x14ac:dyDescent="0.3">
      <c r="CO6579" s="15"/>
    </row>
    <row r="6580" spans="93:93" x14ac:dyDescent="0.3">
      <c r="CO6580" s="15"/>
    </row>
    <row r="6581" spans="93:93" x14ac:dyDescent="0.3">
      <c r="CO6581" s="15"/>
    </row>
    <row r="6582" spans="93:93" x14ac:dyDescent="0.3">
      <c r="CO6582" s="15"/>
    </row>
    <row r="6583" spans="93:93" x14ac:dyDescent="0.3">
      <c r="CO6583" s="15"/>
    </row>
    <row r="6584" spans="93:93" x14ac:dyDescent="0.3">
      <c r="CO6584" s="15"/>
    </row>
    <row r="6585" spans="93:93" x14ac:dyDescent="0.3">
      <c r="CO6585" s="15"/>
    </row>
    <row r="6586" spans="93:93" x14ac:dyDescent="0.3">
      <c r="CO6586" s="15"/>
    </row>
    <row r="6587" spans="93:93" x14ac:dyDescent="0.3">
      <c r="CO6587" s="15"/>
    </row>
    <row r="6588" spans="93:93" x14ac:dyDescent="0.3">
      <c r="CO6588" s="15"/>
    </row>
    <row r="6589" spans="93:93" x14ac:dyDescent="0.3">
      <c r="CO6589" s="15"/>
    </row>
    <row r="6590" spans="93:93" x14ac:dyDescent="0.3">
      <c r="CO6590" s="15"/>
    </row>
    <row r="6591" spans="93:93" x14ac:dyDescent="0.3">
      <c r="CO6591" s="15"/>
    </row>
    <row r="6592" spans="93:93" x14ac:dyDescent="0.3">
      <c r="CO6592" s="15"/>
    </row>
    <row r="6593" spans="93:93" x14ac:dyDescent="0.3">
      <c r="CO6593" s="15"/>
    </row>
    <row r="6594" spans="93:93" x14ac:dyDescent="0.3">
      <c r="CO6594" s="15"/>
    </row>
    <row r="6595" spans="93:93" x14ac:dyDescent="0.3">
      <c r="CO6595" s="15"/>
    </row>
    <row r="6596" spans="93:93" x14ac:dyDescent="0.3">
      <c r="CO6596" s="15"/>
    </row>
    <row r="6597" spans="93:93" x14ac:dyDescent="0.3">
      <c r="CO6597" s="15"/>
    </row>
    <row r="6598" spans="93:93" x14ac:dyDescent="0.3">
      <c r="CO6598" s="15"/>
    </row>
    <row r="6599" spans="93:93" x14ac:dyDescent="0.3">
      <c r="CO6599" s="15"/>
    </row>
    <row r="6600" spans="93:93" x14ac:dyDescent="0.3">
      <c r="CO6600" s="15"/>
    </row>
    <row r="6601" spans="93:93" x14ac:dyDescent="0.3">
      <c r="CO6601" s="15"/>
    </row>
    <row r="6602" spans="93:93" x14ac:dyDescent="0.3">
      <c r="CO6602" s="15"/>
    </row>
    <row r="6603" spans="93:93" x14ac:dyDescent="0.3">
      <c r="CO6603" s="15"/>
    </row>
    <row r="6604" spans="93:93" x14ac:dyDescent="0.3">
      <c r="CO6604" s="15"/>
    </row>
    <row r="6605" spans="93:93" x14ac:dyDescent="0.3">
      <c r="CO6605" s="15"/>
    </row>
    <row r="6606" spans="93:93" x14ac:dyDescent="0.3">
      <c r="CO6606" s="15"/>
    </row>
    <row r="6607" spans="93:93" x14ac:dyDescent="0.3">
      <c r="CO6607" s="15"/>
    </row>
    <row r="6608" spans="93:93" x14ac:dyDescent="0.3">
      <c r="CO6608" s="15"/>
    </row>
    <row r="6609" spans="93:93" x14ac:dyDescent="0.3">
      <c r="CO6609" s="15"/>
    </row>
    <row r="6610" spans="93:93" x14ac:dyDescent="0.3">
      <c r="CO6610" s="15"/>
    </row>
    <row r="6611" spans="93:93" x14ac:dyDescent="0.3">
      <c r="CO6611" s="15"/>
    </row>
    <row r="6612" spans="93:93" x14ac:dyDescent="0.3">
      <c r="CO6612" s="15"/>
    </row>
    <row r="6613" spans="93:93" x14ac:dyDescent="0.3">
      <c r="CO6613" s="15"/>
    </row>
    <row r="6614" spans="93:93" x14ac:dyDescent="0.3">
      <c r="CO6614" s="15"/>
    </row>
    <row r="6615" spans="93:93" x14ac:dyDescent="0.3">
      <c r="CO6615" s="15"/>
    </row>
    <row r="6616" spans="93:93" x14ac:dyDescent="0.3">
      <c r="CO6616" s="15"/>
    </row>
    <row r="6617" spans="93:93" x14ac:dyDescent="0.3">
      <c r="CO6617" s="15"/>
    </row>
    <row r="6618" spans="93:93" x14ac:dyDescent="0.3">
      <c r="CO6618" s="15"/>
    </row>
    <row r="6619" spans="93:93" x14ac:dyDescent="0.3">
      <c r="CO6619" s="15"/>
    </row>
    <row r="6620" spans="93:93" x14ac:dyDescent="0.3">
      <c r="CO6620" s="15"/>
    </row>
    <row r="6621" spans="93:93" x14ac:dyDescent="0.3">
      <c r="CO6621" s="15"/>
    </row>
    <row r="6622" spans="93:93" x14ac:dyDescent="0.3">
      <c r="CO6622" s="15"/>
    </row>
    <row r="6623" spans="93:93" x14ac:dyDescent="0.3">
      <c r="CO6623" s="15"/>
    </row>
    <row r="6624" spans="93:93" x14ac:dyDescent="0.3">
      <c r="CO6624" s="15"/>
    </row>
    <row r="6625" spans="93:93" x14ac:dyDescent="0.3">
      <c r="CO6625" s="15"/>
    </row>
    <row r="6626" spans="93:93" x14ac:dyDescent="0.3">
      <c r="CO6626" s="15"/>
    </row>
    <row r="6627" spans="93:93" x14ac:dyDescent="0.3">
      <c r="CO6627" s="15"/>
    </row>
    <row r="6628" spans="93:93" x14ac:dyDescent="0.3">
      <c r="CO6628" s="15"/>
    </row>
    <row r="6629" spans="93:93" x14ac:dyDescent="0.3">
      <c r="CO6629" s="15"/>
    </row>
    <row r="6630" spans="93:93" x14ac:dyDescent="0.3">
      <c r="CO6630" s="15"/>
    </row>
    <row r="6631" spans="93:93" x14ac:dyDescent="0.3">
      <c r="CO6631" s="15"/>
    </row>
    <row r="6632" spans="93:93" x14ac:dyDescent="0.3">
      <c r="CO6632" s="15"/>
    </row>
    <row r="6633" spans="93:93" x14ac:dyDescent="0.3">
      <c r="CO6633" s="15"/>
    </row>
    <row r="6634" spans="93:93" x14ac:dyDescent="0.3">
      <c r="CO6634" s="15"/>
    </row>
    <row r="6635" spans="93:93" x14ac:dyDescent="0.3">
      <c r="CO6635" s="15"/>
    </row>
    <row r="6636" spans="93:93" x14ac:dyDescent="0.3">
      <c r="CO6636" s="15"/>
    </row>
    <row r="6637" spans="93:93" x14ac:dyDescent="0.3">
      <c r="CO6637" s="15"/>
    </row>
    <row r="6638" spans="93:93" x14ac:dyDescent="0.3">
      <c r="CO6638" s="15"/>
    </row>
    <row r="6639" spans="93:93" x14ac:dyDescent="0.3">
      <c r="CO6639" s="15"/>
    </row>
    <row r="6640" spans="93:93" x14ac:dyDescent="0.3">
      <c r="CO6640" s="15"/>
    </row>
    <row r="6641" spans="93:93" x14ac:dyDescent="0.3">
      <c r="CO6641" s="15"/>
    </row>
    <row r="6642" spans="93:93" x14ac:dyDescent="0.3">
      <c r="CO6642" s="15"/>
    </row>
    <row r="6643" spans="93:93" x14ac:dyDescent="0.3">
      <c r="CO6643" s="15"/>
    </row>
    <row r="6644" spans="93:93" x14ac:dyDescent="0.3">
      <c r="CO6644" s="15"/>
    </row>
    <row r="6645" spans="93:93" x14ac:dyDescent="0.3">
      <c r="CO6645" s="15"/>
    </row>
    <row r="6646" spans="93:93" x14ac:dyDescent="0.3">
      <c r="CO6646" s="15"/>
    </row>
    <row r="6647" spans="93:93" x14ac:dyDescent="0.3">
      <c r="CO6647" s="15"/>
    </row>
    <row r="6648" spans="93:93" x14ac:dyDescent="0.3">
      <c r="CO6648" s="15"/>
    </row>
    <row r="6649" spans="93:93" x14ac:dyDescent="0.3">
      <c r="CO6649" s="15"/>
    </row>
    <row r="6650" spans="93:93" x14ac:dyDescent="0.3">
      <c r="CO6650" s="15"/>
    </row>
    <row r="6651" spans="93:93" x14ac:dyDescent="0.3">
      <c r="CO6651" s="15"/>
    </row>
    <row r="6652" spans="93:93" x14ac:dyDescent="0.3">
      <c r="CO6652" s="15"/>
    </row>
    <row r="6653" spans="93:93" x14ac:dyDescent="0.3">
      <c r="CO6653" s="15"/>
    </row>
    <row r="6654" spans="93:93" x14ac:dyDescent="0.3">
      <c r="CO6654" s="15"/>
    </row>
    <row r="6655" spans="93:93" x14ac:dyDescent="0.3">
      <c r="CO6655" s="15"/>
    </row>
    <row r="6656" spans="93:93" x14ac:dyDescent="0.3">
      <c r="CO6656" s="15"/>
    </row>
    <row r="6657" spans="93:93" x14ac:dyDescent="0.3">
      <c r="CO6657" s="15"/>
    </row>
    <row r="6658" spans="93:93" x14ac:dyDescent="0.3">
      <c r="CO6658" s="15"/>
    </row>
    <row r="6659" spans="93:93" x14ac:dyDescent="0.3">
      <c r="CO6659" s="15"/>
    </row>
    <row r="6660" spans="93:93" x14ac:dyDescent="0.3">
      <c r="CO6660" s="15"/>
    </row>
    <row r="6661" spans="93:93" x14ac:dyDescent="0.3">
      <c r="CO6661" s="15"/>
    </row>
    <row r="6662" spans="93:93" x14ac:dyDescent="0.3">
      <c r="CO6662" s="15"/>
    </row>
    <row r="6663" spans="93:93" x14ac:dyDescent="0.3">
      <c r="CO6663" s="15"/>
    </row>
    <row r="6664" spans="93:93" x14ac:dyDescent="0.3">
      <c r="CO6664" s="15"/>
    </row>
    <row r="6665" spans="93:93" x14ac:dyDescent="0.3">
      <c r="CO6665" s="15"/>
    </row>
    <row r="6666" spans="93:93" x14ac:dyDescent="0.3">
      <c r="CO6666" s="15"/>
    </row>
    <row r="6667" spans="93:93" x14ac:dyDescent="0.3">
      <c r="CO6667" s="15"/>
    </row>
    <row r="6668" spans="93:93" x14ac:dyDescent="0.3">
      <c r="CO6668" s="15"/>
    </row>
    <row r="6669" spans="93:93" x14ac:dyDescent="0.3">
      <c r="CO6669" s="15"/>
    </row>
    <row r="6670" spans="93:93" x14ac:dyDescent="0.3">
      <c r="CO6670" s="15"/>
    </row>
    <row r="6671" spans="93:93" x14ac:dyDescent="0.3">
      <c r="CO6671" s="15"/>
    </row>
    <row r="6672" spans="93:93" x14ac:dyDescent="0.3">
      <c r="CO6672" s="15"/>
    </row>
    <row r="6673" spans="93:93" x14ac:dyDescent="0.3">
      <c r="CO6673" s="15"/>
    </row>
    <row r="6674" spans="93:93" x14ac:dyDescent="0.3">
      <c r="CO6674" s="15"/>
    </row>
    <row r="6675" spans="93:93" x14ac:dyDescent="0.3">
      <c r="CO6675" s="15"/>
    </row>
    <row r="6676" spans="93:93" x14ac:dyDescent="0.3">
      <c r="CO6676" s="15"/>
    </row>
    <row r="6677" spans="93:93" x14ac:dyDescent="0.3">
      <c r="CO6677" s="15"/>
    </row>
    <row r="6678" spans="93:93" x14ac:dyDescent="0.3">
      <c r="CO6678" s="15"/>
    </row>
    <row r="6679" spans="93:93" x14ac:dyDescent="0.3">
      <c r="CO6679" s="15"/>
    </row>
    <row r="6680" spans="93:93" x14ac:dyDescent="0.3">
      <c r="CO6680" s="15"/>
    </row>
    <row r="6681" spans="93:93" x14ac:dyDescent="0.3">
      <c r="CO6681" s="15"/>
    </row>
    <row r="6682" spans="93:93" x14ac:dyDescent="0.3">
      <c r="CO6682" s="15"/>
    </row>
    <row r="6683" spans="93:93" x14ac:dyDescent="0.3">
      <c r="CO6683" s="15"/>
    </row>
    <row r="6684" spans="93:93" x14ac:dyDescent="0.3">
      <c r="CO6684" s="15"/>
    </row>
    <row r="6685" spans="93:93" x14ac:dyDescent="0.3">
      <c r="CO6685" s="15"/>
    </row>
    <row r="6686" spans="93:93" x14ac:dyDescent="0.3">
      <c r="CO6686" s="15"/>
    </row>
    <row r="6687" spans="93:93" x14ac:dyDescent="0.3">
      <c r="CO6687" s="15"/>
    </row>
    <row r="6688" spans="93:93" x14ac:dyDescent="0.3">
      <c r="CO6688" s="15"/>
    </row>
    <row r="6689" spans="93:93" x14ac:dyDescent="0.3">
      <c r="CO6689" s="15"/>
    </row>
    <row r="6690" spans="93:93" x14ac:dyDescent="0.3">
      <c r="CO6690" s="15"/>
    </row>
    <row r="6691" spans="93:93" x14ac:dyDescent="0.3">
      <c r="CO6691" s="15"/>
    </row>
    <row r="6692" spans="93:93" x14ac:dyDescent="0.3">
      <c r="CO6692" s="15"/>
    </row>
    <row r="6693" spans="93:93" x14ac:dyDescent="0.3">
      <c r="CO6693" s="15"/>
    </row>
    <row r="6694" spans="93:93" x14ac:dyDescent="0.3">
      <c r="CO6694" s="15"/>
    </row>
    <row r="6695" spans="93:93" x14ac:dyDescent="0.3">
      <c r="CO6695" s="15"/>
    </row>
    <row r="6696" spans="93:93" x14ac:dyDescent="0.3">
      <c r="CO6696" s="15"/>
    </row>
    <row r="6697" spans="93:93" x14ac:dyDescent="0.3">
      <c r="CO6697" s="15"/>
    </row>
    <row r="6698" spans="93:93" x14ac:dyDescent="0.3">
      <c r="CO6698" s="15"/>
    </row>
    <row r="6699" spans="93:93" x14ac:dyDescent="0.3">
      <c r="CO6699" s="15"/>
    </row>
    <row r="6700" spans="93:93" x14ac:dyDescent="0.3">
      <c r="CO6700" s="15"/>
    </row>
    <row r="6701" spans="93:93" x14ac:dyDescent="0.3">
      <c r="CO6701" s="15"/>
    </row>
    <row r="6702" spans="93:93" x14ac:dyDescent="0.3">
      <c r="CO6702" s="15"/>
    </row>
    <row r="6703" spans="93:93" x14ac:dyDescent="0.3">
      <c r="CO6703" s="15"/>
    </row>
    <row r="6704" spans="93:93" x14ac:dyDescent="0.3">
      <c r="CO6704" s="15"/>
    </row>
    <row r="6705" spans="93:93" x14ac:dyDescent="0.3">
      <c r="CO6705" s="15"/>
    </row>
    <row r="6706" spans="93:93" x14ac:dyDescent="0.3">
      <c r="CO6706" s="15"/>
    </row>
    <row r="6707" spans="93:93" x14ac:dyDescent="0.3">
      <c r="CO6707" s="15"/>
    </row>
    <row r="6708" spans="93:93" x14ac:dyDescent="0.3">
      <c r="CO6708" s="15"/>
    </row>
    <row r="6709" spans="93:93" x14ac:dyDescent="0.3">
      <c r="CO6709" s="15"/>
    </row>
    <row r="6710" spans="93:93" x14ac:dyDescent="0.3">
      <c r="CO6710" s="15"/>
    </row>
    <row r="6711" spans="93:93" x14ac:dyDescent="0.3">
      <c r="CO6711" s="15"/>
    </row>
    <row r="6712" spans="93:93" x14ac:dyDescent="0.3">
      <c r="CO6712" s="15"/>
    </row>
    <row r="6713" spans="93:93" x14ac:dyDescent="0.3">
      <c r="CO6713" s="15"/>
    </row>
    <row r="6714" spans="93:93" x14ac:dyDescent="0.3">
      <c r="CO6714" s="15"/>
    </row>
    <row r="6715" spans="93:93" x14ac:dyDescent="0.3">
      <c r="CO6715" s="15"/>
    </row>
    <row r="6716" spans="93:93" x14ac:dyDescent="0.3">
      <c r="CO6716" s="15"/>
    </row>
    <row r="6717" spans="93:93" x14ac:dyDescent="0.3">
      <c r="CO6717" s="15"/>
    </row>
    <row r="6718" spans="93:93" x14ac:dyDescent="0.3">
      <c r="CO6718" s="15"/>
    </row>
    <row r="6719" spans="93:93" x14ac:dyDescent="0.3">
      <c r="CO6719" s="15"/>
    </row>
    <row r="6720" spans="93:93" x14ac:dyDescent="0.3">
      <c r="CO6720" s="15"/>
    </row>
    <row r="6721" spans="93:93" x14ac:dyDescent="0.3">
      <c r="CO6721" s="15"/>
    </row>
    <row r="6722" spans="93:93" x14ac:dyDescent="0.3">
      <c r="CO6722" s="15"/>
    </row>
    <row r="6723" spans="93:93" x14ac:dyDescent="0.3">
      <c r="CO6723" s="15"/>
    </row>
    <row r="6724" spans="93:93" x14ac:dyDescent="0.3">
      <c r="CO6724" s="15"/>
    </row>
    <row r="6725" spans="93:93" x14ac:dyDescent="0.3">
      <c r="CO6725" s="15"/>
    </row>
    <row r="6726" spans="93:93" x14ac:dyDescent="0.3">
      <c r="CO6726" s="15"/>
    </row>
    <row r="6727" spans="93:93" x14ac:dyDescent="0.3">
      <c r="CO6727" s="15"/>
    </row>
    <row r="6728" spans="93:93" x14ac:dyDescent="0.3">
      <c r="CO6728" s="15"/>
    </row>
    <row r="6729" spans="93:93" x14ac:dyDescent="0.3">
      <c r="CO6729" s="15"/>
    </row>
    <row r="6730" spans="93:93" x14ac:dyDescent="0.3">
      <c r="CO6730" s="15"/>
    </row>
    <row r="6731" spans="93:93" x14ac:dyDescent="0.3">
      <c r="CO6731" s="15"/>
    </row>
    <row r="6732" spans="93:93" x14ac:dyDescent="0.3">
      <c r="CO6732" s="15"/>
    </row>
    <row r="6733" spans="93:93" x14ac:dyDescent="0.3">
      <c r="CO6733" s="15"/>
    </row>
    <row r="6734" spans="93:93" x14ac:dyDescent="0.3">
      <c r="CO6734" s="15"/>
    </row>
    <row r="6735" spans="93:93" x14ac:dyDescent="0.3">
      <c r="CO6735" s="15"/>
    </row>
    <row r="6736" spans="93:93" x14ac:dyDescent="0.3">
      <c r="CO6736" s="15"/>
    </row>
    <row r="6737" spans="93:93" x14ac:dyDescent="0.3">
      <c r="CO6737" s="15"/>
    </row>
    <row r="6738" spans="93:93" x14ac:dyDescent="0.3">
      <c r="CO6738" s="15"/>
    </row>
    <row r="6739" spans="93:93" x14ac:dyDescent="0.3">
      <c r="CO6739" s="15"/>
    </row>
    <row r="6740" spans="93:93" x14ac:dyDescent="0.3">
      <c r="CO6740" s="15"/>
    </row>
    <row r="6741" spans="93:93" x14ac:dyDescent="0.3">
      <c r="CO6741" s="15"/>
    </row>
    <row r="6742" spans="93:93" x14ac:dyDescent="0.3">
      <c r="CO6742" s="15"/>
    </row>
    <row r="6743" spans="93:93" x14ac:dyDescent="0.3">
      <c r="CO6743" s="15"/>
    </row>
    <row r="6744" spans="93:93" x14ac:dyDescent="0.3">
      <c r="CO6744" s="15"/>
    </row>
    <row r="6745" spans="93:93" x14ac:dyDescent="0.3">
      <c r="CO6745" s="15"/>
    </row>
    <row r="6746" spans="93:93" x14ac:dyDescent="0.3">
      <c r="CO6746" s="15"/>
    </row>
    <row r="6747" spans="93:93" x14ac:dyDescent="0.3">
      <c r="CO6747" s="15"/>
    </row>
    <row r="6748" spans="93:93" x14ac:dyDescent="0.3">
      <c r="CO6748" s="15"/>
    </row>
    <row r="6749" spans="93:93" x14ac:dyDescent="0.3">
      <c r="CO6749" s="15"/>
    </row>
    <row r="6750" spans="93:93" x14ac:dyDescent="0.3">
      <c r="CO6750" s="15"/>
    </row>
    <row r="6751" spans="93:93" x14ac:dyDescent="0.3">
      <c r="CO6751" s="15"/>
    </row>
    <row r="6752" spans="93:93" x14ac:dyDescent="0.3">
      <c r="CO6752" s="15"/>
    </row>
    <row r="6753" spans="93:93" x14ac:dyDescent="0.3">
      <c r="CO6753" s="15"/>
    </row>
    <row r="6754" spans="93:93" x14ac:dyDescent="0.3">
      <c r="CO6754" s="15"/>
    </row>
    <row r="6755" spans="93:93" x14ac:dyDescent="0.3">
      <c r="CO6755" s="15"/>
    </row>
    <row r="6756" spans="93:93" x14ac:dyDescent="0.3">
      <c r="CO6756" s="15"/>
    </row>
    <row r="6757" spans="93:93" x14ac:dyDescent="0.3">
      <c r="CO6757" s="15"/>
    </row>
    <row r="6758" spans="93:93" x14ac:dyDescent="0.3">
      <c r="CO6758" s="15"/>
    </row>
    <row r="6759" spans="93:93" x14ac:dyDescent="0.3">
      <c r="CO6759" s="15"/>
    </row>
    <row r="6760" spans="93:93" x14ac:dyDescent="0.3">
      <c r="CO6760" s="15"/>
    </row>
    <row r="6761" spans="93:93" x14ac:dyDescent="0.3">
      <c r="CO6761" s="15"/>
    </row>
    <row r="6762" spans="93:93" x14ac:dyDescent="0.3">
      <c r="CO6762" s="15"/>
    </row>
    <row r="6763" spans="93:93" x14ac:dyDescent="0.3">
      <c r="CO6763" s="15"/>
    </row>
    <row r="6764" spans="93:93" x14ac:dyDescent="0.3">
      <c r="CO6764" s="15"/>
    </row>
    <row r="6765" spans="93:93" x14ac:dyDescent="0.3">
      <c r="CO6765" s="15"/>
    </row>
    <row r="6766" spans="93:93" x14ac:dyDescent="0.3">
      <c r="CO6766" s="15"/>
    </row>
    <row r="6767" spans="93:93" x14ac:dyDescent="0.3">
      <c r="CO6767" s="15"/>
    </row>
    <row r="6768" spans="93:93" x14ac:dyDescent="0.3">
      <c r="CO6768" s="15"/>
    </row>
    <row r="6769" spans="93:93" x14ac:dyDescent="0.3">
      <c r="CO6769" s="15"/>
    </row>
    <row r="6770" spans="93:93" x14ac:dyDescent="0.3">
      <c r="CO6770" s="15"/>
    </row>
    <row r="6771" spans="93:93" x14ac:dyDescent="0.3">
      <c r="CO6771" s="15"/>
    </row>
    <row r="6772" spans="93:93" x14ac:dyDescent="0.3">
      <c r="CO6772" s="15"/>
    </row>
    <row r="6773" spans="93:93" x14ac:dyDescent="0.3">
      <c r="CO6773" s="15"/>
    </row>
    <row r="6774" spans="93:93" x14ac:dyDescent="0.3">
      <c r="CO6774" s="15"/>
    </row>
    <row r="6775" spans="93:93" x14ac:dyDescent="0.3">
      <c r="CO6775" s="15"/>
    </row>
    <row r="6776" spans="93:93" x14ac:dyDescent="0.3">
      <c r="CO6776" s="15"/>
    </row>
    <row r="6777" spans="93:93" x14ac:dyDescent="0.3">
      <c r="CO6777" s="15"/>
    </row>
    <row r="6778" spans="93:93" x14ac:dyDescent="0.3">
      <c r="CO6778" s="15"/>
    </row>
    <row r="6779" spans="93:93" x14ac:dyDescent="0.3">
      <c r="CO6779" s="15"/>
    </row>
    <row r="6780" spans="93:93" x14ac:dyDescent="0.3">
      <c r="CO6780" s="15"/>
    </row>
    <row r="6781" spans="93:93" x14ac:dyDescent="0.3">
      <c r="CO6781" s="15"/>
    </row>
    <row r="6782" spans="93:93" x14ac:dyDescent="0.3">
      <c r="CO6782" s="15"/>
    </row>
    <row r="6783" spans="93:93" x14ac:dyDescent="0.3">
      <c r="CO6783" s="15"/>
    </row>
    <row r="6784" spans="93:93" x14ac:dyDescent="0.3">
      <c r="CO6784" s="15"/>
    </row>
    <row r="6785" spans="93:93" x14ac:dyDescent="0.3">
      <c r="CO6785" s="15"/>
    </row>
    <row r="6786" spans="93:93" x14ac:dyDescent="0.3">
      <c r="CO6786" s="15"/>
    </row>
    <row r="6787" spans="93:93" x14ac:dyDescent="0.3">
      <c r="CO6787" s="15"/>
    </row>
    <row r="6788" spans="93:93" x14ac:dyDescent="0.3">
      <c r="CO6788" s="15"/>
    </row>
    <row r="6789" spans="93:93" x14ac:dyDescent="0.3">
      <c r="CO6789" s="15"/>
    </row>
    <row r="6790" spans="93:93" x14ac:dyDescent="0.3">
      <c r="CO6790" s="15"/>
    </row>
    <row r="6791" spans="93:93" x14ac:dyDescent="0.3">
      <c r="CO6791" s="15"/>
    </row>
    <row r="6792" spans="93:93" x14ac:dyDescent="0.3">
      <c r="CO6792" s="15"/>
    </row>
    <row r="6793" spans="93:93" x14ac:dyDescent="0.3">
      <c r="CO6793" s="15"/>
    </row>
    <row r="6794" spans="93:93" x14ac:dyDescent="0.3">
      <c r="CO6794" s="15"/>
    </row>
    <row r="6795" spans="93:93" x14ac:dyDescent="0.3">
      <c r="CO6795" s="15"/>
    </row>
    <row r="6796" spans="93:93" x14ac:dyDescent="0.3">
      <c r="CO6796" s="15"/>
    </row>
    <row r="6797" spans="93:93" x14ac:dyDescent="0.3">
      <c r="CO6797" s="15"/>
    </row>
    <row r="6798" spans="93:93" x14ac:dyDescent="0.3">
      <c r="CO6798" s="15"/>
    </row>
    <row r="6799" spans="93:93" x14ac:dyDescent="0.3">
      <c r="CO6799" s="15"/>
    </row>
    <row r="6800" spans="93:93" x14ac:dyDescent="0.3">
      <c r="CO6800" s="15"/>
    </row>
    <row r="6801" spans="93:93" x14ac:dyDescent="0.3">
      <c r="CO6801" s="15"/>
    </row>
    <row r="6802" spans="93:93" x14ac:dyDescent="0.3">
      <c r="CO6802" s="15"/>
    </row>
    <row r="6803" spans="93:93" x14ac:dyDescent="0.3">
      <c r="CO6803" s="15"/>
    </row>
    <row r="6804" spans="93:93" x14ac:dyDescent="0.3">
      <c r="CO6804" s="15"/>
    </row>
    <row r="6805" spans="93:93" x14ac:dyDescent="0.3">
      <c r="CO6805" s="15"/>
    </row>
    <row r="6806" spans="93:93" x14ac:dyDescent="0.3">
      <c r="CO6806" s="15"/>
    </row>
    <row r="6807" spans="93:93" x14ac:dyDescent="0.3">
      <c r="CO6807" s="15"/>
    </row>
    <row r="6808" spans="93:93" x14ac:dyDescent="0.3">
      <c r="CO6808" s="15"/>
    </row>
    <row r="6809" spans="93:93" x14ac:dyDescent="0.3">
      <c r="CO6809" s="15"/>
    </row>
    <row r="6810" spans="93:93" x14ac:dyDescent="0.3">
      <c r="CO6810" s="15"/>
    </row>
    <row r="6811" spans="93:93" x14ac:dyDescent="0.3">
      <c r="CO6811" s="15"/>
    </row>
    <row r="6812" spans="93:93" x14ac:dyDescent="0.3">
      <c r="CO6812" s="15"/>
    </row>
    <row r="6813" spans="93:93" x14ac:dyDescent="0.3">
      <c r="CO6813" s="15"/>
    </row>
    <row r="6814" spans="93:93" x14ac:dyDescent="0.3">
      <c r="CO6814" s="15"/>
    </row>
    <row r="6815" spans="93:93" x14ac:dyDescent="0.3">
      <c r="CO6815" s="15"/>
    </row>
    <row r="6816" spans="93:93" x14ac:dyDescent="0.3">
      <c r="CO6816" s="15"/>
    </row>
    <row r="6817" spans="93:93" x14ac:dyDescent="0.3">
      <c r="CO6817" s="15"/>
    </row>
    <row r="6818" spans="93:93" x14ac:dyDescent="0.3">
      <c r="CO6818" s="15"/>
    </row>
    <row r="6819" spans="93:93" x14ac:dyDescent="0.3">
      <c r="CO6819" s="15"/>
    </row>
    <row r="6820" spans="93:93" x14ac:dyDescent="0.3">
      <c r="CO6820" s="15"/>
    </row>
    <row r="6821" spans="93:93" x14ac:dyDescent="0.3">
      <c r="CO6821" s="15"/>
    </row>
    <row r="6822" spans="93:93" x14ac:dyDescent="0.3">
      <c r="CO6822" s="15"/>
    </row>
    <row r="6823" spans="93:93" x14ac:dyDescent="0.3">
      <c r="CO6823" s="15"/>
    </row>
    <row r="6824" spans="93:93" x14ac:dyDescent="0.3">
      <c r="CO6824" s="15"/>
    </row>
    <row r="6825" spans="93:93" x14ac:dyDescent="0.3">
      <c r="CO6825" s="15"/>
    </row>
    <row r="6826" spans="93:93" x14ac:dyDescent="0.3">
      <c r="CO6826" s="15"/>
    </row>
    <row r="6827" spans="93:93" x14ac:dyDescent="0.3">
      <c r="CO6827" s="15"/>
    </row>
    <row r="6828" spans="93:93" x14ac:dyDescent="0.3">
      <c r="CO6828" s="15"/>
    </row>
    <row r="6829" spans="93:93" x14ac:dyDescent="0.3">
      <c r="CO6829" s="15"/>
    </row>
    <row r="6830" spans="93:93" x14ac:dyDescent="0.3">
      <c r="CO6830" s="15"/>
    </row>
    <row r="6831" spans="93:93" x14ac:dyDescent="0.3">
      <c r="CO6831" s="15"/>
    </row>
    <row r="6832" spans="93:93" x14ac:dyDescent="0.3">
      <c r="CO6832" s="15"/>
    </row>
    <row r="6833" spans="93:93" x14ac:dyDescent="0.3">
      <c r="CO6833" s="15"/>
    </row>
    <row r="6834" spans="93:93" x14ac:dyDescent="0.3">
      <c r="CO6834" s="15"/>
    </row>
    <row r="6835" spans="93:93" x14ac:dyDescent="0.3">
      <c r="CO6835" s="15"/>
    </row>
    <row r="6836" spans="93:93" x14ac:dyDescent="0.3">
      <c r="CO6836" s="15"/>
    </row>
    <row r="6837" spans="93:93" x14ac:dyDescent="0.3">
      <c r="CO6837" s="15"/>
    </row>
    <row r="6838" spans="93:93" x14ac:dyDescent="0.3">
      <c r="CO6838" s="15"/>
    </row>
    <row r="6839" spans="93:93" x14ac:dyDescent="0.3">
      <c r="CO6839" s="15"/>
    </row>
    <row r="6840" spans="93:93" x14ac:dyDescent="0.3">
      <c r="CO6840" s="15"/>
    </row>
    <row r="6841" spans="93:93" x14ac:dyDescent="0.3">
      <c r="CO6841" s="15"/>
    </row>
    <row r="6842" spans="93:93" x14ac:dyDescent="0.3">
      <c r="CO6842" s="15"/>
    </row>
    <row r="6843" spans="93:93" x14ac:dyDescent="0.3">
      <c r="CO6843" s="15"/>
    </row>
    <row r="6844" spans="93:93" x14ac:dyDescent="0.3">
      <c r="CO6844" s="15"/>
    </row>
    <row r="6845" spans="93:93" x14ac:dyDescent="0.3">
      <c r="CO6845" s="15"/>
    </row>
    <row r="6846" spans="93:93" x14ac:dyDescent="0.3">
      <c r="CO6846" s="15"/>
    </row>
    <row r="6847" spans="93:93" x14ac:dyDescent="0.3">
      <c r="CO6847" s="15"/>
    </row>
    <row r="6848" spans="93:93" x14ac:dyDescent="0.3">
      <c r="CO6848" s="15"/>
    </row>
    <row r="6849" spans="93:93" x14ac:dyDescent="0.3">
      <c r="CO6849" s="15"/>
    </row>
    <row r="6850" spans="93:93" x14ac:dyDescent="0.3">
      <c r="CO6850" s="15"/>
    </row>
    <row r="6851" spans="93:93" x14ac:dyDescent="0.3">
      <c r="CO6851" s="15"/>
    </row>
    <row r="6852" spans="93:93" x14ac:dyDescent="0.3">
      <c r="CO6852" s="15"/>
    </row>
    <row r="6853" spans="93:93" x14ac:dyDescent="0.3">
      <c r="CO6853" s="15"/>
    </row>
    <row r="6854" spans="93:93" x14ac:dyDescent="0.3">
      <c r="CO6854" s="15"/>
    </row>
    <row r="6855" spans="93:93" x14ac:dyDescent="0.3">
      <c r="CO6855" s="15"/>
    </row>
    <row r="6856" spans="93:93" x14ac:dyDescent="0.3">
      <c r="CO6856" s="15"/>
    </row>
    <row r="6857" spans="93:93" x14ac:dyDescent="0.3">
      <c r="CO6857" s="15"/>
    </row>
    <row r="6858" spans="93:93" x14ac:dyDescent="0.3">
      <c r="CO6858" s="15"/>
    </row>
    <row r="6859" spans="93:93" x14ac:dyDescent="0.3">
      <c r="CO6859" s="15"/>
    </row>
    <row r="6860" spans="93:93" x14ac:dyDescent="0.3">
      <c r="CO6860" s="15"/>
    </row>
    <row r="6861" spans="93:93" x14ac:dyDescent="0.3">
      <c r="CO6861" s="15"/>
    </row>
    <row r="6862" spans="93:93" x14ac:dyDescent="0.3">
      <c r="CO6862" s="15"/>
    </row>
    <row r="6863" spans="93:93" x14ac:dyDescent="0.3">
      <c r="CO6863" s="15"/>
    </row>
    <row r="6864" spans="93:93" x14ac:dyDescent="0.3">
      <c r="CO6864" s="15"/>
    </row>
    <row r="6865" spans="93:93" x14ac:dyDescent="0.3">
      <c r="CO6865" s="15"/>
    </row>
    <row r="6866" spans="93:93" x14ac:dyDescent="0.3">
      <c r="CO6866" s="15"/>
    </row>
    <row r="6867" spans="93:93" x14ac:dyDescent="0.3">
      <c r="CO6867" s="15"/>
    </row>
    <row r="6868" spans="93:93" x14ac:dyDescent="0.3">
      <c r="CO6868" s="15"/>
    </row>
    <row r="6869" spans="93:93" x14ac:dyDescent="0.3">
      <c r="CO6869" s="15"/>
    </row>
    <row r="6870" spans="93:93" x14ac:dyDescent="0.3">
      <c r="CO6870" s="15"/>
    </row>
    <row r="6871" spans="93:93" x14ac:dyDescent="0.3">
      <c r="CO6871" s="15"/>
    </row>
    <row r="6872" spans="93:93" x14ac:dyDescent="0.3">
      <c r="CO6872" s="15"/>
    </row>
    <row r="6873" spans="93:93" x14ac:dyDescent="0.3">
      <c r="CO6873" s="15"/>
    </row>
    <row r="6874" spans="93:93" x14ac:dyDescent="0.3">
      <c r="CO6874" s="15"/>
    </row>
    <row r="6875" spans="93:93" x14ac:dyDescent="0.3">
      <c r="CO6875" s="15"/>
    </row>
    <row r="6876" spans="93:93" x14ac:dyDescent="0.3">
      <c r="CO6876" s="15"/>
    </row>
    <row r="6877" spans="93:93" x14ac:dyDescent="0.3">
      <c r="CO6877" s="15"/>
    </row>
    <row r="6878" spans="93:93" x14ac:dyDescent="0.3">
      <c r="CO6878" s="15"/>
    </row>
    <row r="6879" spans="93:93" x14ac:dyDescent="0.3">
      <c r="CO6879" s="15"/>
    </row>
    <row r="6880" spans="93:93" x14ac:dyDescent="0.3">
      <c r="CO6880" s="15"/>
    </row>
    <row r="6881" spans="93:93" x14ac:dyDescent="0.3">
      <c r="CO6881" s="15"/>
    </row>
    <row r="6882" spans="93:93" x14ac:dyDescent="0.3">
      <c r="CO6882" s="15"/>
    </row>
    <row r="6883" spans="93:93" x14ac:dyDescent="0.3">
      <c r="CO6883" s="15"/>
    </row>
    <row r="6884" spans="93:93" x14ac:dyDescent="0.3">
      <c r="CO6884" s="15"/>
    </row>
    <row r="6885" spans="93:93" x14ac:dyDescent="0.3">
      <c r="CO6885" s="15"/>
    </row>
    <row r="6886" spans="93:93" x14ac:dyDescent="0.3">
      <c r="CO6886" s="15"/>
    </row>
    <row r="6887" spans="93:93" x14ac:dyDescent="0.3">
      <c r="CO6887" s="15"/>
    </row>
    <row r="6888" spans="93:93" x14ac:dyDescent="0.3">
      <c r="CO6888" s="15"/>
    </row>
    <row r="6889" spans="93:93" x14ac:dyDescent="0.3">
      <c r="CO6889" s="15"/>
    </row>
    <row r="6890" spans="93:93" x14ac:dyDescent="0.3">
      <c r="CO6890" s="15"/>
    </row>
    <row r="6891" spans="93:93" x14ac:dyDescent="0.3">
      <c r="CO6891" s="15"/>
    </row>
    <row r="6892" spans="93:93" x14ac:dyDescent="0.3">
      <c r="CO6892" s="15"/>
    </row>
    <row r="6893" spans="93:93" x14ac:dyDescent="0.3">
      <c r="CO6893" s="15"/>
    </row>
    <row r="6894" spans="93:93" x14ac:dyDescent="0.3">
      <c r="CO6894" s="15"/>
    </row>
    <row r="6895" spans="93:93" x14ac:dyDescent="0.3">
      <c r="CO6895" s="15"/>
    </row>
    <row r="6896" spans="93:93" x14ac:dyDescent="0.3">
      <c r="CO6896" s="15"/>
    </row>
    <row r="6897" spans="93:93" x14ac:dyDescent="0.3">
      <c r="CO6897" s="15"/>
    </row>
    <row r="6898" spans="93:93" x14ac:dyDescent="0.3">
      <c r="CO6898" s="15"/>
    </row>
    <row r="6899" spans="93:93" x14ac:dyDescent="0.3">
      <c r="CO6899" s="15"/>
    </row>
    <row r="6900" spans="93:93" x14ac:dyDescent="0.3">
      <c r="CO6900" s="15"/>
    </row>
    <row r="6901" spans="93:93" x14ac:dyDescent="0.3">
      <c r="CO6901" s="15"/>
    </row>
    <row r="6902" spans="93:93" x14ac:dyDescent="0.3">
      <c r="CO6902" s="15"/>
    </row>
    <row r="6903" spans="93:93" x14ac:dyDescent="0.3">
      <c r="CO6903" s="15"/>
    </row>
    <row r="6904" spans="93:93" x14ac:dyDescent="0.3">
      <c r="CO6904" s="15"/>
    </row>
    <row r="6905" spans="93:93" x14ac:dyDescent="0.3">
      <c r="CO6905" s="15"/>
    </row>
    <row r="6906" spans="93:93" x14ac:dyDescent="0.3">
      <c r="CO6906" s="15"/>
    </row>
    <row r="6907" spans="93:93" x14ac:dyDescent="0.3">
      <c r="CO6907" s="15"/>
    </row>
    <row r="6908" spans="93:93" x14ac:dyDescent="0.3">
      <c r="CO6908" s="15"/>
    </row>
    <row r="6909" spans="93:93" x14ac:dyDescent="0.3">
      <c r="CO6909" s="15"/>
    </row>
    <row r="6910" spans="93:93" x14ac:dyDescent="0.3">
      <c r="CO6910" s="15"/>
    </row>
    <row r="6911" spans="93:93" x14ac:dyDescent="0.3">
      <c r="CO6911" s="15"/>
    </row>
    <row r="6912" spans="93:93" x14ac:dyDescent="0.3">
      <c r="CO6912" s="15"/>
    </row>
    <row r="6913" spans="93:93" x14ac:dyDescent="0.3">
      <c r="CO6913" s="15"/>
    </row>
    <row r="6914" spans="93:93" x14ac:dyDescent="0.3">
      <c r="CO6914" s="15"/>
    </row>
    <row r="6915" spans="93:93" x14ac:dyDescent="0.3">
      <c r="CO6915" s="15"/>
    </row>
    <row r="6916" spans="93:93" x14ac:dyDescent="0.3">
      <c r="CO6916" s="15"/>
    </row>
    <row r="6917" spans="93:93" x14ac:dyDescent="0.3">
      <c r="CO6917" s="15"/>
    </row>
    <row r="6918" spans="93:93" x14ac:dyDescent="0.3">
      <c r="CO6918" s="15"/>
    </row>
    <row r="6919" spans="93:93" x14ac:dyDescent="0.3">
      <c r="CO6919" s="15"/>
    </row>
    <row r="6920" spans="93:93" x14ac:dyDescent="0.3">
      <c r="CO6920" s="15"/>
    </row>
    <row r="6921" spans="93:93" x14ac:dyDescent="0.3">
      <c r="CO6921" s="15"/>
    </row>
    <row r="6922" spans="93:93" x14ac:dyDescent="0.3">
      <c r="CO6922" s="15"/>
    </row>
    <row r="6923" spans="93:93" x14ac:dyDescent="0.3">
      <c r="CO6923" s="15"/>
    </row>
    <row r="6924" spans="93:93" x14ac:dyDescent="0.3">
      <c r="CO6924" s="15"/>
    </row>
    <row r="6925" spans="93:93" x14ac:dyDescent="0.3">
      <c r="CO6925" s="15"/>
    </row>
    <row r="6926" spans="93:93" x14ac:dyDescent="0.3">
      <c r="CO6926" s="15"/>
    </row>
    <row r="6927" spans="93:93" x14ac:dyDescent="0.3">
      <c r="CO6927" s="15"/>
    </row>
    <row r="6928" spans="93:93" x14ac:dyDescent="0.3">
      <c r="CO6928" s="15"/>
    </row>
    <row r="6929" spans="93:93" x14ac:dyDescent="0.3">
      <c r="CO6929" s="15"/>
    </row>
    <row r="6930" spans="93:93" x14ac:dyDescent="0.3">
      <c r="CO6930" s="15"/>
    </row>
    <row r="6931" spans="93:93" x14ac:dyDescent="0.3">
      <c r="CO6931" s="15"/>
    </row>
    <row r="6932" spans="93:93" x14ac:dyDescent="0.3">
      <c r="CO6932" s="15"/>
    </row>
    <row r="6933" spans="93:93" x14ac:dyDescent="0.3">
      <c r="CO6933" s="15"/>
    </row>
    <row r="6934" spans="93:93" x14ac:dyDescent="0.3">
      <c r="CO6934" s="15"/>
    </row>
    <row r="6935" spans="93:93" x14ac:dyDescent="0.3">
      <c r="CO6935" s="15"/>
    </row>
    <row r="6936" spans="93:93" x14ac:dyDescent="0.3">
      <c r="CO6936" s="15"/>
    </row>
    <row r="6937" spans="93:93" x14ac:dyDescent="0.3">
      <c r="CO6937" s="15"/>
    </row>
    <row r="6938" spans="93:93" x14ac:dyDescent="0.3">
      <c r="CO6938" s="15"/>
    </row>
    <row r="6939" spans="93:93" x14ac:dyDescent="0.3">
      <c r="CO6939" s="15"/>
    </row>
    <row r="6940" spans="93:93" x14ac:dyDescent="0.3">
      <c r="CO6940" s="15"/>
    </row>
    <row r="6941" spans="93:93" x14ac:dyDescent="0.3">
      <c r="CO6941" s="15"/>
    </row>
    <row r="6942" spans="93:93" x14ac:dyDescent="0.3">
      <c r="CO6942" s="15"/>
    </row>
    <row r="6943" spans="93:93" x14ac:dyDescent="0.3">
      <c r="CO6943" s="15"/>
    </row>
    <row r="6944" spans="93:93" x14ac:dyDescent="0.3">
      <c r="CO6944" s="15"/>
    </row>
    <row r="6945" spans="93:93" x14ac:dyDescent="0.3">
      <c r="CO6945" s="15"/>
    </row>
    <row r="6946" spans="93:93" x14ac:dyDescent="0.3">
      <c r="CO6946" s="15"/>
    </row>
    <row r="6947" spans="93:93" x14ac:dyDescent="0.3">
      <c r="CO6947" s="15"/>
    </row>
    <row r="6948" spans="93:93" x14ac:dyDescent="0.3">
      <c r="CO6948" s="15"/>
    </row>
    <row r="6949" spans="93:93" x14ac:dyDescent="0.3">
      <c r="CO6949" s="15"/>
    </row>
    <row r="6950" spans="93:93" x14ac:dyDescent="0.3">
      <c r="CO6950" s="15"/>
    </row>
    <row r="6951" spans="93:93" x14ac:dyDescent="0.3">
      <c r="CO6951" s="15"/>
    </row>
    <row r="6952" spans="93:93" x14ac:dyDescent="0.3">
      <c r="CO6952" s="15"/>
    </row>
    <row r="6953" spans="93:93" x14ac:dyDescent="0.3">
      <c r="CO6953" s="15"/>
    </row>
    <row r="6954" spans="93:93" x14ac:dyDescent="0.3">
      <c r="CO6954" s="15"/>
    </row>
    <row r="6955" spans="93:93" x14ac:dyDescent="0.3">
      <c r="CO6955" s="15"/>
    </row>
    <row r="6956" spans="93:93" x14ac:dyDescent="0.3">
      <c r="CO6956" s="15"/>
    </row>
    <row r="6957" spans="93:93" x14ac:dyDescent="0.3">
      <c r="CO6957" s="15"/>
    </row>
    <row r="6958" spans="93:93" x14ac:dyDescent="0.3">
      <c r="CO6958" s="15"/>
    </row>
    <row r="6959" spans="93:93" x14ac:dyDescent="0.3">
      <c r="CO6959" s="15"/>
    </row>
    <row r="6960" spans="93:93" x14ac:dyDescent="0.3">
      <c r="CO6960" s="15"/>
    </row>
    <row r="6961" spans="93:93" x14ac:dyDescent="0.3">
      <c r="CO6961" s="15"/>
    </row>
    <row r="6962" spans="93:93" x14ac:dyDescent="0.3">
      <c r="CO6962" s="15"/>
    </row>
    <row r="6963" spans="93:93" x14ac:dyDescent="0.3">
      <c r="CO6963" s="15"/>
    </row>
    <row r="6964" spans="93:93" x14ac:dyDescent="0.3">
      <c r="CO6964" s="15"/>
    </row>
    <row r="6965" spans="93:93" x14ac:dyDescent="0.3">
      <c r="CO6965" s="15"/>
    </row>
    <row r="6966" spans="93:93" x14ac:dyDescent="0.3">
      <c r="CO6966" s="15"/>
    </row>
    <row r="6967" spans="93:93" x14ac:dyDescent="0.3">
      <c r="CO6967" s="15"/>
    </row>
    <row r="6968" spans="93:93" x14ac:dyDescent="0.3">
      <c r="CO6968" s="15"/>
    </row>
    <row r="6969" spans="93:93" x14ac:dyDescent="0.3">
      <c r="CO6969" s="15"/>
    </row>
    <row r="6970" spans="93:93" x14ac:dyDescent="0.3">
      <c r="CO6970" s="15"/>
    </row>
    <row r="6971" spans="93:93" x14ac:dyDescent="0.3">
      <c r="CO6971" s="15"/>
    </row>
    <row r="6972" spans="93:93" x14ac:dyDescent="0.3">
      <c r="CO6972" s="15"/>
    </row>
    <row r="6973" spans="93:93" x14ac:dyDescent="0.3">
      <c r="CO6973" s="15"/>
    </row>
    <row r="6974" spans="93:93" x14ac:dyDescent="0.3">
      <c r="CO6974" s="15"/>
    </row>
    <row r="6975" spans="93:93" x14ac:dyDescent="0.3">
      <c r="CO6975" s="15"/>
    </row>
    <row r="6976" spans="93:93" x14ac:dyDescent="0.3">
      <c r="CO6976" s="15"/>
    </row>
    <row r="6977" spans="93:93" x14ac:dyDescent="0.3">
      <c r="CO6977" s="15"/>
    </row>
    <row r="6978" spans="93:93" x14ac:dyDescent="0.3">
      <c r="CO6978" s="15"/>
    </row>
    <row r="6979" spans="93:93" x14ac:dyDescent="0.3">
      <c r="CO6979" s="15"/>
    </row>
    <row r="6980" spans="93:93" x14ac:dyDescent="0.3">
      <c r="CO6980" s="15"/>
    </row>
    <row r="6981" spans="93:93" x14ac:dyDescent="0.3">
      <c r="CO6981" s="15"/>
    </row>
    <row r="6982" spans="93:93" x14ac:dyDescent="0.3">
      <c r="CO6982" s="15"/>
    </row>
    <row r="6983" spans="93:93" x14ac:dyDescent="0.3">
      <c r="CO6983" s="15"/>
    </row>
    <row r="6984" spans="93:93" x14ac:dyDescent="0.3">
      <c r="CO6984" s="15"/>
    </row>
    <row r="6985" spans="93:93" x14ac:dyDescent="0.3">
      <c r="CO6985" s="15"/>
    </row>
    <row r="6986" spans="93:93" x14ac:dyDescent="0.3">
      <c r="CO6986" s="15"/>
    </row>
    <row r="6987" spans="93:93" x14ac:dyDescent="0.3">
      <c r="CO6987" s="15"/>
    </row>
    <row r="6988" spans="93:93" x14ac:dyDescent="0.3">
      <c r="CO6988" s="15"/>
    </row>
    <row r="6989" spans="93:93" x14ac:dyDescent="0.3">
      <c r="CO6989" s="15"/>
    </row>
    <row r="6990" spans="93:93" x14ac:dyDescent="0.3">
      <c r="CO6990" s="15"/>
    </row>
    <row r="6991" spans="93:93" x14ac:dyDescent="0.3">
      <c r="CO6991" s="15"/>
    </row>
    <row r="6992" spans="93:93" x14ac:dyDescent="0.3">
      <c r="CO6992" s="15"/>
    </row>
    <row r="6993" spans="93:93" x14ac:dyDescent="0.3">
      <c r="CO6993" s="15"/>
    </row>
    <row r="6994" spans="93:93" x14ac:dyDescent="0.3">
      <c r="CO6994" s="15"/>
    </row>
    <row r="6995" spans="93:93" x14ac:dyDescent="0.3">
      <c r="CO6995" s="15"/>
    </row>
    <row r="6996" spans="93:93" x14ac:dyDescent="0.3">
      <c r="CO6996" s="15"/>
    </row>
    <row r="6997" spans="93:93" x14ac:dyDescent="0.3">
      <c r="CO6997" s="15"/>
    </row>
    <row r="6998" spans="93:93" x14ac:dyDescent="0.3">
      <c r="CO6998" s="15"/>
    </row>
    <row r="6999" spans="93:93" x14ac:dyDescent="0.3">
      <c r="CO6999" s="15"/>
    </row>
    <row r="7000" spans="93:93" x14ac:dyDescent="0.3">
      <c r="CO7000" s="15"/>
    </row>
    <row r="7001" spans="93:93" x14ac:dyDescent="0.3">
      <c r="CO7001" s="15"/>
    </row>
    <row r="7002" spans="93:93" x14ac:dyDescent="0.3">
      <c r="CO7002" s="15"/>
    </row>
    <row r="7003" spans="93:93" x14ac:dyDescent="0.3">
      <c r="CO7003" s="15"/>
    </row>
    <row r="7004" spans="93:93" x14ac:dyDescent="0.3">
      <c r="CO7004" s="15"/>
    </row>
    <row r="7005" spans="93:93" x14ac:dyDescent="0.3">
      <c r="CO7005" s="15"/>
    </row>
    <row r="7006" spans="93:93" x14ac:dyDescent="0.3">
      <c r="CO7006" s="15"/>
    </row>
    <row r="7007" spans="93:93" x14ac:dyDescent="0.3">
      <c r="CO7007" s="15"/>
    </row>
    <row r="7008" spans="93:93" x14ac:dyDescent="0.3">
      <c r="CO7008" s="15"/>
    </row>
    <row r="7009" spans="93:93" x14ac:dyDescent="0.3">
      <c r="CO7009" s="15"/>
    </row>
    <row r="7010" spans="93:93" x14ac:dyDescent="0.3">
      <c r="CO7010" s="15"/>
    </row>
    <row r="7011" spans="93:93" x14ac:dyDescent="0.3">
      <c r="CO7011" s="15"/>
    </row>
    <row r="7012" spans="93:93" x14ac:dyDescent="0.3">
      <c r="CO7012" s="15"/>
    </row>
    <row r="7013" spans="93:93" x14ac:dyDescent="0.3">
      <c r="CO7013" s="15"/>
    </row>
    <row r="7014" spans="93:93" x14ac:dyDescent="0.3">
      <c r="CO7014" s="15"/>
    </row>
    <row r="7015" spans="93:93" x14ac:dyDescent="0.3">
      <c r="CO7015" s="15"/>
    </row>
    <row r="7016" spans="93:93" x14ac:dyDescent="0.3">
      <c r="CO7016" s="15"/>
    </row>
    <row r="7017" spans="93:93" x14ac:dyDescent="0.3">
      <c r="CO7017" s="15"/>
    </row>
    <row r="7018" spans="93:93" x14ac:dyDescent="0.3">
      <c r="CO7018" s="15"/>
    </row>
    <row r="7019" spans="93:93" x14ac:dyDescent="0.3">
      <c r="CO7019" s="15"/>
    </row>
    <row r="7020" spans="93:93" x14ac:dyDescent="0.3">
      <c r="CO7020" s="15"/>
    </row>
    <row r="7021" spans="93:93" x14ac:dyDescent="0.3">
      <c r="CO7021" s="15"/>
    </row>
    <row r="7022" spans="93:93" x14ac:dyDescent="0.3">
      <c r="CO7022" s="15"/>
    </row>
    <row r="7023" spans="93:93" x14ac:dyDescent="0.3">
      <c r="CO7023" s="15"/>
    </row>
    <row r="7024" spans="93:93" x14ac:dyDescent="0.3">
      <c r="CO7024" s="15"/>
    </row>
    <row r="7025" spans="93:93" x14ac:dyDescent="0.3">
      <c r="CO7025" s="15"/>
    </row>
    <row r="7026" spans="93:93" x14ac:dyDescent="0.3">
      <c r="CO7026" s="15"/>
    </row>
    <row r="7027" spans="93:93" x14ac:dyDescent="0.3">
      <c r="CO7027" s="15"/>
    </row>
    <row r="7028" spans="93:93" x14ac:dyDescent="0.3">
      <c r="CO7028" s="15"/>
    </row>
    <row r="7029" spans="93:93" x14ac:dyDescent="0.3">
      <c r="CO7029" s="15"/>
    </row>
    <row r="7030" spans="93:93" x14ac:dyDescent="0.3">
      <c r="CO7030" s="15"/>
    </row>
    <row r="7031" spans="93:93" x14ac:dyDescent="0.3">
      <c r="CO7031" s="15"/>
    </row>
    <row r="7032" spans="93:93" x14ac:dyDescent="0.3">
      <c r="CO7032" s="15"/>
    </row>
    <row r="7033" spans="93:93" x14ac:dyDescent="0.3">
      <c r="CO7033" s="15"/>
    </row>
    <row r="7034" spans="93:93" x14ac:dyDescent="0.3">
      <c r="CO7034" s="15"/>
    </row>
    <row r="7035" spans="93:93" x14ac:dyDescent="0.3">
      <c r="CO7035" s="15"/>
    </row>
    <row r="7036" spans="93:93" x14ac:dyDescent="0.3">
      <c r="CO7036" s="15"/>
    </row>
    <row r="7037" spans="93:93" x14ac:dyDescent="0.3">
      <c r="CO7037" s="15"/>
    </row>
    <row r="7038" spans="93:93" x14ac:dyDescent="0.3">
      <c r="CO7038" s="15"/>
    </row>
    <row r="7039" spans="93:93" x14ac:dyDescent="0.3">
      <c r="CO7039" s="15"/>
    </row>
    <row r="7040" spans="93:93" x14ac:dyDescent="0.3">
      <c r="CO7040" s="15"/>
    </row>
    <row r="7041" spans="93:93" x14ac:dyDescent="0.3">
      <c r="CO7041" s="15"/>
    </row>
    <row r="7042" spans="93:93" x14ac:dyDescent="0.3">
      <c r="CO7042" s="15"/>
    </row>
    <row r="7043" spans="93:93" x14ac:dyDescent="0.3">
      <c r="CO7043" s="15"/>
    </row>
    <row r="7044" spans="93:93" x14ac:dyDescent="0.3">
      <c r="CO7044" s="15"/>
    </row>
    <row r="7045" spans="93:93" x14ac:dyDescent="0.3">
      <c r="CO7045" s="15"/>
    </row>
    <row r="7046" spans="93:93" x14ac:dyDescent="0.3">
      <c r="CO7046" s="15"/>
    </row>
    <row r="7047" spans="93:93" x14ac:dyDescent="0.3">
      <c r="CO7047" s="15"/>
    </row>
    <row r="7048" spans="93:93" x14ac:dyDescent="0.3">
      <c r="CO7048" s="15"/>
    </row>
    <row r="7049" spans="93:93" x14ac:dyDescent="0.3">
      <c r="CO7049" s="15"/>
    </row>
    <row r="7050" spans="93:93" x14ac:dyDescent="0.3">
      <c r="CO7050" s="15"/>
    </row>
    <row r="7051" spans="93:93" x14ac:dyDescent="0.3">
      <c r="CO7051" s="15"/>
    </row>
    <row r="7052" spans="93:93" x14ac:dyDescent="0.3">
      <c r="CO7052" s="15"/>
    </row>
    <row r="7053" spans="93:93" x14ac:dyDescent="0.3">
      <c r="CO7053" s="15"/>
    </row>
    <row r="7054" spans="93:93" x14ac:dyDescent="0.3">
      <c r="CO7054" s="15"/>
    </row>
    <row r="7055" spans="93:93" x14ac:dyDescent="0.3">
      <c r="CO7055" s="15"/>
    </row>
    <row r="7056" spans="93:93" x14ac:dyDescent="0.3">
      <c r="CO7056" s="15"/>
    </row>
    <row r="7057" spans="93:93" x14ac:dyDescent="0.3">
      <c r="CO7057" s="15"/>
    </row>
    <row r="7058" spans="93:93" x14ac:dyDescent="0.3">
      <c r="CO7058" s="15"/>
    </row>
    <row r="7059" spans="93:93" x14ac:dyDescent="0.3">
      <c r="CO7059" s="15"/>
    </row>
    <row r="7060" spans="93:93" x14ac:dyDescent="0.3">
      <c r="CO7060" s="15"/>
    </row>
    <row r="7061" spans="93:93" x14ac:dyDescent="0.3">
      <c r="CO7061" s="15"/>
    </row>
    <row r="7062" spans="93:93" x14ac:dyDescent="0.3">
      <c r="CO7062" s="15"/>
    </row>
    <row r="7063" spans="93:93" x14ac:dyDescent="0.3">
      <c r="CO7063" s="15"/>
    </row>
    <row r="7064" spans="93:93" x14ac:dyDescent="0.3">
      <c r="CO7064" s="15"/>
    </row>
    <row r="7065" spans="93:93" x14ac:dyDescent="0.3">
      <c r="CO7065" s="15"/>
    </row>
    <row r="7066" spans="93:93" x14ac:dyDescent="0.3">
      <c r="CO7066" s="15"/>
    </row>
    <row r="7067" spans="93:93" x14ac:dyDescent="0.3">
      <c r="CO7067" s="15"/>
    </row>
    <row r="7068" spans="93:93" x14ac:dyDescent="0.3">
      <c r="CO7068" s="15"/>
    </row>
    <row r="7069" spans="93:93" x14ac:dyDescent="0.3">
      <c r="CO7069" s="15"/>
    </row>
    <row r="7070" spans="93:93" x14ac:dyDescent="0.3">
      <c r="CO7070" s="15"/>
    </row>
    <row r="7071" spans="93:93" x14ac:dyDescent="0.3">
      <c r="CO7071" s="15"/>
    </row>
    <row r="7072" spans="93:93" x14ac:dyDescent="0.3">
      <c r="CO7072" s="15"/>
    </row>
    <row r="7073" spans="93:93" x14ac:dyDescent="0.3">
      <c r="CO7073" s="15"/>
    </row>
    <row r="7074" spans="93:93" x14ac:dyDescent="0.3">
      <c r="CO7074" s="15"/>
    </row>
    <row r="7075" spans="93:93" x14ac:dyDescent="0.3">
      <c r="CO7075" s="15"/>
    </row>
    <row r="7076" spans="93:93" x14ac:dyDescent="0.3">
      <c r="CO7076" s="15"/>
    </row>
    <row r="7077" spans="93:93" x14ac:dyDescent="0.3">
      <c r="CO7077" s="15"/>
    </row>
    <row r="7078" spans="93:93" x14ac:dyDescent="0.3">
      <c r="CO7078" s="15"/>
    </row>
    <row r="7079" spans="93:93" x14ac:dyDescent="0.3">
      <c r="CO7079" s="15"/>
    </row>
    <row r="7080" spans="93:93" x14ac:dyDescent="0.3">
      <c r="CO7080" s="15"/>
    </row>
    <row r="7081" spans="93:93" x14ac:dyDescent="0.3">
      <c r="CO7081" s="15"/>
    </row>
    <row r="7082" spans="93:93" x14ac:dyDescent="0.3">
      <c r="CO7082" s="15"/>
    </row>
    <row r="7083" spans="93:93" x14ac:dyDescent="0.3">
      <c r="CO7083" s="15"/>
    </row>
    <row r="7084" spans="93:93" x14ac:dyDescent="0.3">
      <c r="CO7084" s="15"/>
    </row>
    <row r="7085" spans="93:93" x14ac:dyDescent="0.3">
      <c r="CO7085" s="15"/>
    </row>
    <row r="7086" spans="93:93" x14ac:dyDescent="0.3">
      <c r="CO7086" s="15"/>
    </row>
    <row r="7087" spans="93:93" x14ac:dyDescent="0.3">
      <c r="CO7087" s="15"/>
    </row>
    <row r="7088" spans="93:93" x14ac:dyDescent="0.3">
      <c r="CO7088" s="15"/>
    </row>
    <row r="7089" spans="93:93" x14ac:dyDescent="0.3">
      <c r="CO7089" s="15"/>
    </row>
    <row r="7090" spans="93:93" x14ac:dyDescent="0.3">
      <c r="CO7090" s="15"/>
    </row>
    <row r="7091" spans="93:93" x14ac:dyDescent="0.3">
      <c r="CO7091" s="15"/>
    </row>
    <row r="7092" spans="93:93" x14ac:dyDescent="0.3">
      <c r="CO7092" s="15"/>
    </row>
    <row r="7093" spans="93:93" x14ac:dyDescent="0.3">
      <c r="CO7093" s="15"/>
    </row>
    <row r="7094" spans="93:93" x14ac:dyDescent="0.3">
      <c r="CO7094" s="15"/>
    </row>
    <row r="7095" spans="93:93" x14ac:dyDescent="0.3">
      <c r="CO7095" s="15"/>
    </row>
    <row r="7096" spans="93:93" x14ac:dyDescent="0.3">
      <c r="CO7096" s="15"/>
    </row>
    <row r="7097" spans="93:93" x14ac:dyDescent="0.3">
      <c r="CO7097" s="15"/>
    </row>
    <row r="7098" spans="93:93" x14ac:dyDescent="0.3">
      <c r="CO7098" s="15"/>
    </row>
    <row r="7099" spans="93:93" x14ac:dyDescent="0.3">
      <c r="CO7099" s="15"/>
    </row>
    <row r="7100" spans="93:93" x14ac:dyDescent="0.3">
      <c r="CO7100" s="15"/>
    </row>
    <row r="7101" spans="93:93" x14ac:dyDescent="0.3">
      <c r="CO7101" s="15"/>
    </row>
    <row r="7102" spans="93:93" x14ac:dyDescent="0.3">
      <c r="CO7102" s="15"/>
    </row>
    <row r="7103" spans="93:93" x14ac:dyDescent="0.3">
      <c r="CO7103" s="15"/>
    </row>
    <row r="7104" spans="93:93" x14ac:dyDescent="0.3">
      <c r="CO7104" s="15"/>
    </row>
    <row r="7105" spans="93:93" x14ac:dyDescent="0.3">
      <c r="CO7105" s="15"/>
    </row>
    <row r="7106" spans="93:93" x14ac:dyDescent="0.3">
      <c r="CO7106" s="15"/>
    </row>
    <row r="7107" spans="93:93" x14ac:dyDescent="0.3">
      <c r="CO7107" s="15"/>
    </row>
    <row r="7108" spans="93:93" x14ac:dyDescent="0.3">
      <c r="CO7108" s="15"/>
    </row>
    <row r="7109" spans="93:93" x14ac:dyDescent="0.3">
      <c r="CO7109" s="15"/>
    </row>
    <row r="7110" spans="93:93" x14ac:dyDescent="0.3">
      <c r="CO7110" s="15"/>
    </row>
    <row r="7111" spans="93:93" x14ac:dyDescent="0.3">
      <c r="CO7111" s="15"/>
    </row>
    <row r="7112" spans="93:93" x14ac:dyDescent="0.3">
      <c r="CO7112" s="15"/>
    </row>
    <row r="7113" spans="93:93" x14ac:dyDescent="0.3">
      <c r="CO7113" s="15"/>
    </row>
    <row r="7114" spans="93:93" x14ac:dyDescent="0.3">
      <c r="CO7114" s="15"/>
    </row>
    <row r="7115" spans="93:93" x14ac:dyDescent="0.3">
      <c r="CO7115" s="15"/>
    </row>
    <row r="7116" spans="93:93" x14ac:dyDescent="0.3">
      <c r="CO7116" s="15"/>
    </row>
    <row r="7117" spans="93:93" x14ac:dyDescent="0.3">
      <c r="CO7117" s="15"/>
    </row>
    <row r="7118" spans="93:93" x14ac:dyDescent="0.3">
      <c r="CO7118" s="15"/>
    </row>
    <row r="7119" spans="93:93" x14ac:dyDescent="0.3">
      <c r="CO7119" s="15"/>
    </row>
    <row r="7120" spans="93:93" x14ac:dyDescent="0.3">
      <c r="CO7120" s="15"/>
    </row>
    <row r="7121" spans="93:93" x14ac:dyDescent="0.3">
      <c r="CO7121" s="15"/>
    </row>
    <row r="7122" spans="93:93" x14ac:dyDescent="0.3">
      <c r="CO7122" s="15"/>
    </row>
    <row r="7123" spans="93:93" x14ac:dyDescent="0.3">
      <c r="CO7123" s="15"/>
    </row>
    <row r="7124" spans="93:93" x14ac:dyDescent="0.3">
      <c r="CO7124" s="15"/>
    </row>
    <row r="7125" spans="93:93" x14ac:dyDescent="0.3">
      <c r="CO7125" s="15"/>
    </row>
    <row r="7126" spans="93:93" x14ac:dyDescent="0.3">
      <c r="CO7126" s="15"/>
    </row>
    <row r="7127" spans="93:93" x14ac:dyDescent="0.3">
      <c r="CO7127" s="15"/>
    </row>
    <row r="7128" spans="93:93" x14ac:dyDescent="0.3">
      <c r="CO7128" s="15"/>
    </row>
    <row r="7129" spans="93:93" x14ac:dyDescent="0.3">
      <c r="CO7129" s="15"/>
    </row>
    <row r="7130" spans="93:93" x14ac:dyDescent="0.3">
      <c r="CO7130" s="15"/>
    </row>
    <row r="7131" spans="93:93" x14ac:dyDescent="0.3">
      <c r="CO7131" s="15"/>
    </row>
    <row r="7132" spans="93:93" x14ac:dyDescent="0.3">
      <c r="CO7132" s="15"/>
    </row>
    <row r="7133" spans="93:93" x14ac:dyDescent="0.3">
      <c r="CO7133" s="15"/>
    </row>
    <row r="7134" spans="93:93" x14ac:dyDescent="0.3">
      <c r="CO7134" s="15"/>
    </row>
    <row r="7135" spans="93:93" x14ac:dyDescent="0.3">
      <c r="CO7135" s="15"/>
    </row>
    <row r="7136" spans="93:93" x14ac:dyDescent="0.3">
      <c r="CO7136" s="15"/>
    </row>
    <row r="7137" spans="93:93" x14ac:dyDescent="0.3">
      <c r="CO7137" s="15"/>
    </row>
    <row r="7138" spans="93:93" x14ac:dyDescent="0.3">
      <c r="CO7138" s="15"/>
    </row>
    <row r="7139" spans="93:93" x14ac:dyDescent="0.3">
      <c r="CO7139" s="15"/>
    </row>
    <row r="7140" spans="93:93" x14ac:dyDescent="0.3">
      <c r="CO7140" s="15"/>
    </row>
    <row r="7141" spans="93:93" x14ac:dyDescent="0.3">
      <c r="CO7141" s="15"/>
    </row>
    <row r="7142" spans="93:93" x14ac:dyDescent="0.3">
      <c r="CO7142" s="15"/>
    </row>
    <row r="7143" spans="93:93" x14ac:dyDescent="0.3">
      <c r="CO7143" s="15"/>
    </row>
    <row r="7144" spans="93:93" x14ac:dyDescent="0.3">
      <c r="CO7144" s="15"/>
    </row>
    <row r="7145" spans="93:93" x14ac:dyDescent="0.3">
      <c r="CO7145" s="15"/>
    </row>
    <row r="7146" spans="93:93" x14ac:dyDescent="0.3">
      <c r="CO7146" s="15"/>
    </row>
    <row r="7147" spans="93:93" x14ac:dyDescent="0.3">
      <c r="CO7147" s="15"/>
    </row>
    <row r="7148" spans="93:93" x14ac:dyDescent="0.3">
      <c r="CO7148" s="15"/>
    </row>
    <row r="7149" spans="93:93" x14ac:dyDescent="0.3">
      <c r="CO7149" s="15"/>
    </row>
    <row r="7150" spans="93:93" x14ac:dyDescent="0.3">
      <c r="CO7150" s="15"/>
    </row>
    <row r="7151" spans="93:93" x14ac:dyDescent="0.3">
      <c r="CO7151" s="15"/>
    </row>
    <row r="7152" spans="93:93" x14ac:dyDescent="0.3">
      <c r="CO7152" s="15"/>
    </row>
    <row r="7153" spans="93:93" x14ac:dyDescent="0.3">
      <c r="CO7153" s="15"/>
    </row>
    <row r="7154" spans="93:93" x14ac:dyDescent="0.3">
      <c r="CO7154" s="15"/>
    </row>
    <row r="7155" spans="93:93" x14ac:dyDescent="0.3">
      <c r="CO7155" s="15"/>
    </row>
    <row r="7156" spans="93:93" x14ac:dyDescent="0.3">
      <c r="CO7156" s="15"/>
    </row>
    <row r="7157" spans="93:93" x14ac:dyDescent="0.3">
      <c r="CO7157" s="15"/>
    </row>
    <row r="7158" spans="93:93" x14ac:dyDescent="0.3">
      <c r="CO7158" s="15"/>
    </row>
    <row r="7159" spans="93:93" x14ac:dyDescent="0.3">
      <c r="CO7159" s="15"/>
    </row>
    <row r="7160" spans="93:93" x14ac:dyDescent="0.3">
      <c r="CO7160" s="15"/>
    </row>
    <row r="7161" spans="93:93" x14ac:dyDescent="0.3">
      <c r="CO7161" s="15"/>
    </row>
    <row r="7162" spans="93:93" x14ac:dyDescent="0.3">
      <c r="CO7162" s="15"/>
    </row>
    <row r="7163" spans="93:93" x14ac:dyDescent="0.3">
      <c r="CO7163" s="15"/>
    </row>
    <row r="7164" spans="93:93" x14ac:dyDescent="0.3">
      <c r="CO7164" s="15"/>
    </row>
    <row r="7165" spans="93:93" x14ac:dyDescent="0.3">
      <c r="CO7165" s="15"/>
    </row>
    <row r="7166" spans="93:93" x14ac:dyDescent="0.3">
      <c r="CO7166" s="15"/>
    </row>
    <row r="7167" spans="93:93" x14ac:dyDescent="0.3">
      <c r="CO7167" s="15"/>
    </row>
    <row r="7168" spans="93:93" x14ac:dyDescent="0.3">
      <c r="CO7168" s="15"/>
    </row>
    <row r="7169" spans="93:93" x14ac:dyDescent="0.3">
      <c r="CO7169" s="15"/>
    </row>
    <row r="7170" spans="93:93" x14ac:dyDescent="0.3">
      <c r="CO7170" s="15"/>
    </row>
    <row r="7171" spans="93:93" x14ac:dyDescent="0.3">
      <c r="CO7171" s="15"/>
    </row>
    <row r="7172" spans="93:93" x14ac:dyDescent="0.3">
      <c r="CO7172" s="15"/>
    </row>
    <row r="7173" spans="93:93" x14ac:dyDescent="0.3">
      <c r="CO7173" s="15"/>
    </row>
    <row r="7174" spans="93:93" x14ac:dyDescent="0.3">
      <c r="CO7174" s="15"/>
    </row>
    <row r="7175" spans="93:93" x14ac:dyDescent="0.3">
      <c r="CO7175" s="15"/>
    </row>
    <row r="7176" spans="93:93" x14ac:dyDescent="0.3">
      <c r="CO7176" s="15"/>
    </row>
    <row r="7177" spans="93:93" x14ac:dyDescent="0.3">
      <c r="CO7177" s="15"/>
    </row>
    <row r="7178" spans="93:93" x14ac:dyDescent="0.3">
      <c r="CO7178" s="15"/>
    </row>
    <row r="7179" spans="93:93" x14ac:dyDescent="0.3">
      <c r="CO7179" s="15"/>
    </row>
    <row r="7180" spans="93:93" x14ac:dyDescent="0.3">
      <c r="CO7180" s="15"/>
    </row>
    <row r="7181" spans="93:93" x14ac:dyDescent="0.3">
      <c r="CO7181" s="15"/>
    </row>
    <row r="7182" spans="93:93" x14ac:dyDescent="0.3">
      <c r="CO7182" s="15"/>
    </row>
    <row r="7183" spans="93:93" x14ac:dyDescent="0.3">
      <c r="CO7183" s="15"/>
    </row>
    <row r="7184" spans="93:93" x14ac:dyDescent="0.3">
      <c r="CO7184" s="15"/>
    </row>
    <row r="7185" spans="93:93" x14ac:dyDescent="0.3">
      <c r="CO7185" s="15"/>
    </row>
    <row r="7186" spans="93:93" x14ac:dyDescent="0.3">
      <c r="CO7186" s="15"/>
    </row>
    <row r="7187" spans="93:93" x14ac:dyDescent="0.3">
      <c r="CO7187" s="15"/>
    </row>
    <row r="7188" spans="93:93" x14ac:dyDescent="0.3">
      <c r="CO7188" s="15"/>
    </row>
    <row r="7189" spans="93:93" x14ac:dyDescent="0.3">
      <c r="CO7189" s="15"/>
    </row>
    <row r="7190" spans="93:93" x14ac:dyDescent="0.3">
      <c r="CO7190" s="15"/>
    </row>
    <row r="7191" spans="93:93" x14ac:dyDescent="0.3">
      <c r="CO7191" s="15"/>
    </row>
    <row r="7192" spans="93:93" x14ac:dyDescent="0.3">
      <c r="CO7192" s="15"/>
    </row>
    <row r="7193" spans="93:93" x14ac:dyDescent="0.3">
      <c r="CO7193" s="15"/>
    </row>
    <row r="7194" spans="93:93" x14ac:dyDescent="0.3">
      <c r="CO7194" s="15"/>
    </row>
    <row r="7195" spans="93:93" x14ac:dyDescent="0.3">
      <c r="CO7195" s="15"/>
    </row>
    <row r="7196" spans="93:93" x14ac:dyDescent="0.3">
      <c r="CO7196" s="15"/>
    </row>
    <row r="7197" spans="93:93" x14ac:dyDescent="0.3">
      <c r="CO7197" s="15"/>
    </row>
    <row r="7198" spans="93:93" x14ac:dyDescent="0.3">
      <c r="CO7198" s="15"/>
    </row>
    <row r="7199" spans="93:93" x14ac:dyDescent="0.3">
      <c r="CO7199" s="15"/>
    </row>
    <row r="7200" spans="93:93" x14ac:dyDescent="0.3">
      <c r="CO7200" s="15"/>
    </row>
    <row r="7201" spans="93:93" x14ac:dyDescent="0.3">
      <c r="CO7201" s="15"/>
    </row>
    <row r="7202" spans="93:93" x14ac:dyDescent="0.3">
      <c r="CO7202" s="15"/>
    </row>
    <row r="7203" spans="93:93" x14ac:dyDescent="0.3">
      <c r="CO7203" s="15"/>
    </row>
    <row r="7204" spans="93:93" x14ac:dyDescent="0.3">
      <c r="CO7204" s="15"/>
    </row>
    <row r="7205" spans="93:93" x14ac:dyDescent="0.3">
      <c r="CO7205" s="15"/>
    </row>
    <row r="7206" spans="93:93" x14ac:dyDescent="0.3">
      <c r="CO7206" s="15"/>
    </row>
    <row r="7207" spans="93:93" x14ac:dyDescent="0.3">
      <c r="CO7207" s="15"/>
    </row>
    <row r="7208" spans="93:93" x14ac:dyDescent="0.3">
      <c r="CO7208" s="15"/>
    </row>
    <row r="7209" spans="93:93" x14ac:dyDescent="0.3">
      <c r="CO7209" s="15"/>
    </row>
    <row r="7210" spans="93:93" x14ac:dyDescent="0.3">
      <c r="CO7210" s="15"/>
    </row>
    <row r="7211" spans="93:93" x14ac:dyDescent="0.3">
      <c r="CO7211" s="15"/>
    </row>
    <row r="7212" spans="93:93" x14ac:dyDescent="0.3">
      <c r="CO7212" s="15"/>
    </row>
    <row r="7213" spans="93:93" x14ac:dyDescent="0.3">
      <c r="CO7213" s="15"/>
    </row>
    <row r="7214" spans="93:93" x14ac:dyDescent="0.3">
      <c r="CO7214" s="15"/>
    </row>
    <row r="7215" spans="93:93" x14ac:dyDescent="0.3">
      <c r="CO7215" s="15"/>
    </row>
    <row r="7216" spans="93:93" x14ac:dyDescent="0.3">
      <c r="CO7216" s="15"/>
    </row>
    <row r="7217" spans="93:93" x14ac:dyDescent="0.3">
      <c r="CO7217" s="15"/>
    </row>
    <row r="7218" spans="93:93" x14ac:dyDescent="0.3">
      <c r="CO7218" s="15"/>
    </row>
    <row r="7219" spans="93:93" x14ac:dyDescent="0.3">
      <c r="CO7219" s="15"/>
    </row>
    <row r="7220" spans="93:93" x14ac:dyDescent="0.3">
      <c r="CO7220" s="15"/>
    </row>
    <row r="7221" spans="93:93" x14ac:dyDescent="0.3">
      <c r="CO7221" s="15"/>
    </row>
    <row r="7222" spans="93:93" x14ac:dyDescent="0.3">
      <c r="CO7222" s="15"/>
    </row>
    <row r="7223" spans="93:93" x14ac:dyDescent="0.3">
      <c r="CO7223" s="15"/>
    </row>
    <row r="7224" spans="93:93" x14ac:dyDescent="0.3">
      <c r="CO7224" s="15"/>
    </row>
    <row r="7225" spans="93:93" x14ac:dyDescent="0.3">
      <c r="CO7225" s="15"/>
    </row>
    <row r="7226" spans="93:93" x14ac:dyDescent="0.3">
      <c r="CO7226" s="15"/>
    </row>
    <row r="7227" spans="93:93" x14ac:dyDescent="0.3">
      <c r="CO7227" s="15"/>
    </row>
    <row r="7228" spans="93:93" x14ac:dyDescent="0.3">
      <c r="CO7228" s="15"/>
    </row>
    <row r="7229" spans="93:93" x14ac:dyDescent="0.3">
      <c r="CO7229" s="15"/>
    </row>
    <row r="7230" spans="93:93" x14ac:dyDescent="0.3">
      <c r="CO7230" s="15"/>
    </row>
    <row r="7231" spans="93:93" x14ac:dyDescent="0.3">
      <c r="CO7231" s="15"/>
    </row>
    <row r="7232" spans="93:93" x14ac:dyDescent="0.3">
      <c r="CO7232" s="15"/>
    </row>
    <row r="7233" spans="93:93" x14ac:dyDescent="0.3">
      <c r="CO7233" s="15"/>
    </row>
    <row r="7234" spans="93:93" x14ac:dyDescent="0.3">
      <c r="CO7234" s="15"/>
    </row>
    <row r="7235" spans="93:93" x14ac:dyDescent="0.3">
      <c r="CO7235" s="15"/>
    </row>
    <row r="7236" spans="93:93" x14ac:dyDescent="0.3">
      <c r="CO7236" s="15"/>
    </row>
    <row r="7237" spans="93:93" x14ac:dyDescent="0.3">
      <c r="CO7237" s="15"/>
    </row>
    <row r="7238" spans="93:93" x14ac:dyDescent="0.3">
      <c r="CO7238" s="15"/>
    </row>
    <row r="7239" spans="93:93" x14ac:dyDescent="0.3">
      <c r="CO7239" s="15"/>
    </row>
    <row r="7240" spans="93:93" x14ac:dyDescent="0.3">
      <c r="CO7240" s="15"/>
    </row>
    <row r="7241" spans="93:93" x14ac:dyDescent="0.3">
      <c r="CO7241" s="15"/>
    </row>
    <row r="7242" spans="93:93" x14ac:dyDescent="0.3">
      <c r="CO7242" s="15"/>
    </row>
    <row r="7243" spans="93:93" x14ac:dyDescent="0.3">
      <c r="CO7243" s="15"/>
    </row>
    <row r="7244" spans="93:93" x14ac:dyDescent="0.3">
      <c r="CO7244" s="15"/>
    </row>
    <row r="7245" spans="93:93" x14ac:dyDescent="0.3">
      <c r="CO7245" s="15"/>
    </row>
    <row r="7246" spans="93:93" x14ac:dyDescent="0.3">
      <c r="CO7246" s="15"/>
    </row>
    <row r="7247" spans="93:93" x14ac:dyDescent="0.3">
      <c r="CO7247" s="15"/>
    </row>
    <row r="7248" spans="93:93" x14ac:dyDescent="0.3">
      <c r="CO7248" s="15"/>
    </row>
    <row r="7249" spans="93:93" x14ac:dyDescent="0.3">
      <c r="CO7249" s="15"/>
    </row>
    <row r="7250" spans="93:93" x14ac:dyDescent="0.3">
      <c r="CO7250" s="15"/>
    </row>
    <row r="7251" spans="93:93" x14ac:dyDescent="0.3">
      <c r="CO7251" s="15"/>
    </row>
    <row r="7252" spans="93:93" x14ac:dyDescent="0.3">
      <c r="CO7252" s="15"/>
    </row>
    <row r="7253" spans="93:93" x14ac:dyDescent="0.3">
      <c r="CO7253" s="15"/>
    </row>
    <row r="7254" spans="93:93" x14ac:dyDescent="0.3">
      <c r="CO7254" s="15"/>
    </row>
    <row r="7255" spans="93:93" x14ac:dyDescent="0.3">
      <c r="CO7255" s="15"/>
    </row>
    <row r="7256" spans="93:93" x14ac:dyDescent="0.3">
      <c r="CO7256" s="15"/>
    </row>
    <row r="7257" spans="93:93" x14ac:dyDescent="0.3">
      <c r="CO7257" s="15"/>
    </row>
    <row r="7258" spans="93:93" x14ac:dyDescent="0.3">
      <c r="CO7258" s="15"/>
    </row>
    <row r="7259" spans="93:93" x14ac:dyDescent="0.3">
      <c r="CO7259" s="15"/>
    </row>
    <row r="7260" spans="93:93" x14ac:dyDescent="0.3">
      <c r="CO7260" s="15"/>
    </row>
    <row r="7261" spans="93:93" x14ac:dyDescent="0.3">
      <c r="CO7261" s="15"/>
    </row>
    <row r="7262" spans="93:93" x14ac:dyDescent="0.3">
      <c r="CO7262" s="15"/>
    </row>
    <row r="7263" spans="93:93" x14ac:dyDescent="0.3">
      <c r="CO7263" s="15"/>
    </row>
    <row r="7264" spans="93:93" x14ac:dyDescent="0.3">
      <c r="CO7264" s="15"/>
    </row>
    <row r="7265" spans="93:93" x14ac:dyDescent="0.3">
      <c r="CO7265" s="15"/>
    </row>
    <row r="7266" spans="93:93" x14ac:dyDescent="0.3">
      <c r="CO7266" s="15"/>
    </row>
    <row r="7267" spans="93:93" x14ac:dyDescent="0.3">
      <c r="CO7267" s="15"/>
    </row>
    <row r="7268" spans="93:93" x14ac:dyDescent="0.3">
      <c r="CO7268" s="15"/>
    </row>
    <row r="7269" spans="93:93" x14ac:dyDescent="0.3">
      <c r="CO7269" s="15"/>
    </row>
    <row r="7270" spans="93:93" x14ac:dyDescent="0.3">
      <c r="CO7270" s="15"/>
    </row>
    <row r="7271" spans="93:93" x14ac:dyDescent="0.3">
      <c r="CO7271" s="15"/>
    </row>
    <row r="7272" spans="93:93" x14ac:dyDescent="0.3">
      <c r="CO7272" s="15"/>
    </row>
    <row r="7273" spans="93:93" x14ac:dyDescent="0.3">
      <c r="CO7273" s="15"/>
    </row>
    <row r="7274" spans="93:93" x14ac:dyDescent="0.3">
      <c r="CO7274" s="15"/>
    </row>
    <row r="7275" spans="93:93" x14ac:dyDescent="0.3">
      <c r="CO7275" s="15"/>
    </row>
    <row r="7276" spans="93:93" x14ac:dyDescent="0.3">
      <c r="CO7276" s="15"/>
    </row>
    <row r="7277" spans="93:93" x14ac:dyDescent="0.3">
      <c r="CO7277" s="15"/>
    </row>
    <row r="7278" spans="93:93" x14ac:dyDescent="0.3">
      <c r="CO7278" s="15"/>
    </row>
    <row r="7279" spans="93:93" x14ac:dyDescent="0.3">
      <c r="CO7279" s="15"/>
    </row>
    <row r="7280" spans="93:93" x14ac:dyDescent="0.3">
      <c r="CO7280" s="15"/>
    </row>
    <row r="7281" spans="93:93" x14ac:dyDescent="0.3">
      <c r="CO7281" s="15"/>
    </row>
    <row r="7282" spans="93:93" x14ac:dyDescent="0.3">
      <c r="CO7282" s="15"/>
    </row>
    <row r="7283" spans="93:93" x14ac:dyDescent="0.3">
      <c r="CO7283" s="15"/>
    </row>
    <row r="7284" spans="93:93" x14ac:dyDescent="0.3">
      <c r="CO7284" s="15"/>
    </row>
    <row r="7285" spans="93:93" x14ac:dyDescent="0.3">
      <c r="CO7285" s="15"/>
    </row>
    <row r="7286" spans="93:93" x14ac:dyDescent="0.3">
      <c r="CO7286" s="15"/>
    </row>
    <row r="7287" spans="93:93" x14ac:dyDescent="0.3">
      <c r="CO7287" s="15"/>
    </row>
    <row r="7288" spans="93:93" x14ac:dyDescent="0.3">
      <c r="CO7288" s="15"/>
    </row>
    <row r="7289" spans="93:93" x14ac:dyDescent="0.3">
      <c r="CO7289" s="15"/>
    </row>
    <row r="7290" spans="93:93" x14ac:dyDescent="0.3">
      <c r="CO7290" s="15"/>
    </row>
    <row r="7291" spans="93:93" x14ac:dyDescent="0.3">
      <c r="CO7291" s="15"/>
    </row>
    <row r="7292" spans="93:93" x14ac:dyDescent="0.3">
      <c r="CO7292" s="15"/>
    </row>
    <row r="7293" spans="93:93" x14ac:dyDescent="0.3">
      <c r="CO7293" s="15"/>
    </row>
    <row r="7294" spans="93:93" x14ac:dyDescent="0.3">
      <c r="CO7294" s="15"/>
    </row>
    <row r="7295" spans="93:93" x14ac:dyDescent="0.3">
      <c r="CO7295" s="15"/>
    </row>
    <row r="7296" spans="93:93" x14ac:dyDescent="0.3">
      <c r="CO7296" s="15"/>
    </row>
    <row r="7297" spans="93:93" x14ac:dyDescent="0.3">
      <c r="CO7297" s="15"/>
    </row>
    <row r="7298" spans="93:93" x14ac:dyDescent="0.3">
      <c r="CO7298" s="15"/>
    </row>
    <row r="7299" spans="93:93" x14ac:dyDescent="0.3">
      <c r="CO7299" s="15"/>
    </row>
    <row r="7300" spans="93:93" x14ac:dyDescent="0.3">
      <c r="CO7300" s="15"/>
    </row>
    <row r="7301" spans="93:93" x14ac:dyDescent="0.3">
      <c r="CO7301" s="15"/>
    </row>
    <row r="7302" spans="93:93" x14ac:dyDescent="0.3">
      <c r="CO7302" s="15"/>
    </row>
    <row r="7303" spans="93:93" x14ac:dyDescent="0.3">
      <c r="CO7303" s="15"/>
    </row>
    <row r="7304" spans="93:93" x14ac:dyDescent="0.3">
      <c r="CO7304" s="15"/>
    </row>
    <row r="7305" spans="93:93" x14ac:dyDescent="0.3">
      <c r="CO7305" s="15"/>
    </row>
    <row r="7306" spans="93:93" x14ac:dyDescent="0.3">
      <c r="CO7306" s="15"/>
    </row>
    <row r="7307" spans="93:93" x14ac:dyDescent="0.3">
      <c r="CO7307" s="15"/>
    </row>
    <row r="7308" spans="93:93" x14ac:dyDescent="0.3">
      <c r="CO7308" s="15"/>
    </row>
    <row r="7309" spans="93:93" x14ac:dyDescent="0.3">
      <c r="CO7309" s="15"/>
    </row>
    <row r="7310" spans="93:93" x14ac:dyDescent="0.3">
      <c r="CO7310" s="15"/>
    </row>
    <row r="7311" spans="93:93" x14ac:dyDescent="0.3">
      <c r="CO7311" s="15"/>
    </row>
    <row r="7312" spans="93:93" x14ac:dyDescent="0.3">
      <c r="CO7312" s="15"/>
    </row>
    <row r="7313" spans="93:93" x14ac:dyDescent="0.3">
      <c r="CO7313" s="15"/>
    </row>
    <row r="7314" spans="93:93" x14ac:dyDescent="0.3">
      <c r="CO7314" s="15"/>
    </row>
    <row r="7315" spans="93:93" x14ac:dyDescent="0.3">
      <c r="CO7315" s="15"/>
    </row>
    <row r="7316" spans="93:93" x14ac:dyDescent="0.3">
      <c r="CO7316" s="15"/>
    </row>
    <row r="7317" spans="93:93" x14ac:dyDescent="0.3">
      <c r="CO7317" s="15"/>
    </row>
    <row r="7318" spans="93:93" x14ac:dyDescent="0.3">
      <c r="CO7318" s="15"/>
    </row>
    <row r="7319" spans="93:93" x14ac:dyDescent="0.3">
      <c r="CO7319" s="15"/>
    </row>
    <row r="7320" spans="93:93" x14ac:dyDescent="0.3">
      <c r="CO7320" s="15"/>
    </row>
    <row r="7321" spans="93:93" x14ac:dyDescent="0.3">
      <c r="CO7321" s="15"/>
    </row>
    <row r="7322" spans="93:93" x14ac:dyDescent="0.3">
      <c r="CO7322" s="15"/>
    </row>
    <row r="7323" spans="93:93" x14ac:dyDescent="0.3">
      <c r="CO7323" s="15"/>
    </row>
    <row r="7324" spans="93:93" x14ac:dyDescent="0.3">
      <c r="CO7324" s="15"/>
    </row>
    <row r="7325" spans="93:93" x14ac:dyDescent="0.3">
      <c r="CO7325" s="15"/>
    </row>
    <row r="7326" spans="93:93" x14ac:dyDescent="0.3">
      <c r="CO7326" s="15"/>
    </row>
    <row r="7327" spans="93:93" x14ac:dyDescent="0.3">
      <c r="CO7327" s="15"/>
    </row>
    <row r="7328" spans="93:93" x14ac:dyDescent="0.3">
      <c r="CO7328" s="15"/>
    </row>
    <row r="7329" spans="93:93" x14ac:dyDescent="0.3">
      <c r="CO7329" s="15"/>
    </row>
    <row r="7330" spans="93:93" x14ac:dyDescent="0.3">
      <c r="CO7330" s="15"/>
    </row>
    <row r="7331" spans="93:93" x14ac:dyDescent="0.3">
      <c r="CO7331" s="15"/>
    </row>
    <row r="7332" spans="93:93" x14ac:dyDescent="0.3">
      <c r="CO7332" s="15"/>
    </row>
    <row r="7333" spans="93:93" x14ac:dyDescent="0.3">
      <c r="CO7333" s="15"/>
    </row>
    <row r="7334" spans="93:93" x14ac:dyDescent="0.3">
      <c r="CO7334" s="15"/>
    </row>
    <row r="7335" spans="93:93" x14ac:dyDescent="0.3">
      <c r="CO7335" s="15"/>
    </row>
    <row r="7336" spans="93:93" x14ac:dyDescent="0.3">
      <c r="CO7336" s="15"/>
    </row>
    <row r="7337" spans="93:93" x14ac:dyDescent="0.3">
      <c r="CO7337" s="15"/>
    </row>
    <row r="7338" spans="93:93" x14ac:dyDescent="0.3">
      <c r="CO7338" s="15"/>
    </row>
    <row r="7339" spans="93:93" x14ac:dyDescent="0.3">
      <c r="CO7339" s="15"/>
    </row>
    <row r="7340" spans="93:93" x14ac:dyDescent="0.3">
      <c r="CO7340" s="15"/>
    </row>
    <row r="7341" spans="93:93" x14ac:dyDescent="0.3">
      <c r="CO7341" s="15"/>
    </row>
    <row r="7342" spans="93:93" x14ac:dyDescent="0.3">
      <c r="CO7342" s="15"/>
    </row>
    <row r="7343" spans="93:93" x14ac:dyDescent="0.3">
      <c r="CO7343" s="15"/>
    </row>
    <row r="7344" spans="93:93" x14ac:dyDescent="0.3">
      <c r="CO7344" s="15"/>
    </row>
    <row r="7345" spans="93:93" x14ac:dyDescent="0.3">
      <c r="CO7345" s="15"/>
    </row>
    <row r="7346" spans="93:93" x14ac:dyDescent="0.3">
      <c r="CO7346" s="15"/>
    </row>
    <row r="7347" spans="93:93" x14ac:dyDescent="0.3">
      <c r="CO7347" s="15"/>
    </row>
    <row r="7348" spans="93:93" x14ac:dyDescent="0.3">
      <c r="CO7348" s="15"/>
    </row>
    <row r="7349" spans="93:93" x14ac:dyDescent="0.3">
      <c r="CO7349" s="15"/>
    </row>
    <row r="7350" spans="93:93" x14ac:dyDescent="0.3">
      <c r="CO7350" s="15"/>
    </row>
    <row r="7351" spans="93:93" x14ac:dyDescent="0.3">
      <c r="CO7351" s="15"/>
    </row>
    <row r="7352" spans="93:93" x14ac:dyDescent="0.3">
      <c r="CO7352" s="15"/>
    </row>
    <row r="7353" spans="93:93" x14ac:dyDescent="0.3">
      <c r="CO7353" s="15"/>
    </row>
    <row r="7354" spans="93:93" x14ac:dyDescent="0.3">
      <c r="CO7354" s="15"/>
    </row>
    <row r="7355" spans="93:93" x14ac:dyDescent="0.3">
      <c r="CO7355" s="15"/>
    </row>
    <row r="7356" spans="93:93" x14ac:dyDescent="0.3">
      <c r="CO7356" s="15"/>
    </row>
    <row r="7357" spans="93:93" x14ac:dyDescent="0.3">
      <c r="CO7357" s="15"/>
    </row>
    <row r="7358" spans="93:93" x14ac:dyDescent="0.3">
      <c r="CO7358" s="15"/>
    </row>
    <row r="7359" spans="93:93" x14ac:dyDescent="0.3">
      <c r="CO7359" s="15"/>
    </row>
    <row r="7360" spans="93:93" x14ac:dyDescent="0.3">
      <c r="CO7360" s="15"/>
    </row>
    <row r="7361" spans="93:93" x14ac:dyDescent="0.3">
      <c r="CO7361" s="15"/>
    </row>
    <row r="7362" spans="93:93" x14ac:dyDescent="0.3">
      <c r="CO7362" s="15"/>
    </row>
    <row r="7363" spans="93:93" x14ac:dyDescent="0.3">
      <c r="CO7363" s="15"/>
    </row>
    <row r="7364" spans="93:93" x14ac:dyDescent="0.3">
      <c r="CO7364" s="15"/>
    </row>
    <row r="7365" spans="93:93" x14ac:dyDescent="0.3">
      <c r="CO7365" s="15"/>
    </row>
    <row r="7366" spans="93:93" x14ac:dyDescent="0.3">
      <c r="CO7366" s="15"/>
    </row>
    <row r="7367" spans="93:93" x14ac:dyDescent="0.3">
      <c r="CO7367" s="15"/>
    </row>
    <row r="7368" spans="93:93" x14ac:dyDescent="0.3">
      <c r="CO7368" s="15"/>
    </row>
    <row r="7369" spans="93:93" x14ac:dyDescent="0.3">
      <c r="CO7369" s="15"/>
    </row>
    <row r="7370" spans="93:93" x14ac:dyDescent="0.3">
      <c r="CO7370" s="15"/>
    </row>
    <row r="7371" spans="93:93" x14ac:dyDescent="0.3">
      <c r="CO7371" s="15"/>
    </row>
    <row r="7372" spans="93:93" x14ac:dyDescent="0.3">
      <c r="CO7372" s="15"/>
    </row>
    <row r="7373" spans="93:93" x14ac:dyDescent="0.3">
      <c r="CO7373" s="15"/>
    </row>
    <row r="7374" spans="93:93" x14ac:dyDescent="0.3">
      <c r="CO7374" s="15"/>
    </row>
    <row r="7375" spans="93:93" x14ac:dyDescent="0.3">
      <c r="CO7375" s="15"/>
    </row>
    <row r="7376" spans="93:93" x14ac:dyDescent="0.3">
      <c r="CO7376" s="15"/>
    </row>
    <row r="7377" spans="93:93" x14ac:dyDescent="0.3">
      <c r="CO7377" s="15"/>
    </row>
    <row r="7378" spans="93:93" x14ac:dyDescent="0.3">
      <c r="CO7378" s="15"/>
    </row>
    <row r="7379" spans="93:93" x14ac:dyDescent="0.3">
      <c r="CO7379" s="15"/>
    </row>
    <row r="7380" spans="93:93" x14ac:dyDescent="0.3">
      <c r="CO7380" s="15"/>
    </row>
    <row r="7381" spans="93:93" x14ac:dyDescent="0.3">
      <c r="CO7381" s="15"/>
    </row>
    <row r="7382" spans="93:93" x14ac:dyDescent="0.3">
      <c r="CO7382" s="15"/>
    </row>
    <row r="7383" spans="93:93" x14ac:dyDescent="0.3">
      <c r="CO7383" s="15"/>
    </row>
    <row r="7384" spans="93:93" x14ac:dyDescent="0.3">
      <c r="CO7384" s="15"/>
    </row>
    <row r="7385" spans="93:93" x14ac:dyDescent="0.3">
      <c r="CO7385" s="15"/>
    </row>
    <row r="7386" spans="93:93" x14ac:dyDescent="0.3">
      <c r="CO7386" s="15"/>
    </row>
    <row r="7387" spans="93:93" x14ac:dyDescent="0.3">
      <c r="CO7387" s="15"/>
    </row>
    <row r="7388" spans="93:93" x14ac:dyDescent="0.3">
      <c r="CO7388" s="15"/>
    </row>
    <row r="7389" spans="93:93" x14ac:dyDescent="0.3">
      <c r="CO7389" s="15"/>
    </row>
    <row r="7390" spans="93:93" x14ac:dyDescent="0.3">
      <c r="CO7390" s="15"/>
    </row>
    <row r="7391" spans="93:93" x14ac:dyDescent="0.3">
      <c r="CO7391" s="15"/>
    </row>
    <row r="7392" spans="93:93" x14ac:dyDescent="0.3">
      <c r="CO7392" s="15"/>
    </row>
    <row r="7393" spans="93:93" x14ac:dyDescent="0.3">
      <c r="CO7393" s="15"/>
    </row>
    <row r="7394" spans="93:93" x14ac:dyDescent="0.3">
      <c r="CO7394" s="15"/>
    </row>
    <row r="7395" spans="93:93" x14ac:dyDescent="0.3">
      <c r="CO7395" s="15"/>
    </row>
    <row r="7396" spans="93:93" x14ac:dyDescent="0.3">
      <c r="CO7396" s="15"/>
    </row>
    <row r="7397" spans="93:93" x14ac:dyDescent="0.3">
      <c r="CO7397" s="15"/>
    </row>
    <row r="7398" spans="93:93" x14ac:dyDescent="0.3">
      <c r="CO7398" s="15"/>
    </row>
    <row r="7399" spans="93:93" x14ac:dyDescent="0.3">
      <c r="CO7399" s="15"/>
    </row>
    <row r="7400" spans="93:93" x14ac:dyDescent="0.3">
      <c r="CO7400" s="15"/>
    </row>
    <row r="7401" spans="93:93" x14ac:dyDescent="0.3">
      <c r="CO7401" s="15"/>
    </row>
    <row r="7402" spans="93:93" x14ac:dyDescent="0.3">
      <c r="CO7402" s="15"/>
    </row>
    <row r="7403" spans="93:93" x14ac:dyDescent="0.3">
      <c r="CO7403" s="15"/>
    </row>
    <row r="7404" spans="93:93" x14ac:dyDescent="0.3">
      <c r="CO7404" s="15"/>
    </row>
    <row r="7405" spans="93:93" x14ac:dyDescent="0.3">
      <c r="CO7405" s="15"/>
    </row>
    <row r="7406" spans="93:93" x14ac:dyDescent="0.3">
      <c r="CO7406" s="15"/>
    </row>
    <row r="7407" spans="93:93" x14ac:dyDescent="0.3">
      <c r="CO7407" s="15"/>
    </row>
    <row r="7408" spans="93:93" x14ac:dyDescent="0.3">
      <c r="CO7408" s="15"/>
    </row>
    <row r="7409" spans="93:93" x14ac:dyDescent="0.3">
      <c r="CO7409" s="15"/>
    </row>
    <row r="7410" spans="93:93" x14ac:dyDescent="0.3">
      <c r="CO7410" s="15"/>
    </row>
    <row r="7411" spans="93:93" x14ac:dyDescent="0.3">
      <c r="CO7411" s="15"/>
    </row>
    <row r="7412" spans="93:93" x14ac:dyDescent="0.3">
      <c r="CO7412" s="15"/>
    </row>
    <row r="7413" spans="93:93" x14ac:dyDescent="0.3">
      <c r="CO7413" s="15"/>
    </row>
    <row r="7414" spans="93:93" x14ac:dyDescent="0.3">
      <c r="CO7414" s="15"/>
    </row>
    <row r="7415" spans="93:93" x14ac:dyDescent="0.3">
      <c r="CO7415" s="15"/>
    </row>
    <row r="7416" spans="93:93" x14ac:dyDescent="0.3">
      <c r="CO7416" s="15"/>
    </row>
    <row r="7417" spans="93:93" x14ac:dyDescent="0.3">
      <c r="CO7417" s="15"/>
    </row>
    <row r="7418" spans="93:93" x14ac:dyDescent="0.3">
      <c r="CO7418" s="15"/>
    </row>
    <row r="7419" spans="93:93" x14ac:dyDescent="0.3">
      <c r="CO7419" s="15"/>
    </row>
    <row r="7420" spans="93:93" x14ac:dyDescent="0.3">
      <c r="CO7420" s="15"/>
    </row>
    <row r="7421" spans="93:93" x14ac:dyDescent="0.3">
      <c r="CO7421" s="15"/>
    </row>
    <row r="7422" spans="93:93" x14ac:dyDescent="0.3">
      <c r="CO7422" s="15"/>
    </row>
    <row r="7423" spans="93:93" x14ac:dyDescent="0.3">
      <c r="CO7423" s="15"/>
    </row>
    <row r="7424" spans="93:93" x14ac:dyDescent="0.3">
      <c r="CO7424" s="15"/>
    </row>
    <row r="7425" spans="93:93" x14ac:dyDescent="0.3">
      <c r="CO7425" s="15"/>
    </row>
    <row r="7426" spans="93:93" x14ac:dyDescent="0.3">
      <c r="CO7426" s="15"/>
    </row>
    <row r="7427" spans="93:93" x14ac:dyDescent="0.3">
      <c r="CO7427" s="15"/>
    </row>
    <row r="7428" spans="93:93" x14ac:dyDescent="0.3">
      <c r="CO7428" s="15"/>
    </row>
    <row r="7429" spans="93:93" x14ac:dyDescent="0.3">
      <c r="CO7429" s="15"/>
    </row>
    <row r="7430" spans="93:93" x14ac:dyDescent="0.3">
      <c r="CO7430" s="15"/>
    </row>
    <row r="7431" spans="93:93" x14ac:dyDescent="0.3">
      <c r="CO7431" s="15"/>
    </row>
    <row r="7432" spans="93:93" x14ac:dyDescent="0.3">
      <c r="CO7432" s="15"/>
    </row>
    <row r="7433" spans="93:93" x14ac:dyDescent="0.3">
      <c r="CO7433" s="15"/>
    </row>
    <row r="7434" spans="93:93" x14ac:dyDescent="0.3">
      <c r="CO7434" s="15"/>
    </row>
    <row r="7435" spans="93:93" x14ac:dyDescent="0.3">
      <c r="CO7435" s="15"/>
    </row>
    <row r="7436" spans="93:93" x14ac:dyDescent="0.3">
      <c r="CO7436" s="15"/>
    </row>
    <row r="7437" spans="93:93" x14ac:dyDescent="0.3">
      <c r="CO7437" s="15"/>
    </row>
    <row r="7438" spans="93:93" x14ac:dyDescent="0.3">
      <c r="CO7438" s="15"/>
    </row>
    <row r="7439" spans="93:93" x14ac:dyDescent="0.3">
      <c r="CO7439" s="15"/>
    </row>
    <row r="7440" spans="93:93" x14ac:dyDescent="0.3">
      <c r="CO7440" s="15"/>
    </row>
    <row r="7441" spans="93:93" x14ac:dyDescent="0.3">
      <c r="CO7441" s="15"/>
    </row>
    <row r="7442" spans="93:93" x14ac:dyDescent="0.3">
      <c r="CO7442" s="15"/>
    </row>
    <row r="7443" spans="93:93" x14ac:dyDescent="0.3">
      <c r="CO7443" s="15"/>
    </row>
    <row r="7444" spans="93:93" x14ac:dyDescent="0.3">
      <c r="CO7444" s="15"/>
    </row>
    <row r="7445" spans="93:93" x14ac:dyDescent="0.3">
      <c r="CO7445" s="15"/>
    </row>
    <row r="7446" spans="93:93" x14ac:dyDescent="0.3">
      <c r="CO7446" s="15"/>
    </row>
    <row r="7447" spans="93:93" x14ac:dyDescent="0.3">
      <c r="CO7447" s="15"/>
    </row>
    <row r="7448" spans="93:93" x14ac:dyDescent="0.3">
      <c r="CO7448" s="15"/>
    </row>
    <row r="7449" spans="93:93" x14ac:dyDescent="0.3">
      <c r="CO7449" s="15"/>
    </row>
    <row r="7450" spans="93:93" x14ac:dyDescent="0.3">
      <c r="CO7450" s="15"/>
    </row>
    <row r="7451" spans="93:93" x14ac:dyDescent="0.3">
      <c r="CO7451" s="15"/>
    </row>
    <row r="7452" spans="93:93" x14ac:dyDescent="0.3">
      <c r="CO7452" s="15"/>
    </row>
    <row r="7453" spans="93:93" x14ac:dyDescent="0.3">
      <c r="CO7453" s="15"/>
    </row>
    <row r="7454" spans="93:93" x14ac:dyDescent="0.3">
      <c r="CO7454" s="15"/>
    </row>
    <row r="7455" spans="93:93" x14ac:dyDescent="0.3">
      <c r="CO7455" s="15"/>
    </row>
    <row r="7456" spans="93:93" x14ac:dyDescent="0.3">
      <c r="CO7456" s="15"/>
    </row>
    <row r="7457" spans="93:93" x14ac:dyDescent="0.3">
      <c r="CO7457" s="15"/>
    </row>
    <row r="7458" spans="93:93" x14ac:dyDescent="0.3">
      <c r="CO7458" s="15"/>
    </row>
    <row r="7459" spans="93:93" x14ac:dyDescent="0.3">
      <c r="CO7459" s="15"/>
    </row>
    <row r="7460" spans="93:93" x14ac:dyDescent="0.3">
      <c r="CO7460" s="15"/>
    </row>
    <row r="7461" spans="93:93" x14ac:dyDescent="0.3">
      <c r="CO7461" s="15"/>
    </row>
    <row r="7462" spans="93:93" x14ac:dyDescent="0.3">
      <c r="CO7462" s="15"/>
    </row>
    <row r="7463" spans="93:93" x14ac:dyDescent="0.3">
      <c r="CO7463" s="15"/>
    </row>
    <row r="7464" spans="93:93" x14ac:dyDescent="0.3">
      <c r="CO7464" s="15"/>
    </row>
    <row r="7465" spans="93:93" x14ac:dyDescent="0.3">
      <c r="CO7465" s="15"/>
    </row>
    <row r="7466" spans="93:93" x14ac:dyDescent="0.3">
      <c r="CO7466" s="15"/>
    </row>
    <row r="7467" spans="93:93" x14ac:dyDescent="0.3">
      <c r="CO7467" s="15"/>
    </row>
    <row r="7468" spans="93:93" x14ac:dyDescent="0.3">
      <c r="CO7468" s="15"/>
    </row>
    <row r="7469" spans="93:93" x14ac:dyDescent="0.3">
      <c r="CO7469" s="15"/>
    </row>
    <row r="7470" spans="93:93" x14ac:dyDescent="0.3">
      <c r="CO7470" s="15"/>
    </row>
    <row r="7471" spans="93:93" x14ac:dyDescent="0.3">
      <c r="CO7471" s="15"/>
    </row>
    <row r="7472" spans="93:93" x14ac:dyDescent="0.3">
      <c r="CO7472" s="15"/>
    </row>
    <row r="7473" spans="93:93" x14ac:dyDescent="0.3">
      <c r="CO7473" s="15"/>
    </row>
    <row r="7474" spans="93:93" x14ac:dyDescent="0.3">
      <c r="CO7474" s="15"/>
    </row>
    <row r="7475" spans="93:93" x14ac:dyDescent="0.3">
      <c r="CO7475" s="15"/>
    </row>
    <row r="7476" spans="93:93" x14ac:dyDescent="0.3">
      <c r="CO7476" s="15"/>
    </row>
    <row r="7477" spans="93:93" x14ac:dyDescent="0.3">
      <c r="CO7477" s="15"/>
    </row>
    <row r="7478" spans="93:93" x14ac:dyDescent="0.3">
      <c r="CO7478" s="15"/>
    </row>
    <row r="7479" spans="93:93" x14ac:dyDescent="0.3">
      <c r="CO7479" s="15"/>
    </row>
    <row r="7480" spans="93:93" x14ac:dyDescent="0.3">
      <c r="CO7480" s="15"/>
    </row>
    <row r="7481" spans="93:93" x14ac:dyDescent="0.3">
      <c r="CO7481" s="15"/>
    </row>
    <row r="7482" spans="93:93" x14ac:dyDescent="0.3">
      <c r="CO7482" s="15"/>
    </row>
    <row r="7483" spans="93:93" x14ac:dyDescent="0.3">
      <c r="CO7483" s="15"/>
    </row>
    <row r="7484" spans="93:93" x14ac:dyDescent="0.3">
      <c r="CO7484" s="15"/>
    </row>
    <row r="7485" spans="93:93" x14ac:dyDescent="0.3">
      <c r="CO7485" s="15"/>
    </row>
    <row r="7486" spans="93:93" x14ac:dyDescent="0.3">
      <c r="CO7486" s="15"/>
    </row>
    <row r="7487" spans="93:93" x14ac:dyDescent="0.3">
      <c r="CO7487" s="15"/>
    </row>
    <row r="7488" spans="93:93" x14ac:dyDescent="0.3">
      <c r="CO7488" s="15"/>
    </row>
    <row r="7489" spans="93:93" x14ac:dyDescent="0.3">
      <c r="CO7489" s="15"/>
    </row>
    <row r="7490" spans="93:93" x14ac:dyDescent="0.3">
      <c r="CO7490" s="15"/>
    </row>
    <row r="7491" spans="93:93" x14ac:dyDescent="0.3">
      <c r="CO7491" s="15"/>
    </row>
    <row r="7492" spans="93:93" x14ac:dyDescent="0.3">
      <c r="CO7492" s="15"/>
    </row>
    <row r="7493" spans="93:93" x14ac:dyDescent="0.3">
      <c r="CO7493" s="15"/>
    </row>
    <row r="7494" spans="93:93" x14ac:dyDescent="0.3">
      <c r="CO7494" s="15"/>
    </row>
    <row r="7495" spans="93:93" x14ac:dyDescent="0.3">
      <c r="CO7495" s="15"/>
    </row>
    <row r="7496" spans="93:93" x14ac:dyDescent="0.3">
      <c r="CO7496" s="15"/>
    </row>
    <row r="7497" spans="93:93" x14ac:dyDescent="0.3">
      <c r="CO7497" s="15"/>
    </row>
    <row r="7498" spans="93:93" x14ac:dyDescent="0.3">
      <c r="CO7498" s="15"/>
    </row>
    <row r="7499" spans="93:93" x14ac:dyDescent="0.3">
      <c r="CO7499" s="15"/>
    </row>
    <row r="7500" spans="93:93" x14ac:dyDescent="0.3">
      <c r="CO7500" s="15"/>
    </row>
    <row r="7501" spans="93:93" x14ac:dyDescent="0.3">
      <c r="CO7501" s="15"/>
    </row>
    <row r="7502" spans="93:93" x14ac:dyDescent="0.3">
      <c r="CO7502" s="15"/>
    </row>
    <row r="7503" spans="93:93" x14ac:dyDescent="0.3">
      <c r="CO7503" s="15"/>
    </row>
    <row r="7504" spans="93:93" x14ac:dyDescent="0.3">
      <c r="CO7504" s="15"/>
    </row>
    <row r="7505" spans="93:93" x14ac:dyDescent="0.3">
      <c r="CO7505" s="15"/>
    </row>
    <row r="7506" spans="93:93" x14ac:dyDescent="0.3">
      <c r="CO7506" s="15"/>
    </row>
    <row r="7507" spans="93:93" x14ac:dyDescent="0.3">
      <c r="CO7507" s="15"/>
    </row>
    <row r="7508" spans="93:93" x14ac:dyDescent="0.3">
      <c r="CO7508" s="15"/>
    </row>
    <row r="7509" spans="93:93" x14ac:dyDescent="0.3">
      <c r="CO7509" s="15"/>
    </row>
    <row r="7510" spans="93:93" x14ac:dyDescent="0.3">
      <c r="CO7510" s="15"/>
    </row>
    <row r="7511" spans="93:93" x14ac:dyDescent="0.3">
      <c r="CO7511" s="15"/>
    </row>
    <row r="7512" spans="93:93" x14ac:dyDescent="0.3">
      <c r="CO7512" s="15"/>
    </row>
    <row r="7513" spans="93:93" x14ac:dyDescent="0.3">
      <c r="CO7513" s="15"/>
    </row>
    <row r="7514" spans="93:93" x14ac:dyDescent="0.3">
      <c r="CO7514" s="15"/>
    </row>
    <row r="7515" spans="93:93" x14ac:dyDescent="0.3">
      <c r="CO7515" s="15"/>
    </row>
    <row r="7516" spans="93:93" x14ac:dyDescent="0.3">
      <c r="CO7516" s="15"/>
    </row>
    <row r="7517" spans="93:93" x14ac:dyDescent="0.3">
      <c r="CO7517" s="15"/>
    </row>
    <row r="7518" spans="93:93" x14ac:dyDescent="0.3">
      <c r="CO7518" s="15"/>
    </row>
    <row r="7519" spans="93:93" x14ac:dyDescent="0.3">
      <c r="CO7519" s="15"/>
    </row>
    <row r="7520" spans="93:93" x14ac:dyDescent="0.3">
      <c r="CO7520" s="15"/>
    </row>
    <row r="7521" spans="93:93" x14ac:dyDescent="0.3">
      <c r="CO7521" s="15"/>
    </row>
    <row r="7522" spans="93:93" x14ac:dyDescent="0.3">
      <c r="CO7522" s="15"/>
    </row>
    <row r="7523" spans="93:93" x14ac:dyDescent="0.3">
      <c r="CO7523" s="15"/>
    </row>
    <row r="7524" spans="93:93" x14ac:dyDescent="0.3">
      <c r="CO7524" s="15"/>
    </row>
    <row r="7525" spans="93:93" x14ac:dyDescent="0.3">
      <c r="CO7525" s="15"/>
    </row>
    <row r="7526" spans="93:93" x14ac:dyDescent="0.3">
      <c r="CO7526" s="15"/>
    </row>
    <row r="7527" spans="93:93" x14ac:dyDescent="0.3">
      <c r="CO7527" s="15"/>
    </row>
    <row r="7528" spans="93:93" x14ac:dyDescent="0.3">
      <c r="CO7528" s="15"/>
    </row>
    <row r="7529" spans="93:93" x14ac:dyDescent="0.3">
      <c r="CO7529" s="15"/>
    </row>
    <row r="7530" spans="93:93" x14ac:dyDescent="0.3">
      <c r="CO7530" s="15"/>
    </row>
    <row r="7531" spans="93:93" x14ac:dyDescent="0.3">
      <c r="CO7531" s="15"/>
    </row>
    <row r="7532" spans="93:93" x14ac:dyDescent="0.3">
      <c r="CO7532" s="15"/>
    </row>
    <row r="7533" spans="93:93" x14ac:dyDescent="0.3">
      <c r="CO7533" s="15"/>
    </row>
    <row r="7534" spans="93:93" x14ac:dyDescent="0.3">
      <c r="CO7534" s="15"/>
    </row>
    <row r="7535" spans="93:93" x14ac:dyDescent="0.3">
      <c r="CO7535" s="15"/>
    </row>
    <row r="7536" spans="93:93" x14ac:dyDescent="0.3">
      <c r="CO7536" s="15"/>
    </row>
    <row r="7537" spans="93:93" x14ac:dyDescent="0.3">
      <c r="CO7537" s="15"/>
    </row>
    <row r="7538" spans="93:93" x14ac:dyDescent="0.3">
      <c r="CO7538" s="15"/>
    </row>
    <row r="7539" spans="93:93" x14ac:dyDescent="0.3">
      <c r="CO7539" s="15"/>
    </row>
    <row r="7540" spans="93:93" x14ac:dyDescent="0.3">
      <c r="CO7540" s="15"/>
    </row>
    <row r="7541" spans="93:93" x14ac:dyDescent="0.3">
      <c r="CO7541" s="15"/>
    </row>
    <row r="7542" spans="93:93" x14ac:dyDescent="0.3">
      <c r="CO7542" s="15"/>
    </row>
    <row r="7543" spans="93:93" x14ac:dyDescent="0.3">
      <c r="CO7543" s="15"/>
    </row>
    <row r="7544" spans="93:93" x14ac:dyDescent="0.3">
      <c r="CO7544" s="15"/>
    </row>
    <row r="7545" spans="93:93" x14ac:dyDescent="0.3">
      <c r="CO7545" s="15"/>
    </row>
    <row r="7546" spans="93:93" x14ac:dyDescent="0.3">
      <c r="CO7546" s="15"/>
    </row>
    <row r="7547" spans="93:93" x14ac:dyDescent="0.3">
      <c r="CO7547" s="15"/>
    </row>
    <row r="7548" spans="93:93" x14ac:dyDescent="0.3">
      <c r="CO7548" s="15"/>
    </row>
    <row r="7549" spans="93:93" x14ac:dyDescent="0.3">
      <c r="CO7549" s="15"/>
    </row>
    <row r="7550" spans="93:93" x14ac:dyDescent="0.3">
      <c r="CO7550" s="15"/>
    </row>
    <row r="7551" spans="93:93" x14ac:dyDescent="0.3">
      <c r="CO7551" s="15"/>
    </row>
    <row r="7552" spans="93:93" x14ac:dyDescent="0.3">
      <c r="CO7552" s="15"/>
    </row>
    <row r="7553" spans="93:93" x14ac:dyDescent="0.3">
      <c r="CO7553" s="15"/>
    </row>
    <row r="7554" spans="93:93" x14ac:dyDescent="0.3">
      <c r="CO7554" s="15"/>
    </row>
    <row r="7555" spans="93:93" x14ac:dyDescent="0.3">
      <c r="CO7555" s="15"/>
    </row>
    <row r="7556" spans="93:93" x14ac:dyDescent="0.3">
      <c r="CO7556" s="15"/>
    </row>
    <row r="7557" spans="93:93" x14ac:dyDescent="0.3">
      <c r="CO7557" s="15"/>
    </row>
    <row r="7558" spans="93:93" x14ac:dyDescent="0.3">
      <c r="CO7558" s="15"/>
    </row>
    <row r="7559" spans="93:93" x14ac:dyDescent="0.3">
      <c r="CO7559" s="15"/>
    </row>
    <row r="7560" spans="93:93" x14ac:dyDescent="0.3">
      <c r="CO7560" s="15"/>
    </row>
    <row r="7561" spans="93:93" x14ac:dyDescent="0.3">
      <c r="CO7561" s="15"/>
    </row>
    <row r="7562" spans="93:93" x14ac:dyDescent="0.3">
      <c r="CO7562" s="15"/>
    </row>
    <row r="7563" spans="93:93" x14ac:dyDescent="0.3">
      <c r="CO7563" s="15"/>
    </row>
    <row r="7564" spans="93:93" x14ac:dyDescent="0.3">
      <c r="CO7564" s="15"/>
    </row>
    <row r="7565" spans="93:93" x14ac:dyDescent="0.3">
      <c r="CO7565" s="15"/>
    </row>
    <row r="7566" spans="93:93" x14ac:dyDescent="0.3">
      <c r="CO7566" s="15"/>
    </row>
    <row r="7567" spans="93:93" x14ac:dyDescent="0.3">
      <c r="CO7567" s="15"/>
    </row>
    <row r="7568" spans="93:93" x14ac:dyDescent="0.3">
      <c r="CO7568" s="15"/>
    </row>
    <row r="7569" spans="93:93" x14ac:dyDescent="0.3">
      <c r="CO7569" s="15"/>
    </row>
    <row r="7570" spans="93:93" x14ac:dyDescent="0.3">
      <c r="CO7570" s="15"/>
    </row>
    <row r="7571" spans="93:93" x14ac:dyDescent="0.3">
      <c r="CO7571" s="15"/>
    </row>
    <row r="7572" spans="93:93" x14ac:dyDescent="0.3">
      <c r="CO7572" s="15"/>
    </row>
    <row r="7573" spans="93:93" x14ac:dyDescent="0.3">
      <c r="CO7573" s="15"/>
    </row>
    <row r="7574" spans="93:93" x14ac:dyDescent="0.3">
      <c r="CO7574" s="15"/>
    </row>
    <row r="7575" spans="93:93" x14ac:dyDescent="0.3">
      <c r="CO7575" s="15"/>
    </row>
    <row r="7576" spans="93:93" x14ac:dyDescent="0.3">
      <c r="CO7576" s="15"/>
    </row>
    <row r="7577" spans="93:93" x14ac:dyDescent="0.3">
      <c r="CO7577" s="15"/>
    </row>
    <row r="7578" spans="93:93" x14ac:dyDescent="0.3">
      <c r="CO7578" s="15"/>
    </row>
    <row r="7579" spans="93:93" x14ac:dyDescent="0.3">
      <c r="CO7579" s="15"/>
    </row>
    <row r="7580" spans="93:93" x14ac:dyDescent="0.3">
      <c r="CO7580" s="15"/>
    </row>
    <row r="7581" spans="93:93" x14ac:dyDescent="0.3">
      <c r="CO7581" s="15"/>
    </row>
    <row r="7582" spans="93:93" x14ac:dyDescent="0.3">
      <c r="CO7582" s="15"/>
    </row>
    <row r="7583" spans="93:93" x14ac:dyDescent="0.3">
      <c r="CO7583" s="15"/>
    </row>
    <row r="7584" spans="93:93" x14ac:dyDescent="0.3">
      <c r="CO7584" s="15"/>
    </row>
    <row r="7585" spans="93:93" x14ac:dyDescent="0.3">
      <c r="CO7585" s="15"/>
    </row>
    <row r="7586" spans="93:93" x14ac:dyDescent="0.3">
      <c r="CO7586" s="15"/>
    </row>
    <row r="7587" spans="93:93" x14ac:dyDescent="0.3">
      <c r="CO7587" s="15"/>
    </row>
    <row r="7588" spans="93:93" x14ac:dyDescent="0.3">
      <c r="CO7588" s="15"/>
    </row>
    <row r="7589" spans="93:93" x14ac:dyDescent="0.3">
      <c r="CO7589" s="15"/>
    </row>
    <row r="7590" spans="93:93" x14ac:dyDescent="0.3">
      <c r="CO7590" s="15"/>
    </row>
    <row r="7591" spans="93:93" x14ac:dyDescent="0.3">
      <c r="CO7591" s="15"/>
    </row>
    <row r="7592" spans="93:93" x14ac:dyDescent="0.3">
      <c r="CO7592" s="15"/>
    </row>
    <row r="7593" spans="93:93" x14ac:dyDescent="0.3">
      <c r="CO7593" s="15"/>
    </row>
    <row r="7594" spans="93:93" x14ac:dyDescent="0.3">
      <c r="CO7594" s="15"/>
    </row>
    <row r="7595" spans="93:93" x14ac:dyDescent="0.3">
      <c r="CO7595" s="15"/>
    </row>
    <row r="7596" spans="93:93" x14ac:dyDescent="0.3">
      <c r="CO7596" s="15"/>
    </row>
    <row r="7597" spans="93:93" x14ac:dyDescent="0.3">
      <c r="CO7597" s="15"/>
    </row>
    <row r="7598" spans="93:93" x14ac:dyDescent="0.3">
      <c r="CO7598" s="15"/>
    </row>
    <row r="7599" spans="93:93" x14ac:dyDescent="0.3">
      <c r="CO7599" s="15"/>
    </row>
    <row r="7600" spans="93:93" x14ac:dyDescent="0.3">
      <c r="CO7600" s="15"/>
    </row>
    <row r="7601" spans="93:93" x14ac:dyDescent="0.3">
      <c r="CO7601" s="15"/>
    </row>
    <row r="7602" spans="93:93" x14ac:dyDescent="0.3">
      <c r="CO7602" s="15"/>
    </row>
    <row r="7603" spans="93:93" x14ac:dyDescent="0.3">
      <c r="CO7603" s="15"/>
    </row>
    <row r="7604" spans="93:93" x14ac:dyDescent="0.3">
      <c r="CO7604" s="15"/>
    </row>
    <row r="7605" spans="93:93" x14ac:dyDescent="0.3">
      <c r="CO7605" s="15"/>
    </row>
    <row r="7606" spans="93:93" x14ac:dyDescent="0.3">
      <c r="CO7606" s="15"/>
    </row>
    <row r="7607" spans="93:93" x14ac:dyDescent="0.3">
      <c r="CO7607" s="15"/>
    </row>
    <row r="7608" spans="93:93" x14ac:dyDescent="0.3">
      <c r="CO7608" s="15"/>
    </row>
    <row r="7609" spans="93:93" x14ac:dyDescent="0.3">
      <c r="CO7609" s="15"/>
    </row>
    <row r="7610" spans="93:93" x14ac:dyDescent="0.3">
      <c r="CO7610" s="15"/>
    </row>
    <row r="7611" spans="93:93" x14ac:dyDescent="0.3">
      <c r="CO7611" s="15"/>
    </row>
    <row r="7612" spans="93:93" x14ac:dyDescent="0.3">
      <c r="CO7612" s="15"/>
    </row>
    <row r="7613" spans="93:93" x14ac:dyDescent="0.3">
      <c r="CO7613" s="15"/>
    </row>
    <row r="7614" spans="93:93" x14ac:dyDescent="0.3">
      <c r="CO7614" s="15"/>
    </row>
    <row r="7615" spans="93:93" x14ac:dyDescent="0.3">
      <c r="CO7615" s="15"/>
    </row>
    <row r="7616" spans="93:93" x14ac:dyDescent="0.3">
      <c r="CO7616" s="15"/>
    </row>
    <row r="7617" spans="93:93" x14ac:dyDescent="0.3">
      <c r="CO7617" s="15"/>
    </row>
    <row r="7618" spans="93:93" x14ac:dyDescent="0.3">
      <c r="CO7618" s="15"/>
    </row>
    <row r="7619" spans="93:93" x14ac:dyDescent="0.3">
      <c r="CO7619" s="15"/>
    </row>
    <row r="7620" spans="93:93" x14ac:dyDescent="0.3">
      <c r="CO7620" s="15"/>
    </row>
    <row r="7621" spans="93:93" x14ac:dyDescent="0.3">
      <c r="CO7621" s="15"/>
    </row>
    <row r="7622" spans="93:93" x14ac:dyDescent="0.3">
      <c r="CO7622" s="15"/>
    </row>
    <row r="7623" spans="93:93" x14ac:dyDescent="0.3">
      <c r="CO7623" s="15"/>
    </row>
    <row r="7624" spans="93:93" x14ac:dyDescent="0.3">
      <c r="CO7624" s="15"/>
    </row>
    <row r="7625" spans="93:93" x14ac:dyDescent="0.3">
      <c r="CO7625" s="15"/>
    </row>
    <row r="7626" spans="93:93" x14ac:dyDescent="0.3">
      <c r="CO7626" s="15"/>
    </row>
    <row r="7627" spans="93:93" x14ac:dyDescent="0.3">
      <c r="CO7627" s="15"/>
    </row>
    <row r="7628" spans="93:93" x14ac:dyDescent="0.3">
      <c r="CO7628" s="15"/>
    </row>
    <row r="7629" spans="93:93" x14ac:dyDescent="0.3">
      <c r="CO7629" s="15"/>
    </row>
    <row r="7630" spans="93:93" x14ac:dyDescent="0.3">
      <c r="CO7630" s="15"/>
    </row>
    <row r="7631" spans="93:93" x14ac:dyDescent="0.3">
      <c r="CO7631" s="15"/>
    </row>
    <row r="7632" spans="93:93" x14ac:dyDescent="0.3">
      <c r="CO7632" s="15"/>
    </row>
    <row r="7633" spans="93:93" x14ac:dyDescent="0.3">
      <c r="CO7633" s="15"/>
    </row>
    <row r="7634" spans="93:93" x14ac:dyDescent="0.3">
      <c r="CO7634" s="15"/>
    </row>
    <row r="7635" spans="93:93" x14ac:dyDescent="0.3">
      <c r="CO7635" s="15"/>
    </row>
    <row r="7636" spans="93:93" x14ac:dyDescent="0.3">
      <c r="CO7636" s="15"/>
    </row>
    <row r="7637" spans="93:93" x14ac:dyDescent="0.3">
      <c r="CO7637" s="15"/>
    </row>
    <row r="7638" spans="93:93" x14ac:dyDescent="0.3">
      <c r="CO7638" s="15"/>
    </row>
    <row r="7639" spans="93:93" x14ac:dyDescent="0.3">
      <c r="CO7639" s="15"/>
    </row>
    <row r="7640" spans="93:93" x14ac:dyDescent="0.3">
      <c r="CO7640" s="15"/>
    </row>
    <row r="7641" spans="93:93" x14ac:dyDescent="0.3">
      <c r="CO7641" s="15"/>
    </row>
    <row r="7642" spans="93:93" x14ac:dyDescent="0.3">
      <c r="CO7642" s="15"/>
    </row>
    <row r="7643" spans="93:93" x14ac:dyDescent="0.3">
      <c r="CO7643" s="15"/>
    </row>
    <row r="7644" spans="93:93" x14ac:dyDescent="0.3">
      <c r="CO7644" s="15"/>
    </row>
    <row r="7645" spans="93:93" x14ac:dyDescent="0.3">
      <c r="CO7645" s="15"/>
    </row>
    <row r="7646" spans="93:93" x14ac:dyDescent="0.3">
      <c r="CO7646" s="15"/>
    </row>
    <row r="7647" spans="93:93" x14ac:dyDescent="0.3">
      <c r="CO7647" s="15"/>
    </row>
    <row r="7648" spans="93:93" x14ac:dyDescent="0.3">
      <c r="CO7648" s="15"/>
    </row>
    <row r="7649" spans="93:93" x14ac:dyDescent="0.3">
      <c r="CO7649" s="15"/>
    </row>
    <row r="7650" spans="93:93" x14ac:dyDescent="0.3">
      <c r="CO7650" s="15"/>
    </row>
    <row r="7651" spans="93:93" x14ac:dyDescent="0.3">
      <c r="CO7651" s="15"/>
    </row>
    <row r="7652" spans="93:93" x14ac:dyDescent="0.3">
      <c r="CO7652" s="15"/>
    </row>
    <row r="7653" spans="93:93" x14ac:dyDescent="0.3">
      <c r="CO7653" s="15"/>
    </row>
    <row r="7654" spans="93:93" x14ac:dyDescent="0.3">
      <c r="CO7654" s="15"/>
    </row>
    <row r="7655" spans="93:93" x14ac:dyDescent="0.3">
      <c r="CO7655" s="15"/>
    </row>
    <row r="7656" spans="93:93" x14ac:dyDescent="0.3">
      <c r="CO7656" s="15"/>
    </row>
    <row r="7657" spans="93:93" x14ac:dyDescent="0.3">
      <c r="CO7657" s="15"/>
    </row>
    <row r="7658" spans="93:93" x14ac:dyDescent="0.3">
      <c r="CO7658" s="15"/>
    </row>
    <row r="7659" spans="93:93" x14ac:dyDescent="0.3">
      <c r="CO7659" s="15"/>
    </row>
    <row r="7660" spans="93:93" x14ac:dyDescent="0.3">
      <c r="CO7660" s="15"/>
    </row>
    <row r="7661" spans="93:93" x14ac:dyDescent="0.3">
      <c r="CO7661" s="15"/>
    </row>
    <row r="7662" spans="93:93" x14ac:dyDescent="0.3">
      <c r="CO7662" s="15"/>
    </row>
    <row r="7663" spans="93:93" x14ac:dyDescent="0.3">
      <c r="CO7663" s="15"/>
    </row>
    <row r="7664" spans="93:93" x14ac:dyDescent="0.3">
      <c r="CO7664" s="15"/>
    </row>
    <row r="7665" spans="93:93" x14ac:dyDescent="0.3">
      <c r="CO7665" s="15"/>
    </row>
    <row r="7666" spans="93:93" x14ac:dyDescent="0.3">
      <c r="CO7666" s="15"/>
    </row>
    <row r="7667" spans="93:93" x14ac:dyDescent="0.3">
      <c r="CO7667" s="15"/>
    </row>
    <row r="7668" spans="93:93" x14ac:dyDescent="0.3">
      <c r="CO7668" s="15"/>
    </row>
    <row r="7669" spans="93:93" x14ac:dyDescent="0.3">
      <c r="CO7669" s="15"/>
    </row>
    <row r="7670" spans="93:93" x14ac:dyDescent="0.3">
      <c r="CO7670" s="15"/>
    </row>
    <row r="7671" spans="93:93" x14ac:dyDescent="0.3">
      <c r="CO7671" s="15"/>
    </row>
    <row r="7672" spans="93:93" x14ac:dyDescent="0.3">
      <c r="CO7672" s="15"/>
    </row>
    <row r="7673" spans="93:93" x14ac:dyDescent="0.3">
      <c r="CO7673" s="15"/>
    </row>
    <row r="7674" spans="93:93" x14ac:dyDescent="0.3">
      <c r="CO7674" s="15"/>
    </row>
    <row r="7675" spans="93:93" x14ac:dyDescent="0.3">
      <c r="CO7675" s="15"/>
    </row>
    <row r="7676" spans="93:93" x14ac:dyDescent="0.3">
      <c r="CO7676" s="15"/>
    </row>
    <row r="7677" spans="93:93" x14ac:dyDescent="0.3">
      <c r="CO7677" s="15"/>
    </row>
    <row r="7678" spans="93:93" x14ac:dyDescent="0.3">
      <c r="CO7678" s="15"/>
    </row>
    <row r="7679" spans="93:93" x14ac:dyDescent="0.3">
      <c r="CO7679" s="15"/>
    </row>
    <row r="7680" spans="93:93" x14ac:dyDescent="0.3">
      <c r="CO7680" s="15"/>
    </row>
    <row r="7681" spans="93:93" x14ac:dyDescent="0.3">
      <c r="CO7681" s="15"/>
    </row>
    <row r="7682" spans="93:93" x14ac:dyDescent="0.3">
      <c r="CO7682" s="15"/>
    </row>
    <row r="7683" spans="93:93" x14ac:dyDescent="0.3">
      <c r="CO7683" s="15"/>
    </row>
    <row r="7684" spans="93:93" x14ac:dyDescent="0.3">
      <c r="CO7684" s="15"/>
    </row>
    <row r="7685" spans="93:93" x14ac:dyDescent="0.3">
      <c r="CO7685" s="15"/>
    </row>
    <row r="7686" spans="93:93" x14ac:dyDescent="0.3">
      <c r="CO7686" s="15"/>
    </row>
    <row r="7687" spans="93:93" x14ac:dyDescent="0.3">
      <c r="CO7687" s="15"/>
    </row>
    <row r="7688" spans="93:93" x14ac:dyDescent="0.3">
      <c r="CO7688" s="15"/>
    </row>
    <row r="7689" spans="93:93" x14ac:dyDescent="0.3">
      <c r="CO7689" s="15"/>
    </row>
    <row r="7690" spans="93:93" x14ac:dyDescent="0.3">
      <c r="CO7690" s="15"/>
    </row>
    <row r="7691" spans="93:93" x14ac:dyDescent="0.3">
      <c r="CO7691" s="15"/>
    </row>
    <row r="7692" spans="93:93" x14ac:dyDescent="0.3">
      <c r="CO7692" s="15"/>
    </row>
    <row r="7693" spans="93:93" x14ac:dyDescent="0.3">
      <c r="CO7693" s="15"/>
    </row>
    <row r="7694" spans="93:93" x14ac:dyDescent="0.3">
      <c r="CO7694" s="15"/>
    </row>
    <row r="7695" spans="93:93" x14ac:dyDescent="0.3">
      <c r="CO7695" s="15"/>
    </row>
    <row r="7696" spans="93:93" x14ac:dyDescent="0.3">
      <c r="CO7696" s="15"/>
    </row>
    <row r="7697" spans="93:93" x14ac:dyDescent="0.3">
      <c r="CO7697" s="15"/>
    </row>
    <row r="7698" spans="93:93" x14ac:dyDescent="0.3">
      <c r="CO7698" s="15"/>
    </row>
    <row r="7699" spans="93:93" x14ac:dyDescent="0.3">
      <c r="CO7699" s="15"/>
    </row>
    <row r="7700" spans="93:93" x14ac:dyDescent="0.3">
      <c r="CO7700" s="15"/>
    </row>
    <row r="7701" spans="93:93" x14ac:dyDescent="0.3">
      <c r="CO7701" s="15"/>
    </row>
    <row r="7702" spans="93:93" x14ac:dyDescent="0.3">
      <c r="CO7702" s="15"/>
    </row>
    <row r="7703" spans="93:93" x14ac:dyDescent="0.3">
      <c r="CO7703" s="15"/>
    </row>
    <row r="7704" spans="93:93" x14ac:dyDescent="0.3">
      <c r="CO7704" s="15"/>
    </row>
    <row r="7705" spans="93:93" x14ac:dyDescent="0.3">
      <c r="CO7705" s="15"/>
    </row>
    <row r="7706" spans="93:93" x14ac:dyDescent="0.3">
      <c r="CO7706" s="15"/>
    </row>
    <row r="7707" spans="93:93" x14ac:dyDescent="0.3">
      <c r="CO7707" s="15"/>
    </row>
    <row r="7708" spans="93:93" x14ac:dyDescent="0.3">
      <c r="CO7708" s="15"/>
    </row>
    <row r="7709" spans="93:93" x14ac:dyDescent="0.3">
      <c r="CO7709" s="15"/>
    </row>
    <row r="7710" spans="93:93" x14ac:dyDescent="0.3">
      <c r="CO7710" s="15"/>
    </row>
    <row r="7711" spans="93:93" x14ac:dyDescent="0.3">
      <c r="CO7711" s="15"/>
    </row>
    <row r="7712" spans="93:93" x14ac:dyDescent="0.3">
      <c r="CO7712" s="15"/>
    </row>
    <row r="7713" spans="93:93" x14ac:dyDescent="0.3">
      <c r="CO7713" s="15"/>
    </row>
    <row r="7714" spans="93:93" x14ac:dyDescent="0.3">
      <c r="CO7714" s="15"/>
    </row>
    <row r="7715" spans="93:93" x14ac:dyDescent="0.3">
      <c r="CO7715" s="15"/>
    </row>
    <row r="7716" spans="93:93" x14ac:dyDescent="0.3">
      <c r="CO7716" s="15"/>
    </row>
    <row r="7717" spans="93:93" x14ac:dyDescent="0.3">
      <c r="CO7717" s="15"/>
    </row>
    <row r="7718" spans="93:93" x14ac:dyDescent="0.3">
      <c r="CO7718" s="15"/>
    </row>
    <row r="7719" spans="93:93" x14ac:dyDescent="0.3">
      <c r="CO7719" s="15"/>
    </row>
    <row r="7720" spans="93:93" x14ac:dyDescent="0.3">
      <c r="CO7720" s="15"/>
    </row>
    <row r="7721" spans="93:93" x14ac:dyDescent="0.3">
      <c r="CO7721" s="15"/>
    </row>
    <row r="7722" spans="93:93" x14ac:dyDescent="0.3">
      <c r="CO7722" s="15"/>
    </row>
    <row r="7723" spans="93:93" x14ac:dyDescent="0.3">
      <c r="CO7723" s="15"/>
    </row>
    <row r="7724" spans="93:93" x14ac:dyDescent="0.3">
      <c r="CO7724" s="15"/>
    </row>
    <row r="7725" spans="93:93" x14ac:dyDescent="0.3">
      <c r="CO7725" s="15"/>
    </row>
    <row r="7726" spans="93:93" x14ac:dyDescent="0.3">
      <c r="CO7726" s="15"/>
    </row>
    <row r="7727" spans="93:93" x14ac:dyDescent="0.3">
      <c r="CO7727" s="15"/>
    </row>
    <row r="7728" spans="93:93" x14ac:dyDescent="0.3">
      <c r="CO7728" s="15"/>
    </row>
    <row r="7729" spans="93:93" x14ac:dyDescent="0.3">
      <c r="CO7729" s="15"/>
    </row>
    <row r="7730" spans="93:93" x14ac:dyDescent="0.3">
      <c r="CO7730" s="15"/>
    </row>
    <row r="7731" spans="93:93" x14ac:dyDescent="0.3">
      <c r="CO7731" s="15"/>
    </row>
    <row r="7732" spans="93:93" x14ac:dyDescent="0.3">
      <c r="CO7732" s="15"/>
    </row>
    <row r="7733" spans="93:93" x14ac:dyDescent="0.3">
      <c r="CO7733" s="15"/>
    </row>
    <row r="7734" spans="93:93" x14ac:dyDescent="0.3">
      <c r="CO7734" s="15"/>
    </row>
    <row r="7735" spans="93:93" x14ac:dyDescent="0.3">
      <c r="CO7735" s="15"/>
    </row>
    <row r="7736" spans="93:93" x14ac:dyDescent="0.3">
      <c r="CO7736" s="15"/>
    </row>
    <row r="7737" spans="93:93" x14ac:dyDescent="0.3">
      <c r="CO7737" s="15"/>
    </row>
    <row r="7738" spans="93:93" x14ac:dyDescent="0.3">
      <c r="CO7738" s="15"/>
    </row>
    <row r="7739" spans="93:93" x14ac:dyDescent="0.3">
      <c r="CO7739" s="15"/>
    </row>
    <row r="7740" spans="93:93" x14ac:dyDescent="0.3">
      <c r="CO7740" s="15"/>
    </row>
    <row r="7741" spans="93:93" x14ac:dyDescent="0.3">
      <c r="CO7741" s="15"/>
    </row>
    <row r="7742" spans="93:93" x14ac:dyDescent="0.3">
      <c r="CO7742" s="15"/>
    </row>
    <row r="7743" spans="93:93" x14ac:dyDescent="0.3">
      <c r="CO7743" s="15"/>
    </row>
    <row r="7744" spans="93:93" x14ac:dyDescent="0.3">
      <c r="CO7744" s="15"/>
    </row>
    <row r="7745" spans="93:93" x14ac:dyDescent="0.3">
      <c r="CO7745" s="15"/>
    </row>
    <row r="7746" spans="93:93" x14ac:dyDescent="0.3">
      <c r="CO7746" s="15"/>
    </row>
    <row r="7747" spans="93:93" x14ac:dyDescent="0.3">
      <c r="CO7747" s="15"/>
    </row>
    <row r="7748" spans="93:93" x14ac:dyDescent="0.3">
      <c r="CO7748" s="15"/>
    </row>
    <row r="7749" spans="93:93" x14ac:dyDescent="0.3">
      <c r="CO7749" s="15"/>
    </row>
    <row r="7750" spans="93:93" x14ac:dyDescent="0.3">
      <c r="CO7750" s="15"/>
    </row>
    <row r="7751" spans="93:93" x14ac:dyDescent="0.3">
      <c r="CO7751" s="15"/>
    </row>
    <row r="7752" spans="93:93" x14ac:dyDescent="0.3">
      <c r="CO7752" s="15"/>
    </row>
    <row r="7753" spans="93:93" x14ac:dyDescent="0.3">
      <c r="CO7753" s="15"/>
    </row>
    <row r="7754" spans="93:93" x14ac:dyDescent="0.3">
      <c r="CO7754" s="15"/>
    </row>
    <row r="7755" spans="93:93" x14ac:dyDescent="0.3">
      <c r="CO7755" s="15"/>
    </row>
    <row r="7756" spans="93:93" x14ac:dyDescent="0.3">
      <c r="CO7756" s="15"/>
    </row>
    <row r="7757" spans="93:93" x14ac:dyDescent="0.3">
      <c r="CO7757" s="15"/>
    </row>
    <row r="7758" spans="93:93" x14ac:dyDescent="0.3">
      <c r="CO7758" s="15"/>
    </row>
    <row r="7759" spans="93:93" x14ac:dyDescent="0.3">
      <c r="CO7759" s="15"/>
    </row>
    <row r="7760" spans="93:93" x14ac:dyDescent="0.3">
      <c r="CO7760" s="15"/>
    </row>
    <row r="7761" spans="93:93" x14ac:dyDescent="0.3">
      <c r="CO7761" s="15"/>
    </row>
    <row r="7762" spans="93:93" x14ac:dyDescent="0.3">
      <c r="CO7762" s="15"/>
    </row>
    <row r="7763" spans="93:93" x14ac:dyDescent="0.3">
      <c r="CO7763" s="15"/>
    </row>
    <row r="7764" spans="93:93" x14ac:dyDescent="0.3">
      <c r="CO7764" s="15"/>
    </row>
    <row r="7765" spans="93:93" x14ac:dyDescent="0.3">
      <c r="CO7765" s="15"/>
    </row>
    <row r="7766" spans="93:93" x14ac:dyDescent="0.3">
      <c r="CO7766" s="15"/>
    </row>
    <row r="7767" spans="93:93" x14ac:dyDescent="0.3">
      <c r="CO7767" s="15"/>
    </row>
    <row r="7768" spans="93:93" x14ac:dyDescent="0.3">
      <c r="CO7768" s="15"/>
    </row>
    <row r="7769" spans="93:93" x14ac:dyDescent="0.3">
      <c r="CO7769" s="15"/>
    </row>
    <row r="7770" spans="93:93" x14ac:dyDescent="0.3">
      <c r="CO7770" s="15"/>
    </row>
    <row r="7771" spans="93:93" x14ac:dyDescent="0.3">
      <c r="CO7771" s="15"/>
    </row>
    <row r="7772" spans="93:93" x14ac:dyDescent="0.3">
      <c r="CO7772" s="15"/>
    </row>
    <row r="7773" spans="93:93" x14ac:dyDescent="0.3">
      <c r="CO7773" s="15"/>
    </row>
    <row r="7774" spans="93:93" x14ac:dyDescent="0.3">
      <c r="CO7774" s="15"/>
    </row>
    <row r="7775" spans="93:93" x14ac:dyDescent="0.3">
      <c r="CO7775" s="15"/>
    </row>
    <row r="7776" spans="93:93" x14ac:dyDescent="0.3">
      <c r="CO7776" s="15"/>
    </row>
    <row r="7777" spans="93:93" x14ac:dyDescent="0.3">
      <c r="CO7777" s="15"/>
    </row>
    <row r="7778" spans="93:93" x14ac:dyDescent="0.3">
      <c r="CO7778" s="15"/>
    </row>
    <row r="7779" spans="93:93" x14ac:dyDescent="0.3">
      <c r="CO7779" s="15"/>
    </row>
    <row r="7780" spans="93:93" x14ac:dyDescent="0.3">
      <c r="CO7780" s="15"/>
    </row>
    <row r="7781" spans="93:93" x14ac:dyDescent="0.3">
      <c r="CO7781" s="15"/>
    </row>
    <row r="7782" spans="93:93" x14ac:dyDescent="0.3">
      <c r="CO7782" s="15"/>
    </row>
    <row r="7783" spans="93:93" x14ac:dyDescent="0.3">
      <c r="CO7783" s="15"/>
    </row>
    <row r="7784" spans="93:93" x14ac:dyDescent="0.3">
      <c r="CO7784" s="15"/>
    </row>
    <row r="7785" spans="93:93" x14ac:dyDescent="0.3">
      <c r="CO7785" s="15"/>
    </row>
    <row r="7786" spans="93:93" x14ac:dyDescent="0.3">
      <c r="CO7786" s="15"/>
    </row>
    <row r="7787" spans="93:93" x14ac:dyDescent="0.3">
      <c r="CO7787" s="15"/>
    </row>
    <row r="7788" spans="93:93" x14ac:dyDescent="0.3">
      <c r="CO7788" s="15"/>
    </row>
    <row r="7789" spans="93:93" x14ac:dyDescent="0.3">
      <c r="CO7789" s="15"/>
    </row>
    <row r="7790" spans="93:93" x14ac:dyDescent="0.3">
      <c r="CO7790" s="15"/>
    </row>
    <row r="7791" spans="93:93" x14ac:dyDescent="0.3">
      <c r="CO7791" s="15"/>
    </row>
    <row r="7792" spans="93:93" x14ac:dyDescent="0.3">
      <c r="CO7792" s="15"/>
    </row>
    <row r="7793" spans="93:93" x14ac:dyDescent="0.3">
      <c r="CO7793" s="15"/>
    </row>
    <row r="7794" spans="93:93" x14ac:dyDescent="0.3">
      <c r="CO7794" s="15"/>
    </row>
    <row r="7795" spans="93:93" x14ac:dyDescent="0.3">
      <c r="CO7795" s="15"/>
    </row>
    <row r="7796" spans="93:93" x14ac:dyDescent="0.3">
      <c r="CO7796" s="15"/>
    </row>
    <row r="7797" spans="93:93" x14ac:dyDescent="0.3">
      <c r="CO7797" s="15"/>
    </row>
    <row r="7798" spans="93:93" x14ac:dyDescent="0.3">
      <c r="CO7798" s="15"/>
    </row>
    <row r="7799" spans="93:93" x14ac:dyDescent="0.3">
      <c r="CO7799" s="15"/>
    </row>
    <row r="7800" spans="93:93" x14ac:dyDescent="0.3">
      <c r="CO7800" s="15"/>
    </row>
    <row r="7801" spans="93:93" x14ac:dyDescent="0.3">
      <c r="CO7801" s="15"/>
    </row>
    <row r="7802" spans="93:93" x14ac:dyDescent="0.3">
      <c r="CO7802" s="15"/>
    </row>
    <row r="7803" spans="93:93" x14ac:dyDescent="0.3">
      <c r="CO7803" s="15"/>
    </row>
    <row r="7804" spans="93:93" x14ac:dyDescent="0.3">
      <c r="CO7804" s="15"/>
    </row>
    <row r="7805" spans="93:93" x14ac:dyDescent="0.3">
      <c r="CO7805" s="15"/>
    </row>
    <row r="7806" spans="93:93" x14ac:dyDescent="0.3">
      <c r="CO7806" s="15"/>
    </row>
    <row r="7807" spans="93:93" x14ac:dyDescent="0.3">
      <c r="CO7807" s="15"/>
    </row>
    <row r="7808" spans="93:93" x14ac:dyDescent="0.3">
      <c r="CO7808" s="15"/>
    </row>
    <row r="7809" spans="93:93" x14ac:dyDescent="0.3">
      <c r="CO7809" s="15"/>
    </row>
    <row r="7810" spans="93:93" x14ac:dyDescent="0.3">
      <c r="CO7810" s="15"/>
    </row>
    <row r="7811" spans="93:93" x14ac:dyDescent="0.3">
      <c r="CO7811" s="15"/>
    </row>
    <row r="7812" spans="93:93" x14ac:dyDescent="0.3">
      <c r="CO7812" s="15"/>
    </row>
    <row r="7813" spans="93:93" x14ac:dyDescent="0.3">
      <c r="CO7813" s="15"/>
    </row>
    <row r="7814" spans="93:93" x14ac:dyDescent="0.3">
      <c r="CO7814" s="15"/>
    </row>
    <row r="7815" spans="93:93" x14ac:dyDescent="0.3">
      <c r="CO7815" s="15"/>
    </row>
    <row r="7816" spans="93:93" x14ac:dyDescent="0.3">
      <c r="CO7816" s="15"/>
    </row>
    <row r="7817" spans="93:93" x14ac:dyDescent="0.3">
      <c r="CO7817" s="15"/>
    </row>
    <row r="7818" spans="93:93" x14ac:dyDescent="0.3">
      <c r="CO7818" s="15"/>
    </row>
    <row r="7819" spans="93:93" x14ac:dyDescent="0.3">
      <c r="CO7819" s="15"/>
    </row>
    <row r="7820" spans="93:93" x14ac:dyDescent="0.3">
      <c r="CO7820" s="15"/>
    </row>
    <row r="7821" spans="93:93" x14ac:dyDescent="0.3">
      <c r="CO7821" s="15"/>
    </row>
    <row r="7822" spans="93:93" x14ac:dyDescent="0.3">
      <c r="CO7822" s="15"/>
    </row>
    <row r="7823" spans="93:93" x14ac:dyDescent="0.3">
      <c r="CO7823" s="15"/>
    </row>
    <row r="7824" spans="93:93" x14ac:dyDescent="0.3">
      <c r="CO7824" s="15"/>
    </row>
    <row r="7825" spans="93:93" x14ac:dyDescent="0.3">
      <c r="CO7825" s="15"/>
    </row>
    <row r="7826" spans="93:93" x14ac:dyDescent="0.3">
      <c r="CO7826" s="15"/>
    </row>
    <row r="7827" spans="93:93" x14ac:dyDescent="0.3">
      <c r="CO7827" s="15"/>
    </row>
    <row r="7828" spans="93:93" x14ac:dyDescent="0.3">
      <c r="CO7828" s="15"/>
    </row>
    <row r="7829" spans="93:93" x14ac:dyDescent="0.3">
      <c r="CO7829" s="15"/>
    </row>
    <row r="7830" spans="93:93" x14ac:dyDescent="0.3">
      <c r="CO7830" s="15"/>
    </row>
    <row r="7831" spans="93:93" x14ac:dyDescent="0.3">
      <c r="CO7831" s="15"/>
    </row>
    <row r="7832" spans="93:93" x14ac:dyDescent="0.3">
      <c r="CO7832" s="15"/>
    </row>
    <row r="7833" spans="93:93" x14ac:dyDescent="0.3">
      <c r="CO7833" s="15"/>
    </row>
    <row r="7834" spans="93:93" x14ac:dyDescent="0.3">
      <c r="CO7834" s="15"/>
    </row>
    <row r="7835" spans="93:93" x14ac:dyDescent="0.3">
      <c r="CO7835" s="15"/>
    </row>
    <row r="7836" spans="93:93" x14ac:dyDescent="0.3">
      <c r="CO7836" s="15"/>
    </row>
    <row r="7837" spans="93:93" x14ac:dyDescent="0.3">
      <c r="CO7837" s="15"/>
    </row>
    <row r="7838" spans="93:93" x14ac:dyDescent="0.3">
      <c r="CO7838" s="15"/>
    </row>
    <row r="7839" spans="93:93" x14ac:dyDescent="0.3">
      <c r="CO7839" s="15"/>
    </row>
    <row r="7840" spans="93:93" x14ac:dyDescent="0.3">
      <c r="CO7840" s="15"/>
    </row>
    <row r="7841" spans="93:93" x14ac:dyDescent="0.3">
      <c r="CO7841" s="15"/>
    </row>
    <row r="7842" spans="93:93" x14ac:dyDescent="0.3">
      <c r="CO7842" s="15"/>
    </row>
    <row r="7843" spans="93:93" x14ac:dyDescent="0.3">
      <c r="CO7843" s="15"/>
    </row>
    <row r="7844" spans="93:93" x14ac:dyDescent="0.3">
      <c r="CO7844" s="15"/>
    </row>
    <row r="7845" spans="93:93" x14ac:dyDescent="0.3">
      <c r="CO7845" s="15"/>
    </row>
    <row r="7846" spans="93:93" x14ac:dyDescent="0.3">
      <c r="CO7846" s="15"/>
    </row>
    <row r="7847" spans="93:93" x14ac:dyDescent="0.3">
      <c r="CO7847" s="15"/>
    </row>
    <row r="7848" spans="93:93" x14ac:dyDescent="0.3">
      <c r="CO7848" s="15"/>
    </row>
    <row r="7849" spans="93:93" x14ac:dyDescent="0.3">
      <c r="CO7849" s="15"/>
    </row>
    <row r="7850" spans="93:93" x14ac:dyDescent="0.3">
      <c r="CO7850" s="15"/>
    </row>
    <row r="7851" spans="93:93" x14ac:dyDescent="0.3">
      <c r="CO7851" s="15"/>
    </row>
    <row r="7852" spans="93:93" x14ac:dyDescent="0.3">
      <c r="CO7852" s="15"/>
    </row>
    <row r="7853" spans="93:93" x14ac:dyDescent="0.3">
      <c r="CO7853" s="15"/>
    </row>
    <row r="7854" spans="93:93" x14ac:dyDescent="0.3">
      <c r="CO7854" s="15"/>
    </row>
    <row r="7855" spans="93:93" x14ac:dyDescent="0.3">
      <c r="CO7855" s="15"/>
    </row>
    <row r="7856" spans="93:93" x14ac:dyDescent="0.3">
      <c r="CO7856" s="15"/>
    </row>
    <row r="7857" spans="93:93" x14ac:dyDescent="0.3">
      <c r="CO7857" s="15"/>
    </row>
    <row r="7858" spans="93:93" x14ac:dyDescent="0.3">
      <c r="CO7858" s="15"/>
    </row>
    <row r="7859" spans="93:93" x14ac:dyDescent="0.3">
      <c r="CO7859" s="15"/>
    </row>
    <row r="7860" spans="93:93" x14ac:dyDescent="0.3">
      <c r="CO7860" s="15"/>
    </row>
    <row r="7861" spans="93:93" x14ac:dyDescent="0.3">
      <c r="CO7861" s="15"/>
    </row>
    <row r="7862" spans="93:93" x14ac:dyDescent="0.3">
      <c r="CO7862" s="15"/>
    </row>
    <row r="7863" spans="93:93" x14ac:dyDescent="0.3">
      <c r="CO7863" s="15"/>
    </row>
    <row r="7864" spans="93:93" x14ac:dyDescent="0.3">
      <c r="CO7864" s="15"/>
    </row>
    <row r="7865" spans="93:93" x14ac:dyDescent="0.3">
      <c r="CO7865" s="15"/>
    </row>
    <row r="7866" spans="93:93" x14ac:dyDescent="0.3">
      <c r="CO7866" s="15"/>
    </row>
    <row r="7867" spans="93:93" x14ac:dyDescent="0.3">
      <c r="CO7867" s="15"/>
    </row>
    <row r="7868" spans="93:93" x14ac:dyDescent="0.3">
      <c r="CO7868" s="15"/>
    </row>
    <row r="7869" spans="93:93" x14ac:dyDescent="0.3">
      <c r="CO7869" s="15"/>
    </row>
    <row r="7870" spans="93:93" x14ac:dyDescent="0.3">
      <c r="CO7870" s="15"/>
    </row>
    <row r="7871" spans="93:93" x14ac:dyDescent="0.3">
      <c r="CO7871" s="15"/>
    </row>
    <row r="7872" spans="93:93" x14ac:dyDescent="0.3">
      <c r="CO7872" s="15"/>
    </row>
    <row r="7873" spans="93:93" x14ac:dyDescent="0.3">
      <c r="CO7873" s="15"/>
    </row>
    <row r="7874" spans="93:93" x14ac:dyDescent="0.3">
      <c r="CO7874" s="15"/>
    </row>
    <row r="7875" spans="93:93" x14ac:dyDescent="0.3">
      <c r="CO7875" s="15"/>
    </row>
    <row r="7876" spans="93:93" x14ac:dyDescent="0.3">
      <c r="CO7876" s="15"/>
    </row>
    <row r="7877" spans="93:93" x14ac:dyDescent="0.3">
      <c r="CO7877" s="15"/>
    </row>
    <row r="7878" spans="93:93" x14ac:dyDescent="0.3">
      <c r="CO7878" s="15"/>
    </row>
    <row r="7879" spans="93:93" x14ac:dyDescent="0.3">
      <c r="CO7879" s="15"/>
    </row>
    <row r="7880" spans="93:93" x14ac:dyDescent="0.3">
      <c r="CO7880" s="15"/>
    </row>
    <row r="7881" spans="93:93" x14ac:dyDescent="0.3">
      <c r="CO7881" s="15"/>
    </row>
    <row r="7882" spans="93:93" x14ac:dyDescent="0.3">
      <c r="CO7882" s="15"/>
    </row>
    <row r="7883" spans="93:93" x14ac:dyDescent="0.3">
      <c r="CO7883" s="15"/>
    </row>
    <row r="7884" spans="93:93" x14ac:dyDescent="0.3">
      <c r="CO7884" s="15"/>
    </row>
    <row r="7885" spans="93:93" x14ac:dyDescent="0.3">
      <c r="CO7885" s="15"/>
    </row>
    <row r="7886" spans="93:93" x14ac:dyDescent="0.3">
      <c r="CO7886" s="15"/>
    </row>
    <row r="7887" spans="93:93" x14ac:dyDescent="0.3">
      <c r="CO7887" s="15"/>
    </row>
    <row r="7888" spans="93:93" x14ac:dyDescent="0.3">
      <c r="CO7888" s="15"/>
    </row>
    <row r="7889" spans="93:93" x14ac:dyDescent="0.3">
      <c r="CO7889" s="15"/>
    </row>
    <row r="7890" spans="93:93" x14ac:dyDescent="0.3">
      <c r="CO7890" s="15"/>
    </row>
    <row r="7891" spans="93:93" x14ac:dyDescent="0.3">
      <c r="CO7891" s="15"/>
    </row>
    <row r="7892" spans="93:93" x14ac:dyDescent="0.3">
      <c r="CO7892" s="15"/>
    </row>
    <row r="7893" spans="93:93" x14ac:dyDescent="0.3">
      <c r="CO7893" s="15"/>
    </row>
    <row r="7894" spans="93:93" x14ac:dyDescent="0.3">
      <c r="CO7894" s="15"/>
    </row>
    <row r="7895" spans="93:93" x14ac:dyDescent="0.3">
      <c r="CO7895" s="15"/>
    </row>
    <row r="7896" spans="93:93" x14ac:dyDescent="0.3">
      <c r="CO7896" s="15"/>
    </row>
    <row r="7897" spans="93:93" x14ac:dyDescent="0.3">
      <c r="CO7897" s="15"/>
    </row>
    <row r="7898" spans="93:93" x14ac:dyDescent="0.3">
      <c r="CO7898" s="15"/>
    </row>
    <row r="7899" spans="93:93" x14ac:dyDescent="0.3">
      <c r="CO7899" s="15"/>
    </row>
    <row r="7900" spans="93:93" x14ac:dyDescent="0.3">
      <c r="CO7900" s="15"/>
    </row>
    <row r="7901" spans="93:93" x14ac:dyDescent="0.3">
      <c r="CO7901" s="15"/>
    </row>
    <row r="7902" spans="93:93" x14ac:dyDescent="0.3">
      <c r="CO7902" s="15"/>
    </row>
    <row r="7903" spans="93:93" x14ac:dyDescent="0.3">
      <c r="CO7903" s="15"/>
    </row>
    <row r="7904" spans="93:93" x14ac:dyDescent="0.3">
      <c r="CO7904" s="15"/>
    </row>
    <row r="7905" spans="93:93" x14ac:dyDescent="0.3">
      <c r="CO7905" s="15"/>
    </row>
    <row r="7906" spans="93:93" x14ac:dyDescent="0.3">
      <c r="CO7906" s="15"/>
    </row>
    <row r="7907" spans="93:93" x14ac:dyDescent="0.3">
      <c r="CO7907" s="15"/>
    </row>
    <row r="7908" spans="93:93" x14ac:dyDescent="0.3">
      <c r="CO7908" s="15"/>
    </row>
    <row r="7909" spans="93:93" x14ac:dyDescent="0.3">
      <c r="CO7909" s="15"/>
    </row>
    <row r="7910" spans="93:93" x14ac:dyDescent="0.3">
      <c r="CO7910" s="15"/>
    </row>
    <row r="7911" spans="93:93" x14ac:dyDescent="0.3">
      <c r="CO7911" s="15"/>
    </row>
    <row r="7912" spans="93:93" x14ac:dyDescent="0.3">
      <c r="CO7912" s="15"/>
    </row>
    <row r="7913" spans="93:93" x14ac:dyDescent="0.3">
      <c r="CO7913" s="15"/>
    </row>
    <row r="7914" spans="93:93" x14ac:dyDescent="0.3">
      <c r="CO7914" s="15"/>
    </row>
    <row r="7915" spans="93:93" x14ac:dyDescent="0.3">
      <c r="CO7915" s="15"/>
    </row>
    <row r="7916" spans="93:93" x14ac:dyDescent="0.3">
      <c r="CO7916" s="15"/>
    </row>
    <row r="7917" spans="93:93" x14ac:dyDescent="0.3">
      <c r="CO7917" s="15"/>
    </row>
    <row r="7918" spans="93:93" x14ac:dyDescent="0.3">
      <c r="CO7918" s="15"/>
    </row>
    <row r="7919" spans="93:93" x14ac:dyDescent="0.3">
      <c r="CO7919" s="15"/>
    </row>
    <row r="7920" spans="93:93" x14ac:dyDescent="0.3">
      <c r="CO7920" s="15"/>
    </row>
    <row r="7921" spans="93:93" x14ac:dyDescent="0.3">
      <c r="CO7921" s="15"/>
    </row>
    <row r="7922" spans="93:93" x14ac:dyDescent="0.3">
      <c r="CO7922" s="15"/>
    </row>
    <row r="7923" spans="93:93" x14ac:dyDescent="0.3">
      <c r="CO7923" s="15"/>
    </row>
    <row r="7924" spans="93:93" x14ac:dyDescent="0.3">
      <c r="CO7924" s="15"/>
    </row>
    <row r="7925" spans="93:93" x14ac:dyDescent="0.3">
      <c r="CO7925" s="15"/>
    </row>
    <row r="7926" spans="93:93" x14ac:dyDescent="0.3">
      <c r="CO7926" s="15"/>
    </row>
    <row r="7927" spans="93:93" x14ac:dyDescent="0.3">
      <c r="CO7927" s="15"/>
    </row>
    <row r="7928" spans="93:93" x14ac:dyDescent="0.3">
      <c r="CO7928" s="15"/>
    </row>
    <row r="7929" spans="93:93" x14ac:dyDescent="0.3">
      <c r="CO7929" s="15"/>
    </row>
    <row r="7930" spans="93:93" x14ac:dyDescent="0.3">
      <c r="CO7930" s="15"/>
    </row>
    <row r="7931" spans="93:93" x14ac:dyDescent="0.3">
      <c r="CO7931" s="15"/>
    </row>
    <row r="7932" spans="93:93" x14ac:dyDescent="0.3">
      <c r="CO7932" s="15"/>
    </row>
    <row r="7933" spans="93:93" x14ac:dyDescent="0.3">
      <c r="CO7933" s="15"/>
    </row>
    <row r="7934" spans="93:93" x14ac:dyDescent="0.3">
      <c r="CO7934" s="15"/>
    </row>
    <row r="7935" spans="93:93" x14ac:dyDescent="0.3">
      <c r="CO7935" s="15"/>
    </row>
    <row r="7936" spans="93:93" x14ac:dyDescent="0.3">
      <c r="CO7936" s="15"/>
    </row>
    <row r="7937" spans="93:93" x14ac:dyDescent="0.3">
      <c r="CO7937" s="15"/>
    </row>
    <row r="7938" spans="93:93" x14ac:dyDescent="0.3">
      <c r="CO7938" s="15"/>
    </row>
    <row r="7939" spans="93:93" x14ac:dyDescent="0.3">
      <c r="CO7939" s="15"/>
    </row>
    <row r="7940" spans="93:93" x14ac:dyDescent="0.3">
      <c r="CO7940" s="15"/>
    </row>
    <row r="7941" spans="93:93" x14ac:dyDescent="0.3">
      <c r="CO7941" s="15"/>
    </row>
    <row r="7942" spans="93:93" x14ac:dyDescent="0.3">
      <c r="CO7942" s="15"/>
    </row>
    <row r="7943" spans="93:93" x14ac:dyDescent="0.3">
      <c r="CO7943" s="15"/>
    </row>
    <row r="7944" spans="93:93" x14ac:dyDescent="0.3">
      <c r="CO7944" s="15"/>
    </row>
    <row r="7945" spans="93:93" x14ac:dyDescent="0.3">
      <c r="CO7945" s="15"/>
    </row>
    <row r="7946" spans="93:93" x14ac:dyDescent="0.3">
      <c r="CO7946" s="15"/>
    </row>
    <row r="7947" spans="93:93" x14ac:dyDescent="0.3">
      <c r="CO7947" s="15"/>
    </row>
    <row r="7948" spans="93:93" x14ac:dyDescent="0.3">
      <c r="CO7948" s="15"/>
    </row>
    <row r="7949" spans="93:93" x14ac:dyDescent="0.3">
      <c r="CO7949" s="15"/>
    </row>
    <row r="7950" spans="93:93" x14ac:dyDescent="0.3">
      <c r="CO7950" s="15"/>
    </row>
    <row r="7951" spans="93:93" x14ac:dyDescent="0.3">
      <c r="CO7951" s="15"/>
    </row>
    <row r="7952" spans="93:93" x14ac:dyDescent="0.3">
      <c r="CO7952" s="15"/>
    </row>
    <row r="7953" spans="93:93" x14ac:dyDescent="0.3">
      <c r="CO7953" s="15"/>
    </row>
    <row r="7954" spans="93:93" x14ac:dyDescent="0.3">
      <c r="CO7954" s="15"/>
    </row>
    <row r="7955" spans="93:93" x14ac:dyDescent="0.3">
      <c r="CO7955" s="15"/>
    </row>
    <row r="7956" spans="93:93" x14ac:dyDescent="0.3">
      <c r="CO7956" s="15"/>
    </row>
    <row r="7957" spans="93:93" x14ac:dyDescent="0.3">
      <c r="CO7957" s="15"/>
    </row>
    <row r="7958" spans="93:93" x14ac:dyDescent="0.3">
      <c r="CO7958" s="15"/>
    </row>
    <row r="7959" spans="93:93" x14ac:dyDescent="0.3">
      <c r="CO7959" s="15"/>
    </row>
    <row r="7960" spans="93:93" x14ac:dyDescent="0.3">
      <c r="CO7960" s="15"/>
    </row>
    <row r="7961" spans="93:93" x14ac:dyDescent="0.3">
      <c r="CO7961" s="15"/>
    </row>
    <row r="7962" spans="93:93" x14ac:dyDescent="0.3">
      <c r="CO7962" s="15"/>
    </row>
    <row r="7963" spans="93:93" x14ac:dyDescent="0.3">
      <c r="CO7963" s="15"/>
    </row>
    <row r="7964" spans="93:93" x14ac:dyDescent="0.3">
      <c r="CO7964" s="15"/>
    </row>
    <row r="7965" spans="93:93" x14ac:dyDescent="0.3">
      <c r="CO7965" s="15"/>
    </row>
    <row r="7966" spans="93:93" x14ac:dyDescent="0.3">
      <c r="CO7966" s="15"/>
    </row>
    <row r="7967" spans="93:93" x14ac:dyDescent="0.3">
      <c r="CO7967" s="15"/>
    </row>
    <row r="7968" spans="93:93" x14ac:dyDescent="0.3">
      <c r="CO7968" s="15"/>
    </row>
    <row r="7969" spans="93:93" x14ac:dyDescent="0.3">
      <c r="CO7969" s="15"/>
    </row>
    <row r="7970" spans="93:93" x14ac:dyDescent="0.3">
      <c r="CO7970" s="15"/>
    </row>
    <row r="7971" spans="93:93" x14ac:dyDescent="0.3">
      <c r="CO7971" s="15"/>
    </row>
    <row r="7972" spans="93:93" x14ac:dyDescent="0.3">
      <c r="CO7972" s="15"/>
    </row>
    <row r="7973" spans="93:93" x14ac:dyDescent="0.3">
      <c r="CO7973" s="15"/>
    </row>
    <row r="7974" spans="93:93" x14ac:dyDescent="0.3">
      <c r="CO7974" s="15"/>
    </row>
    <row r="7975" spans="93:93" x14ac:dyDescent="0.3">
      <c r="CO7975" s="15"/>
    </row>
    <row r="7976" spans="93:93" x14ac:dyDescent="0.3">
      <c r="CO7976" s="15"/>
    </row>
    <row r="7977" spans="93:93" x14ac:dyDescent="0.3">
      <c r="CO7977" s="15"/>
    </row>
    <row r="7978" spans="93:93" x14ac:dyDescent="0.3">
      <c r="CO7978" s="15"/>
    </row>
    <row r="7979" spans="93:93" x14ac:dyDescent="0.3">
      <c r="CO7979" s="15"/>
    </row>
    <row r="7980" spans="93:93" x14ac:dyDescent="0.3">
      <c r="CO7980" s="15"/>
    </row>
    <row r="7981" spans="93:93" x14ac:dyDescent="0.3">
      <c r="CO7981" s="15"/>
    </row>
    <row r="7982" spans="93:93" x14ac:dyDescent="0.3">
      <c r="CO7982" s="15"/>
    </row>
    <row r="7983" spans="93:93" x14ac:dyDescent="0.3">
      <c r="CO7983" s="15"/>
    </row>
    <row r="7984" spans="93:93" x14ac:dyDescent="0.3">
      <c r="CO7984" s="15"/>
    </row>
    <row r="7985" spans="93:93" x14ac:dyDescent="0.3">
      <c r="CO7985" s="15"/>
    </row>
    <row r="7986" spans="93:93" x14ac:dyDescent="0.3">
      <c r="CO7986" s="15"/>
    </row>
    <row r="7987" spans="93:93" x14ac:dyDescent="0.3">
      <c r="CO7987" s="15"/>
    </row>
    <row r="7988" spans="93:93" x14ac:dyDescent="0.3">
      <c r="CO7988" s="15"/>
    </row>
    <row r="7989" spans="93:93" x14ac:dyDescent="0.3">
      <c r="CO7989" s="15"/>
    </row>
    <row r="7990" spans="93:93" x14ac:dyDescent="0.3">
      <c r="CO7990" s="15"/>
    </row>
    <row r="7991" spans="93:93" x14ac:dyDescent="0.3">
      <c r="CO7991" s="15"/>
    </row>
    <row r="7992" spans="93:93" x14ac:dyDescent="0.3">
      <c r="CO7992" s="15"/>
    </row>
    <row r="7993" spans="93:93" x14ac:dyDescent="0.3">
      <c r="CO7993" s="15"/>
    </row>
    <row r="7994" spans="93:93" x14ac:dyDescent="0.3">
      <c r="CO7994" s="15"/>
    </row>
    <row r="7995" spans="93:93" x14ac:dyDescent="0.3">
      <c r="CO7995" s="15"/>
    </row>
    <row r="7996" spans="93:93" x14ac:dyDescent="0.3">
      <c r="CO7996" s="15"/>
    </row>
    <row r="7997" spans="93:93" x14ac:dyDescent="0.3">
      <c r="CO7997" s="15"/>
    </row>
    <row r="7998" spans="93:93" x14ac:dyDescent="0.3">
      <c r="CO7998" s="15"/>
    </row>
    <row r="7999" spans="93:93" x14ac:dyDescent="0.3">
      <c r="CO7999" s="15"/>
    </row>
    <row r="8000" spans="93:93" x14ac:dyDescent="0.3">
      <c r="CO8000" s="15"/>
    </row>
    <row r="8001" spans="93:93" x14ac:dyDescent="0.3">
      <c r="CO8001" s="15"/>
    </row>
    <row r="8002" spans="93:93" x14ac:dyDescent="0.3">
      <c r="CO8002" s="15"/>
    </row>
    <row r="8003" spans="93:93" x14ac:dyDescent="0.3">
      <c r="CO8003" s="15"/>
    </row>
    <row r="8004" spans="93:93" x14ac:dyDescent="0.3">
      <c r="CO8004" s="15"/>
    </row>
    <row r="8005" spans="93:93" x14ac:dyDescent="0.3">
      <c r="CO8005" s="15"/>
    </row>
    <row r="8006" spans="93:93" x14ac:dyDescent="0.3">
      <c r="CO8006" s="15"/>
    </row>
    <row r="8007" spans="93:93" x14ac:dyDescent="0.3">
      <c r="CO8007" s="15"/>
    </row>
    <row r="8008" spans="93:93" x14ac:dyDescent="0.3">
      <c r="CO8008" s="15"/>
    </row>
    <row r="8009" spans="93:93" x14ac:dyDescent="0.3">
      <c r="CO8009" s="15"/>
    </row>
    <row r="8010" spans="93:93" x14ac:dyDescent="0.3">
      <c r="CO8010" s="15"/>
    </row>
    <row r="8011" spans="93:93" x14ac:dyDescent="0.3">
      <c r="CO8011" s="15"/>
    </row>
    <row r="8012" spans="93:93" x14ac:dyDescent="0.3">
      <c r="CO8012" s="15"/>
    </row>
    <row r="8013" spans="93:93" x14ac:dyDescent="0.3">
      <c r="CO8013" s="15"/>
    </row>
    <row r="8014" spans="93:93" x14ac:dyDescent="0.3">
      <c r="CO8014" s="15"/>
    </row>
    <row r="8015" spans="93:93" x14ac:dyDescent="0.3">
      <c r="CO8015" s="15"/>
    </row>
    <row r="8016" spans="93:93" x14ac:dyDescent="0.3">
      <c r="CO8016" s="15"/>
    </row>
    <row r="8017" spans="93:93" x14ac:dyDescent="0.3">
      <c r="CO8017" s="15"/>
    </row>
    <row r="8018" spans="93:93" x14ac:dyDescent="0.3">
      <c r="CO8018" s="15"/>
    </row>
    <row r="8019" spans="93:93" x14ac:dyDescent="0.3">
      <c r="CO8019" s="15"/>
    </row>
    <row r="8020" spans="93:93" x14ac:dyDescent="0.3">
      <c r="CO8020" s="15"/>
    </row>
    <row r="8021" spans="93:93" x14ac:dyDescent="0.3">
      <c r="CO8021" s="15"/>
    </row>
    <row r="8022" spans="93:93" x14ac:dyDescent="0.3">
      <c r="CO8022" s="15"/>
    </row>
    <row r="8023" spans="93:93" x14ac:dyDescent="0.3">
      <c r="CO8023" s="15"/>
    </row>
    <row r="8024" spans="93:93" x14ac:dyDescent="0.3">
      <c r="CO8024" s="15"/>
    </row>
    <row r="8025" spans="93:93" x14ac:dyDescent="0.3">
      <c r="CO8025" s="15"/>
    </row>
    <row r="8026" spans="93:93" x14ac:dyDescent="0.3">
      <c r="CO8026" s="15"/>
    </row>
    <row r="8027" spans="93:93" x14ac:dyDescent="0.3">
      <c r="CO8027" s="15"/>
    </row>
    <row r="8028" spans="93:93" x14ac:dyDescent="0.3">
      <c r="CO8028" s="15"/>
    </row>
    <row r="8029" spans="93:93" x14ac:dyDescent="0.3">
      <c r="CO8029" s="15"/>
    </row>
    <row r="8030" spans="93:93" x14ac:dyDescent="0.3">
      <c r="CO8030" s="15"/>
    </row>
    <row r="8031" spans="93:93" x14ac:dyDescent="0.3">
      <c r="CO8031" s="15"/>
    </row>
    <row r="8032" spans="93:93" x14ac:dyDescent="0.3">
      <c r="CO8032" s="15"/>
    </row>
    <row r="8033" spans="93:93" x14ac:dyDescent="0.3">
      <c r="CO8033" s="15"/>
    </row>
    <row r="8034" spans="93:93" x14ac:dyDescent="0.3">
      <c r="CO8034" s="15"/>
    </row>
    <row r="8035" spans="93:93" x14ac:dyDescent="0.3">
      <c r="CO8035" s="15"/>
    </row>
    <row r="8036" spans="93:93" x14ac:dyDescent="0.3">
      <c r="CO8036" s="15"/>
    </row>
    <row r="8037" spans="93:93" x14ac:dyDescent="0.3">
      <c r="CO8037" s="15"/>
    </row>
    <row r="8038" spans="93:93" x14ac:dyDescent="0.3">
      <c r="CO8038" s="15"/>
    </row>
    <row r="8039" spans="93:93" x14ac:dyDescent="0.3">
      <c r="CO8039" s="15"/>
    </row>
    <row r="8040" spans="93:93" x14ac:dyDescent="0.3">
      <c r="CO8040" s="15"/>
    </row>
    <row r="8041" spans="93:93" x14ac:dyDescent="0.3">
      <c r="CO8041" s="15"/>
    </row>
    <row r="8042" spans="93:93" x14ac:dyDescent="0.3">
      <c r="CO8042" s="15"/>
    </row>
    <row r="8043" spans="93:93" x14ac:dyDescent="0.3">
      <c r="CO8043" s="15"/>
    </row>
    <row r="8044" spans="93:93" x14ac:dyDescent="0.3">
      <c r="CO8044" s="15"/>
    </row>
    <row r="8045" spans="93:93" x14ac:dyDescent="0.3">
      <c r="CO8045" s="15"/>
    </row>
    <row r="8046" spans="93:93" x14ac:dyDescent="0.3">
      <c r="CO8046" s="15"/>
    </row>
    <row r="8047" spans="93:93" x14ac:dyDescent="0.3">
      <c r="CO8047" s="15"/>
    </row>
    <row r="8048" spans="93:93" x14ac:dyDescent="0.3">
      <c r="CO8048" s="15"/>
    </row>
    <row r="8049" spans="93:93" x14ac:dyDescent="0.3">
      <c r="CO8049" s="15"/>
    </row>
    <row r="8050" spans="93:93" x14ac:dyDescent="0.3">
      <c r="CO8050" s="15"/>
    </row>
    <row r="8051" spans="93:93" x14ac:dyDescent="0.3">
      <c r="CO8051" s="15"/>
    </row>
    <row r="8052" spans="93:93" x14ac:dyDescent="0.3">
      <c r="CO8052" s="15"/>
    </row>
    <row r="8053" spans="93:93" x14ac:dyDescent="0.3">
      <c r="CO8053" s="15"/>
    </row>
    <row r="8054" spans="93:93" x14ac:dyDescent="0.3">
      <c r="CO8054" s="15"/>
    </row>
    <row r="8055" spans="93:93" x14ac:dyDescent="0.3">
      <c r="CO8055" s="15"/>
    </row>
    <row r="8056" spans="93:93" x14ac:dyDescent="0.3">
      <c r="CO8056" s="15"/>
    </row>
    <row r="8057" spans="93:93" x14ac:dyDescent="0.3">
      <c r="CO8057" s="15"/>
    </row>
    <row r="8058" spans="93:93" x14ac:dyDescent="0.3">
      <c r="CO8058" s="15"/>
    </row>
    <row r="8059" spans="93:93" x14ac:dyDescent="0.3">
      <c r="CO8059" s="15"/>
    </row>
    <row r="8060" spans="93:93" x14ac:dyDescent="0.3">
      <c r="CO8060" s="15"/>
    </row>
    <row r="8061" spans="93:93" x14ac:dyDescent="0.3">
      <c r="CO8061" s="15"/>
    </row>
    <row r="8062" spans="93:93" x14ac:dyDescent="0.3">
      <c r="CO8062" s="15"/>
    </row>
    <row r="8063" spans="93:93" x14ac:dyDescent="0.3">
      <c r="CO8063" s="15"/>
    </row>
    <row r="8064" spans="93:93" x14ac:dyDescent="0.3">
      <c r="CO8064" s="15"/>
    </row>
    <row r="8065" spans="93:93" x14ac:dyDescent="0.3">
      <c r="CO8065" s="15"/>
    </row>
    <row r="8066" spans="93:93" x14ac:dyDescent="0.3">
      <c r="CO8066" s="15"/>
    </row>
    <row r="8067" spans="93:93" x14ac:dyDescent="0.3">
      <c r="CO8067" s="15"/>
    </row>
    <row r="8068" spans="93:93" x14ac:dyDescent="0.3">
      <c r="CO8068" s="15"/>
    </row>
    <row r="8069" spans="93:93" x14ac:dyDescent="0.3">
      <c r="CO8069" s="15"/>
    </row>
    <row r="8070" spans="93:93" x14ac:dyDescent="0.3">
      <c r="CO8070" s="15"/>
    </row>
    <row r="8071" spans="93:93" x14ac:dyDescent="0.3">
      <c r="CO8071" s="15"/>
    </row>
    <row r="8072" spans="93:93" x14ac:dyDescent="0.3">
      <c r="CO8072" s="15"/>
    </row>
    <row r="8073" spans="93:93" x14ac:dyDescent="0.3">
      <c r="CO8073" s="15"/>
    </row>
    <row r="8074" spans="93:93" x14ac:dyDescent="0.3">
      <c r="CO8074" s="15"/>
    </row>
    <row r="8075" spans="93:93" x14ac:dyDescent="0.3">
      <c r="CO8075" s="15"/>
    </row>
    <row r="8076" spans="93:93" x14ac:dyDescent="0.3">
      <c r="CO8076" s="15"/>
    </row>
    <row r="8077" spans="93:93" x14ac:dyDescent="0.3">
      <c r="CO8077" s="15"/>
    </row>
    <row r="8078" spans="93:93" x14ac:dyDescent="0.3">
      <c r="CO8078" s="15"/>
    </row>
    <row r="8079" spans="93:93" x14ac:dyDescent="0.3">
      <c r="CO8079" s="15"/>
    </row>
    <row r="8080" spans="93:93" x14ac:dyDescent="0.3">
      <c r="CO8080" s="15"/>
    </row>
    <row r="8081" spans="93:93" x14ac:dyDescent="0.3">
      <c r="CO8081" s="15"/>
    </row>
    <row r="8082" spans="93:93" x14ac:dyDescent="0.3">
      <c r="CO8082" s="15"/>
    </row>
    <row r="8083" spans="93:93" x14ac:dyDescent="0.3">
      <c r="CO8083" s="15"/>
    </row>
    <row r="8084" spans="93:93" x14ac:dyDescent="0.3">
      <c r="CO8084" s="15"/>
    </row>
    <row r="8085" spans="93:93" x14ac:dyDescent="0.3">
      <c r="CO8085" s="15"/>
    </row>
    <row r="8086" spans="93:93" x14ac:dyDescent="0.3">
      <c r="CO8086" s="15"/>
    </row>
    <row r="8087" spans="93:93" x14ac:dyDescent="0.3">
      <c r="CO8087" s="15"/>
    </row>
    <row r="8088" spans="93:93" x14ac:dyDescent="0.3">
      <c r="CO8088" s="15"/>
    </row>
    <row r="8089" spans="93:93" x14ac:dyDescent="0.3">
      <c r="CO8089" s="15"/>
    </row>
    <row r="8090" spans="93:93" x14ac:dyDescent="0.3">
      <c r="CO8090" s="15"/>
    </row>
    <row r="8091" spans="93:93" x14ac:dyDescent="0.3">
      <c r="CO8091" s="15"/>
    </row>
    <row r="8092" spans="93:93" x14ac:dyDescent="0.3">
      <c r="CO8092" s="15"/>
    </row>
    <row r="8093" spans="93:93" x14ac:dyDescent="0.3">
      <c r="CO8093" s="15"/>
    </row>
    <row r="8094" spans="93:93" x14ac:dyDescent="0.3">
      <c r="CO8094" s="15"/>
    </row>
    <row r="8095" spans="93:93" x14ac:dyDescent="0.3">
      <c r="CO8095" s="15"/>
    </row>
    <row r="8096" spans="93:93" x14ac:dyDescent="0.3">
      <c r="CO8096" s="15"/>
    </row>
    <row r="8097" spans="93:93" x14ac:dyDescent="0.3">
      <c r="CO8097" s="15"/>
    </row>
    <row r="8098" spans="93:93" x14ac:dyDescent="0.3">
      <c r="CO8098" s="15"/>
    </row>
    <row r="8099" spans="93:93" x14ac:dyDescent="0.3">
      <c r="CO8099" s="15"/>
    </row>
    <row r="8100" spans="93:93" x14ac:dyDescent="0.3">
      <c r="CO8100" s="15"/>
    </row>
    <row r="8101" spans="93:93" x14ac:dyDescent="0.3">
      <c r="CO8101" s="15"/>
    </row>
    <row r="8102" spans="93:93" x14ac:dyDescent="0.3">
      <c r="CO8102" s="15"/>
    </row>
    <row r="8103" spans="93:93" x14ac:dyDescent="0.3">
      <c r="CO8103" s="15"/>
    </row>
    <row r="8104" spans="93:93" x14ac:dyDescent="0.3">
      <c r="CO8104" s="15"/>
    </row>
    <row r="8105" spans="93:93" x14ac:dyDescent="0.3">
      <c r="CO8105" s="15"/>
    </row>
    <row r="8106" spans="93:93" x14ac:dyDescent="0.3">
      <c r="CO8106" s="15"/>
    </row>
    <row r="8107" spans="93:93" x14ac:dyDescent="0.3">
      <c r="CO8107" s="15"/>
    </row>
    <row r="8108" spans="93:93" x14ac:dyDescent="0.3">
      <c r="CO8108" s="15"/>
    </row>
    <row r="8109" spans="93:93" x14ac:dyDescent="0.3">
      <c r="CO8109" s="15"/>
    </row>
    <row r="8110" spans="93:93" x14ac:dyDescent="0.3">
      <c r="CO8110" s="15"/>
    </row>
    <row r="8111" spans="93:93" x14ac:dyDescent="0.3">
      <c r="CO8111" s="15"/>
    </row>
    <row r="8112" spans="93:93" x14ac:dyDescent="0.3">
      <c r="CO8112" s="15"/>
    </row>
    <row r="8113" spans="93:93" x14ac:dyDescent="0.3">
      <c r="CO8113" s="15"/>
    </row>
    <row r="8114" spans="93:93" x14ac:dyDescent="0.3">
      <c r="CO8114" s="15"/>
    </row>
    <row r="8115" spans="93:93" x14ac:dyDescent="0.3">
      <c r="CO8115" s="15"/>
    </row>
    <row r="8116" spans="93:93" x14ac:dyDescent="0.3">
      <c r="CO8116" s="15"/>
    </row>
    <row r="8117" spans="93:93" x14ac:dyDescent="0.3">
      <c r="CO8117" s="15"/>
    </row>
    <row r="8118" spans="93:93" x14ac:dyDescent="0.3">
      <c r="CO8118" s="15"/>
    </row>
    <row r="8119" spans="93:93" x14ac:dyDescent="0.3">
      <c r="CO8119" s="15"/>
    </row>
    <row r="8120" spans="93:93" x14ac:dyDescent="0.3">
      <c r="CO8120" s="15"/>
    </row>
    <row r="8121" spans="93:93" x14ac:dyDescent="0.3">
      <c r="CO8121" s="15"/>
    </row>
    <row r="8122" spans="93:93" x14ac:dyDescent="0.3">
      <c r="CO8122" s="15"/>
    </row>
    <row r="8123" spans="93:93" x14ac:dyDescent="0.3">
      <c r="CO8123" s="15"/>
    </row>
    <row r="8124" spans="93:93" x14ac:dyDescent="0.3">
      <c r="CO8124" s="15"/>
    </row>
    <row r="8125" spans="93:93" x14ac:dyDescent="0.3">
      <c r="CO8125" s="15"/>
    </row>
    <row r="8126" spans="93:93" x14ac:dyDescent="0.3">
      <c r="CO8126" s="15"/>
    </row>
    <row r="8127" spans="93:93" x14ac:dyDescent="0.3">
      <c r="CO8127" s="15"/>
    </row>
    <row r="8128" spans="93:93" x14ac:dyDescent="0.3">
      <c r="CO8128" s="15"/>
    </row>
    <row r="8129" spans="93:93" x14ac:dyDescent="0.3">
      <c r="CO8129" s="15"/>
    </row>
    <row r="8130" spans="93:93" x14ac:dyDescent="0.3">
      <c r="CO8130" s="15"/>
    </row>
    <row r="8131" spans="93:93" x14ac:dyDescent="0.3">
      <c r="CO8131" s="15"/>
    </row>
    <row r="8132" spans="93:93" x14ac:dyDescent="0.3">
      <c r="CO8132" s="15"/>
    </row>
    <row r="8133" spans="93:93" x14ac:dyDescent="0.3">
      <c r="CO8133" s="15"/>
    </row>
    <row r="8134" spans="93:93" x14ac:dyDescent="0.3">
      <c r="CO8134" s="15"/>
    </row>
    <row r="8135" spans="93:93" x14ac:dyDescent="0.3">
      <c r="CO8135" s="15"/>
    </row>
    <row r="8136" spans="93:93" x14ac:dyDescent="0.3">
      <c r="CO8136" s="15"/>
    </row>
    <row r="8137" spans="93:93" x14ac:dyDescent="0.3">
      <c r="CO8137" s="15"/>
    </row>
    <row r="8138" spans="93:93" x14ac:dyDescent="0.3">
      <c r="CO8138" s="15"/>
    </row>
    <row r="8139" spans="93:93" x14ac:dyDescent="0.3">
      <c r="CO8139" s="15"/>
    </row>
    <row r="8140" spans="93:93" x14ac:dyDescent="0.3">
      <c r="CO8140" s="15"/>
    </row>
    <row r="8141" spans="93:93" x14ac:dyDescent="0.3">
      <c r="CO8141" s="15"/>
    </row>
    <row r="8142" spans="93:93" x14ac:dyDescent="0.3">
      <c r="CO8142" s="15"/>
    </row>
    <row r="8143" spans="93:93" x14ac:dyDescent="0.3">
      <c r="CO8143" s="15"/>
    </row>
    <row r="8144" spans="93:93" x14ac:dyDescent="0.3">
      <c r="CO8144" s="15"/>
    </row>
    <row r="8145" spans="93:93" x14ac:dyDescent="0.3">
      <c r="CO8145" s="15"/>
    </row>
    <row r="8146" spans="93:93" x14ac:dyDescent="0.3">
      <c r="CO8146" s="15"/>
    </row>
    <row r="8147" spans="93:93" x14ac:dyDescent="0.3">
      <c r="CO8147" s="15"/>
    </row>
    <row r="8148" spans="93:93" x14ac:dyDescent="0.3">
      <c r="CO8148" s="15"/>
    </row>
    <row r="8149" spans="93:93" x14ac:dyDescent="0.3">
      <c r="CO8149" s="15"/>
    </row>
    <row r="8150" spans="93:93" x14ac:dyDescent="0.3">
      <c r="CO8150" s="15"/>
    </row>
    <row r="8151" spans="93:93" x14ac:dyDescent="0.3">
      <c r="CO8151" s="15"/>
    </row>
    <row r="8152" spans="93:93" x14ac:dyDescent="0.3">
      <c r="CO8152" s="15"/>
    </row>
    <row r="8153" spans="93:93" x14ac:dyDescent="0.3">
      <c r="CO8153" s="15"/>
    </row>
    <row r="8154" spans="93:93" x14ac:dyDescent="0.3">
      <c r="CO8154" s="15"/>
    </row>
    <row r="8155" spans="93:93" x14ac:dyDescent="0.3">
      <c r="CO8155" s="15"/>
    </row>
    <row r="8156" spans="93:93" x14ac:dyDescent="0.3">
      <c r="CO8156" s="15"/>
    </row>
    <row r="8157" spans="93:93" x14ac:dyDescent="0.3">
      <c r="CO8157" s="15"/>
    </row>
    <row r="8158" spans="93:93" x14ac:dyDescent="0.3">
      <c r="CO8158" s="15"/>
    </row>
    <row r="8159" spans="93:93" x14ac:dyDescent="0.3">
      <c r="CO8159" s="15"/>
    </row>
    <row r="8160" spans="93:93" x14ac:dyDescent="0.3">
      <c r="CO8160" s="15"/>
    </row>
    <row r="8161" spans="93:93" x14ac:dyDescent="0.3">
      <c r="CO8161" s="15"/>
    </row>
    <row r="8162" spans="93:93" x14ac:dyDescent="0.3">
      <c r="CO8162" s="15"/>
    </row>
    <row r="8163" spans="93:93" x14ac:dyDescent="0.3">
      <c r="CO8163" s="15"/>
    </row>
    <row r="8164" spans="93:93" x14ac:dyDescent="0.3">
      <c r="CO8164" s="15"/>
    </row>
    <row r="8165" spans="93:93" x14ac:dyDescent="0.3">
      <c r="CO8165" s="15"/>
    </row>
    <row r="8166" spans="93:93" x14ac:dyDescent="0.3">
      <c r="CO8166" s="15"/>
    </row>
    <row r="8167" spans="93:93" x14ac:dyDescent="0.3">
      <c r="CO8167" s="15"/>
    </row>
    <row r="8168" spans="93:93" x14ac:dyDescent="0.3">
      <c r="CO8168" s="15"/>
    </row>
    <row r="8169" spans="93:93" x14ac:dyDescent="0.3">
      <c r="CO8169" s="15"/>
    </row>
    <row r="8170" spans="93:93" x14ac:dyDescent="0.3">
      <c r="CO8170" s="15"/>
    </row>
    <row r="8171" spans="93:93" x14ac:dyDescent="0.3">
      <c r="CO8171" s="15"/>
    </row>
    <row r="8172" spans="93:93" x14ac:dyDescent="0.3">
      <c r="CO8172" s="15"/>
    </row>
    <row r="8173" spans="93:93" x14ac:dyDescent="0.3">
      <c r="CO8173" s="15"/>
    </row>
    <row r="8174" spans="93:93" x14ac:dyDescent="0.3">
      <c r="CO8174" s="15"/>
    </row>
    <row r="8175" spans="93:93" x14ac:dyDescent="0.3">
      <c r="CO8175" s="15"/>
    </row>
    <row r="8176" spans="93:93" x14ac:dyDescent="0.3">
      <c r="CO8176" s="15"/>
    </row>
    <row r="8177" spans="93:93" x14ac:dyDescent="0.3">
      <c r="CO8177" s="15"/>
    </row>
    <row r="8178" spans="93:93" x14ac:dyDescent="0.3">
      <c r="CO8178" s="15"/>
    </row>
    <row r="8179" spans="93:93" x14ac:dyDescent="0.3">
      <c r="CO8179" s="15"/>
    </row>
    <row r="8180" spans="93:93" x14ac:dyDescent="0.3">
      <c r="CO8180" s="15"/>
    </row>
    <row r="8181" spans="93:93" x14ac:dyDescent="0.3">
      <c r="CO8181" s="15"/>
    </row>
    <row r="8182" spans="93:93" x14ac:dyDescent="0.3">
      <c r="CO8182" s="15"/>
    </row>
    <row r="8183" spans="93:93" x14ac:dyDescent="0.3">
      <c r="CO8183" s="15"/>
    </row>
    <row r="8184" spans="93:93" x14ac:dyDescent="0.3">
      <c r="CO8184" s="15"/>
    </row>
    <row r="8185" spans="93:93" x14ac:dyDescent="0.3">
      <c r="CO8185" s="15"/>
    </row>
    <row r="8186" spans="93:93" x14ac:dyDescent="0.3">
      <c r="CO8186" s="15"/>
    </row>
    <row r="8187" spans="93:93" x14ac:dyDescent="0.3">
      <c r="CO8187" s="15"/>
    </row>
    <row r="8188" spans="93:93" x14ac:dyDescent="0.3">
      <c r="CO8188" s="15"/>
    </row>
    <row r="8189" spans="93:93" x14ac:dyDescent="0.3">
      <c r="CO8189" s="15"/>
    </row>
    <row r="8190" spans="93:93" x14ac:dyDescent="0.3">
      <c r="CO8190" s="15"/>
    </row>
    <row r="8191" spans="93:93" x14ac:dyDescent="0.3">
      <c r="CO8191" s="15"/>
    </row>
    <row r="8192" spans="93:93" x14ac:dyDescent="0.3">
      <c r="CO8192" s="15"/>
    </row>
    <row r="8193" spans="93:93" x14ac:dyDescent="0.3">
      <c r="CO8193" s="15"/>
    </row>
    <row r="8194" spans="93:93" x14ac:dyDescent="0.3">
      <c r="CO8194" s="15"/>
    </row>
    <row r="8195" spans="93:93" x14ac:dyDescent="0.3">
      <c r="CO8195" s="15"/>
    </row>
    <row r="8196" spans="93:93" x14ac:dyDescent="0.3">
      <c r="CO8196" s="15"/>
    </row>
    <row r="8197" spans="93:93" x14ac:dyDescent="0.3">
      <c r="CO8197" s="15"/>
    </row>
    <row r="8198" spans="93:93" x14ac:dyDescent="0.3">
      <c r="CO8198" s="15"/>
    </row>
    <row r="8199" spans="93:93" x14ac:dyDescent="0.3">
      <c r="CO8199" s="15"/>
    </row>
    <row r="8200" spans="93:93" x14ac:dyDescent="0.3">
      <c r="CO8200" s="15"/>
    </row>
    <row r="8201" spans="93:93" x14ac:dyDescent="0.3">
      <c r="CO8201" s="15"/>
    </row>
    <row r="8202" spans="93:93" x14ac:dyDescent="0.3">
      <c r="CO8202" s="15"/>
    </row>
    <row r="8203" spans="93:93" x14ac:dyDescent="0.3">
      <c r="CO8203" s="15"/>
    </row>
    <row r="8204" spans="93:93" x14ac:dyDescent="0.3">
      <c r="CO8204" s="15"/>
    </row>
    <row r="8205" spans="93:93" x14ac:dyDescent="0.3">
      <c r="CO8205" s="15"/>
    </row>
    <row r="8206" spans="93:93" x14ac:dyDescent="0.3">
      <c r="CO8206" s="15"/>
    </row>
    <row r="8207" spans="93:93" x14ac:dyDescent="0.3">
      <c r="CO8207" s="15"/>
    </row>
    <row r="8208" spans="93:93" x14ac:dyDescent="0.3">
      <c r="CO8208" s="15"/>
    </row>
    <row r="8209" spans="93:93" x14ac:dyDescent="0.3">
      <c r="CO8209" s="15"/>
    </row>
    <row r="8210" spans="93:93" x14ac:dyDescent="0.3">
      <c r="CO8210" s="15"/>
    </row>
    <row r="8211" spans="93:93" x14ac:dyDescent="0.3">
      <c r="CO8211" s="15"/>
    </row>
    <row r="8212" spans="93:93" x14ac:dyDescent="0.3">
      <c r="CO8212" s="15"/>
    </row>
    <row r="8213" spans="93:93" x14ac:dyDescent="0.3">
      <c r="CO8213" s="15"/>
    </row>
    <row r="8214" spans="93:93" x14ac:dyDescent="0.3">
      <c r="CO8214" s="15"/>
    </row>
    <row r="8215" spans="93:93" x14ac:dyDescent="0.3">
      <c r="CO8215" s="15"/>
    </row>
    <row r="8216" spans="93:93" x14ac:dyDescent="0.3">
      <c r="CO8216" s="15"/>
    </row>
    <row r="8217" spans="93:93" x14ac:dyDescent="0.3">
      <c r="CO8217" s="15"/>
    </row>
    <row r="8218" spans="93:93" x14ac:dyDescent="0.3">
      <c r="CO8218" s="15"/>
    </row>
    <row r="8219" spans="93:93" x14ac:dyDescent="0.3">
      <c r="CO8219" s="15"/>
    </row>
    <row r="8220" spans="93:93" x14ac:dyDescent="0.3">
      <c r="CO8220" s="15"/>
    </row>
    <row r="8221" spans="93:93" x14ac:dyDescent="0.3">
      <c r="CO8221" s="15"/>
    </row>
    <row r="8222" spans="93:93" x14ac:dyDescent="0.3">
      <c r="CO8222" s="15"/>
    </row>
    <row r="8223" spans="93:93" x14ac:dyDescent="0.3">
      <c r="CO8223" s="15"/>
    </row>
    <row r="8224" spans="93:93" x14ac:dyDescent="0.3">
      <c r="CO8224" s="15"/>
    </row>
    <row r="8225" spans="93:93" x14ac:dyDescent="0.3">
      <c r="CO8225" s="15"/>
    </row>
    <row r="8226" spans="93:93" x14ac:dyDescent="0.3">
      <c r="CO8226" s="15"/>
    </row>
    <row r="8227" spans="93:93" x14ac:dyDescent="0.3">
      <c r="CO8227" s="15"/>
    </row>
    <row r="8228" spans="93:93" x14ac:dyDescent="0.3">
      <c r="CO8228" s="15"/>
    </row>
    <row r="8229" spans="93:93" x14ac:dyDescent="0.3">
      <c r="CO8229" s="15"/>
    </row>
    <row r="8230" spans="93:93" x14ac:dyDescent="0.3">
      <c r="CO8230" s="15"/>
    </row>
    <row r="8231" spans="93:93" x14ac:dyDescent="0.3">
      <c r="CO8231" s="15"/>
    </row>
    <row r="8232" spans="93:93" x14ac:dyDescent="0.3">
      <c r="CO8232" s="15"/>
    </row>
    <row r="8233" spans="93:93" x14ac:dyDescent="0.3">
      <c r="CO8233" s="15"/>
    </row>
    <row r="8234" spans="93:93" x14ac:dyDescent="0.3">
      <c r="CO8234" s="15"/>
    </row>
    <row r="8235" spans="93:93" x14ac:dyDescent="0.3">
      <c r="CO8235" s="15"/>
    </row>
    <row r="8236" spans="93:93" x14ac:dyDescent="0.3">
      <c r="CO8236" s="15"/>
    </row>
    <row r="8237" spans="93:93" x14ac:dyDescent="0.3">
      <c r="CO8237" s="15"/>
    </row>
    <row r="8238" spans="93:93" x14ac:dyDescent="0.3">
      <c r="CO8238" s="15"/>
    </row>
    <row r="8239" spans="93:93" x14ac:dyDescent="0.3">
      <c r="CO8239" s="15"/>
    </row>
    <row r="8240" spans="93:93" x14ac:dyDescent="0.3">
      <c r="CO8240" s="15"/>
    </row>
    <row r="8241" spans="93:93" x14ac:dyDescent="0.3">
      <c r="CO8241" s="15"/>
    </row>
    <row r="8242" spans="93:93" x14ac:dyDescent="0.3">
      <c r="CO8242" s="15"/>
    </row>
    <row r="8243" spans="93:93" x14ac:dyDescent="0.3">
      <c r="CO8243" s="15"/>
    </row>
    <row r="8244" spans="93:93" x14ac:dyDescent="0.3">
      <c r="CO8244" s="15"/>
    </row>
    <row r="8245" spans="93:93" x14ac:dyDescent="0.3">
      <c r="CO8245" s="15"/>
    </row>
    <row r="8246" spans="93:93" x14ac:dyDescent="0.3">
      <c r="CO8246" s="15"/>
    </row>
    <row r="8247" spans="93:93" x14ac:dyDescent="0.3">
      <c r="CO8247" s="15"/>
    </row>
    <row r="8248" spans="93:93" x14ac:dyDescent="0.3">
      <c r="CO8248" s="15"/>
    </row>
    <row r="8249" spans="93:93" x14ac:dyDescent="0.3">
      <c r="CO8249" s="15"/>
    </row>
    <row r="8250" spans="93:93" x14ac:dyDescent="0.3">
      <c r="CO8250" s="15"/>
    </row>
    <row r="8251" spans="93:93" x14ac:dyDescent="0.3">
      <c r="CO8251" s="15"/>
    </row>
    <row r="8252" spans="93:93" x14ac:dyDescent="0.3">
      <c r="CO8252" s="15"/>
    </row>
    <row r="8253" spans="93:93" x14ac:dyDescent="0.3">
      <c r="CO8253" s="15"/>
    </row>
    <row r="8254" spans="93:93" x14ac:dyDescent="0.3">
      <c r="CO8254" s="15"/>
    </row>
    <row r="8255" spans="93:93" x14ac:dyDescent="0.3">
      <c r="CO8255" s="15"/>
    </row>
    <row r="8256" spans="93:93" x14ac:dyDescent="0.3">
      <c r="CO8256" s="15"/>
    </row>
    <row r="8257" spans="93:93" x14ac:dyDescent="0.3">
      <c r="CO8257" s="15"/>
    </row>
    <row r="8258" spans="93:93" x14ac:dyDescent="0.3">
      <c r="CO8258" s="15"/>
    </row>
    <row r="8259" spans="93:93" x14ac:dyDescent="0.3">
      <c r="CO8259" s="15"/>
    </row>
    <row r="8260" spans="93:93" x14ac:dyDescent="0.3">
      <c r="CO8260" s="15"/>
    </row>
    <row r="8261" spans="93:93" x14ac:dyDescent="0.3">
      <c r="CO8261" s="15"/>
    </row>
    <row r="8262" spans="93:93" x14ac:dyDescent="0.3">
      <c r="CO8262" s="15"/>
    </row>
    <row r="8263" spans="93:93" x14ac:dyDescent="0.3">
      <c r="CO8263" s="15"/>
    </row>
    <row r="8264" spans="93:93" x14ac:dyDescent="0.3">
      <c r="CO8264" s="15"/>
    </row>
    <row r="8265" spans="93:93" x14ac:dyDescent="0.3">
      <c r="CO8265" s="15"/>
    </row>
    <row r="8266" spans="93:93" x14ac:dyDescent="0.3">
      <c r="CO8266" s="15"/>
    </row>
    <row r="8267" spans="93:93" x14ac:dyDescent="0.3">
      <c r="CO8267" s="15"/>
    </row>
    <row r="8268" spans="93:93" x14ac:dyDescent="0.3">
      <c r="CO8268" s="15"/>
    </row>
    <row r="8269" spans="93:93" x14ac:dyDescent="0.3">
      <c r="CO8269" s="15"/>
    </row>
    <row r="8270" spans="93:93" x14ac:dyDescent="0.3">
      <c r="CO8270" s="15"/>
    </row>
    <row r="8271" spans="93:93" x14ac:dyDescent="0.3">
      <c r="CO8271" s="15"/>
    </row>
    <row r="8272" spans="93:93" x14ac:dyDescent="0.3">
      <c r="CO8272" s="15"/>
    </row>
    <row r="8273" spans="93:93" x14ac:dyDescent="0.3">
      <c r="CO8273" s="15"/>
    </row>
    <row r="8274" spans="93:93" x14ac:dyDescent="0.3">
      <c r="CO8274" s="15"/>
    </row>
    <row r="8275" spans="93:93" x14ac:dyDescent="0.3">
      <c r="CO8275" s="15"/>
    </row>
    <row r="8276" spans="93:93" x14ac:dyDescent="0.3">
      <c r="CO8276" s="15"/>
    </row>
    <row r="8277" spans="93:93" x14ac:dyDescent="0.3">
      <c r="CO8277" s="15"/>
    </row>
    <row r="8278" spans="93:93" x14ac:dyDescent="0.3">
      <c r="CO8278" s="15"/>
    </row>
    <row r="8279" spans="93:93" x14ac:dyDescent="0.3">
      <c r="CO8279" s="15"/>
    </row>
    <row r="8280" spans="93:93" x14ac:dyDescent="0.3">
      <c r="CO8280" s="15"/>
    </row>
    <row r="8281" spans="93:93" x14ac:dyDescent="0.3">
      <c r="CO8281" s="15"/>
    </row>
    <row r="8282" spans="93:93" x14ac:dyDescent="0.3">
      <c r="CO8282" s="15"/>
    </row>
    <row r="8283" spans="93:93" x14ac:dyDescent="0.3">
      <c r="CO8283" s="15"/>
    </row>
    <row r="8284" spans="93:93" x14ac:dyDescent="0.3">
      <c r="CO8284" s="15"/>
    </row>
    <row r="8285" spans="93:93" x14ac:dyDescent="0.3">
      <c r="CO8285" s="15"/>
    </row>
    <row r="8286" spans="93:93" x14ac:dyDescent="0.3">
      <c r="CO8286" s="15"/>
    </row>
    <row r="8287" spans="93:93" x14ac:dyDescent="0.3">
      <c r="CO8287" s="15"/>
    </row>
    <row r="8288" spans="93:93" x14ac:dyDescent="0.3">
      <c r="CO8288" s="15"/>
    </row>
    <row r="8289" spans="93:93" x14ac:dyDescent="0.3">
      <c r="CO8289" s="15"/>
    </row>
    <row r="8290" spans="93:93" x14ac:dyDescent="0.3">
      <c r="CO8290" s="15"/>
    </row>
    <row r="8291" spans="93:93" x14ac:dyDescent="0.3">
      <c r="CO8291" s="15"/>
    </row>
    <row r="8292" spans="93:93" x14ac:dyDescent="0.3">
      <c r="CO8292" s="15"/>
    </row>
    <row r="8293" spans="93:93" x14ac:dyDescent="0.3">
      <c r="CO8293" s="15"/>
    </row>
    <row r="8294" spans="93:93" x14ac:dyDescent="0.3">
      <c r="CO8294" s="15"/>
    </row>
    <row r="8295" spans="93:93" x14ac:dyDescent="0.3">
      <c r="CO8295" s="15"/>
    </row>
    <row r="8296" spans="93:93" x14ac:dyDescent="0.3">
      <c r="CO8296" s="15"/>
    </row>
    <row r="8297" spans="93:93" x14ac:dyDescent="0.3">
      <c r="CO8297" s="15"/>
    </row>
    <row r="8298" spans="93:93" x14ac:dyDescent="0.3">
      <c r="CO8298" s="15"/>
    </row>
    <row r="8299" spans="93:93" x14ac:dyDescent="0.3">
      <c r="CO8299" s="15"/>
    </row>
    <row r="8300" spans="93:93" x14ac:dyDescent="0.3">
      <c r="CO8300" s="15"/>
    </row>
    <row r="8301" spans="93:93" x14ac:dyDescent="0.3">
      <c r="CO8301" s="15"/>
    </row>
    <row r="8302" spans="93:93" x14ac:dyDescent="0.3">
      <c r="CO8302" s="15"/>
    </row>
    <row r="8303" spans="93:93" x14ac:dyDescent="0.3">
      <c r="CO8303" s="15"/>
    </row>
    <row r="8304" spans="93:93" x14ac:dyDescent="0.3">
      <c r="CO8304" s="15"/>
    </row>
    <row r="8305" spans="93:93" x14ac:dyDescent="0.3">
      <c r="CO8305" s="15"/>
    </row>
    <row r="8306" spans="93:93" x14ac:dyDescent="0.3">
      <c r="CO8306" s="15"/>
    </row>
    <row r="8307" spans="93:93" x14ac:dyDescent="0.3">
      <c r="CO8307" s="15"/>
    </row>
    <row r="8308" spans="93:93" x14ac:dyDescent="0.3">
      <c r="CO8308" s="15"/>
    </row>
    <row r="8309" spans="93:93" x14ac:dyDescent="0.3">
      <c r="CO8309" s="15"/>
    </row>
    <row r="8310" spans="93:93" x14ac:dyDescent="0.3">
      <c r="CO8310" s="15"/>
    </row>
    <row r="8311" spans="93:93" x14ac:dyDescent="0.3">
      <c r="CO8311" s="15"/>
    </row>
    <row r="8312" spans="93:93" x14ac:dyDescent="0.3">
      <c r="CO8312" s="15"/>
    </row>
    <row r="8313" spans="93:93" x14ac:dyDescent="0.3">
      <c r="CO8313" s="15"/>
    </row>
    <row r="8314" spans="93:93" x14ac:dyDescent="0.3">
      <c r="CO8314" s="15"/>
    </row>
    <row r="8315" spans="93:93" x14ac:dyDescent="0.3">
      <c r="CO8315" s="15"/>
    </row>
    <row r="8316" spans="93:93" x14ac:dyDescent="0.3">
      <c r="CO8316" s="15"/>
    </row>
    <row r="8317" spans="93:93" x14ac:dyDescent="0.3">
      <c r="CO8317" s="15"/>
    </row>
    <row r="8318" spans="93:93" x14ac:dyDescent="0.3">
      <c r="CO8318" s="15"/>
    </row>
    <row r="8319" spans="93:93" x14ac:dyDescent="0.3">
      <c r="CO8319" s="15"/>
    </row>
    <row r="8320" spans="93:93" x14ac:dyDescent="0.3">
      <c r="CO8320" s="15"/>
    </row>
    <row r="8321" spans="93:93" x14ac:dyDescent="0.3">
      <c r="CO8321" s="15"/>
    </row>
    <row r="8322" spans="93:93" x14ac:dyDescent="0.3">
      <c r="CO8322" s="15"/>
    </row>
    <row r="8323" spans="93:93" x14ac:dyDescent="0.3">
      <c r="CO8323" s="15"/>
    </row>
    <row r="8324" spans="93:93" x14ac:dyDescent="0.3">
      <c r="CO8324" s="15"/>
    </row>
    <row r="8325" spans="93:93" x14ac:dyDescent="0.3">
      <c r="CO8325" s="15"/>
    </row>
    <row r="8326" spans="93:93" x14ac:dyDescent="0.3">
      <c r="CO8326" s="15"/>
    </row>
    <row r="8327" spans="93:93" x14ac:dyDescent="0.3">
      <c r="CO8327" s="15"/>
    </row>
    <row r="8328" spans="93:93" x14ac:dyDescent="0.3">
      <c r="CO8328" s="15"/>
    </row>
    <row r="8329" spans="93:93" x14ac:dyDescent="0.3">
      <c r="CO8329" s="15"/>
    </row>
    <row r="8330" spans="93:93" x14ac:dyDescent="0.3">
      <c r="CO8330" s="15"/>
    </row>
    <row r="8331" spans="93:93" x14ac:dyDescent="0.3">
      <c r="CO8331" s="15"/>
    </row>
    <row r="8332" spans="93:93" x14ac:dyDescent="0.3">
      <c r="CO8332" s="15"/>
    </row>
    <row r="8333" spans="93:93" x14ac:dyDescent="0.3">
      <c r="CO8333" s="15"/>
    </row>
    <row r="8334" spans="93:93" x14ac:dyDescent="0.3">
      <c r="CO8334" s="15"/>
    </row>
    <row r="8335" spans="93:93" x14ac:dyDescent="0.3">
      <c r="CO8335" s="15"/>
    </row>
    <row r="8336" spans="93:93" x14ac:dyDescent="0.3">
      <c r="CO8336" s="15"/>
    </row>
    <row r="8337" spans="93:93" x14ac:dyDescent="0.3">
      <c r="CO8337" s="15"/>
    </row>
    <row r="8338" spans="93:93" x14ac:dyDescent="0.3">
      <c r="CO8338" s="15"/>
    </row>
    <row r="8339" spans="93:93" x14ac:dyDescent="0.3">
      <c r="CO8339" s="15"/>
    </row>
    <row r="8340" spans="93:93" x14ac:dyDescent="0.3">
      <c r="CO8340" s="15"/>
    </row>
    <row r="8341" spans="93:93" x14ac:dyDescent="0.3">
      <c r="CO8341" s="15"/>
    </row>
    <row r="8342" spans="93:93" x14ac:dyDescent="0.3">
      <c r="CO8342" s="15"/>
    </row>
    <row r="8343" spans="93:93" x14ac:dyDescent="0.3">
      <c r="CO8343" s="15"/>
    </row>
    <row r="8344" spans="93:93" x14ac:dyDescent="0.3">
      <c r="CO8344" s="15"/>
    </row>
    <row r="8345" spans="93:93" x14ac:dyDescent="0.3">
      <c r="CO8345" s="15"/>
    </row>
    <row r="8346" spans="93:93" x14ac:dyDescent="0.3">
      <c r="CO8346" s="15"/>
    </row>
    <row r="8347" spans="93:93" x14ac:dyDescent="0.3">
      <c r="CO8347" s="15"/>
    </row>
    <row r="8348" spans="93:93" x14ac:dyDescent="0.3">
      <c r="CO8348" s="15"/>
    </row>
    <row r="8349" spans="93:93" x14ac:dyDescent="0.3">
      <c r="CO8349" s="15"/>
    </row>
    <row r="8350" spans="93:93" x14ac:dyDescent="0.3">
      <c r="CO8350" s="15"/>
    </row>
    <row r="8351" spans="93:93" x14ac:dyDescent="0.3">
      <c r="CO8351" s="15"/>
    </row>
    <row r="8352" spans="93:93" x14ac:dyDescent="0.3">
      <c r="CO8352" s="15"/>
    </row>
    <row r="8353" spans="93:93" x14ac:dyDescent="0.3">
      <c r="CO8353" s="15"/>
    </row>
    <row r="8354" spans="93:93" x14ac:dyDescent="0.3">
      <c r="CO8354" s="15"/>
    </row>
    <row r="8355" spans="93:93" x14ac:dyDescent="0.3">
      <c r="CO8355" s="15"/>
    </row>
    <row r="8356" spans="93:93" x14ac:dyDescent="0.3">
      <c r="CO8356" s="15"/>
    </row>
    <row r="8357" spans="93:93" x14ac:dyDescent="0.3">
      <c r="CO8357" s="15"/>
    </row>
    <row r="8358" spans="93:93" x14ac:dyDescent="0.3">
      <c r="CO8358" s="15"/>
    </row>
    <row r="8359" spans="93:93" x14ac:dyDescent="0.3">
      <c r="CO8359" s="15"/>
    </row>
    <row r="8360" spans="93:93" x14ac:dyDescent="0.3">
      <c r="CO8360" s="15"/>
    </row>
    <row r="8361" spans="93:93" x14ac:dyDescent="0.3">
      <c r="CO8361" s="15"/>
    </row>
    <row r="8362" spans="93:93" x14ac:dyDescent="0.3">
      <c r="CO8362" s="15"/>
    </row>
    <row r="8363" spans="93:93" x14ac:dyDescent="0.3">
      <c r="CO8363" s="15"/>
    </row>
    <row r="8364" spans="93:93" x14ac:dyDescent="0.3">
      <c r="CO8364" s="15"/>
    </row>
    <row r="8365" spans="93:93" x14ac:dyDescent="0.3">
      <c r="CO8365" s="15"/>
    </row>
    <row r="8366" spans="93:93" x14ac:dyDescent="0.3">
      <c r="CO8366" s="15"/>
    </row>
    <row r="8367" spans="93:93" x14ac:dyDescent="0.3">
      <c r="CO8367" s="15"/>
    </row>
    <row r="8368" spans="93:93" x14ac:dyDescent="0.3">
      <c r="CO8368" s="15"/>
    </row>
    <row r="8369" spans="93:93" x14ac:dyDescent="0.3">
      <c r="CO8369" s="15"/>
    </row>
    <row r="8370" spans="93:93" x14ac:dyDescent="0.3">
      <c r="CO8370" s="15"/>
    </row>
    <row r="8371" spans="93:93" x14ac:dyDescent="0.3">
      <c r="CO8371" s="15"/>
    </row>
    <row r="8372" spans="93:93" x14ac:dyDescent="0.3">
      <c r="CO8372" s="15"/>
    </row>
    <row r="8373" spans="93:93" x14ac:dyDescent="0.3">
      <c r="CO8373" s="15"/>
    </row>
    <row r="8374" spans="93:93" x14ac:dyDescent="0.3">
      <c r="CO8374" s="15"/>
    </row>
    <row r="8375" spans="93:93" x14ac:dyDescent="0.3">
      <c r="CO8375" s="15"/>
    </row>
    <row r="8376" spans="93:93" x14ac:dyDescent="0.3">
      <c r="CO8376" s="15"/>
    </row>
    <row r="8377" spans="93:93" x14ac:dyDescent="0.3">
      <c r="CO8377" s="15"/>
    </row>
    <row r="8378" spans="93:93" x14ac:dyDescent="0.3">
      <c r="CO8378" s="15"/>
    </row>
    <row r="8379" spans="93:93" x14ac:dyDescent="0.3">
      <c r="CO8379" s="15"/>
    </row>
    <row r="8380" spans="93:93" x14ac:dyDescent="0.3">
      <c r="CO8380" s="15"/>
    </row>
    <row r="8381" spans="93:93" x14ac:dyDescent="0.3">
      <c r="CO8381" s="15"/>
    </row>
    <row r="8382" spans="93:93" x14ac:dyDescent="0.3">
      <c r="CO8382" s="15"/>
    </row>
    <row r="8383" spans="93:93" x14ac:dyDescent="0.3">
      <c r="CO8383" s="15"/>
    </row>
    <row r="8384" spans="93:93" x14ac:dyDescent="0.3">
      <c r="CO8384" s="15"/>
    </row>
    <row r="8385" spans="93:93" x14ac:dyDescent="0.3">
      <c r="CO8385" s="15"/>
    </row>
    <row r="8386" spans="93:93" x14ac:dyDescent="0.3">
      <c r="CO8386" s="15"/>
    </row>
    <row r="8387" spans="93:93" x14ac:dyDescent="0.3">
      <c r="CO8387" s="15"/>
    </row>
    <row r="8388" spans="93:93" x14ac:dyDescent="0.3">
      <c r="CO8388" s="15"/>
    </row>
    <row r="8389" spans="93:93" x14ac:dyDescent="0.3">
      <c r="CO8389" s="15"/>
    </row>
    <row r="8390" spans="93:93" x14ac:dyDescent="0.3">
      <c r="CO8390" s="15"/>
    </row>
    <row r="8391" spans="93:93" x14ac:dyDescent="0.3">
      <c r="CO8391" s="15"/>
    </row>
    <row r="8392" spans="93:93" x14ac:dyDescent="0.3">
      <c r="CO8392" s="15"/>
    </row>
    <row r="8393" spans="93:93" x14ac:dyDescent="0.3">
      <c r="CO8393" s="15"/>
    </row>
    <row r="8394" spans="93:93" x14ac:dyDescent="0.3">
      <c r="CO8394" s="15"/>
    </row>
    <row r="8395" spans="93:93" x14ac:dyDescent="0.3">
      <c r="CO8395" s="15"/>
    </row>
    <row r="8396" spans="93:93" x14ac:dyDescent="0.3">
      <c r="CO8396" s="15"/>
    </row>
    <row r="8397" spans="93:93" x14ac:dyDescent="0.3">
      <c r="CO8397" s="15"/>
    </row>
    <row r="8398" spans="93:93" x14ac:dyDescent="0.3">
      <c r="CO8398" s="15"/>
    </row>
    <row r="8399" spans="93:93" x14ac:dyDescent="0.3">
      <c r="CO8399" s="15"/>
    </row>
    <row r="8400" spans="93:93" x14ac:dyDescent="0.3">
      <c r="CO8400" s="15"/>
    </row>
    <row r="8401" spans="93:93" x14ac:dyDescent="0.3">
      <c r="CO8401" s="15"/>
    </row>
    <row r="8402" spans="93:93" x14ac:dyDescent="0.3">
      <c r="CO8402" s="15"/>
    </row>
    <row r="8403" spans="93:93" x14ac:dyDescent="0.3">
      <c r="CO8403" s="15"/>
    </row>
    <row r="8404" spans="93:93" x14ac:dyDescent="0.3">
      <c r="CO8404" s="15"/>
    </row>
    <row r="8405" spans="93:93" x14ac:dyDescent="0.3">
      <c r="CO8405" s="15"/>
    </row>
    <row r="8406" spans="93:93" x14ac:dyDescent="0.3">
      <c r="CO8406" s="15"/>
    </row>
    <row r="8407" spans="93:93" x14ac:dyDescent="0.3">
      <c r="CO8407" s="15"/>
    </row>
    <row r="8408" spans="93:93" x14ac:dyDescent="0.3">
      <c r="CO8408" s="15"/>
    </row>
    <row r="8409" spans="93:93" x14ac:dyDescent="0.3">
      <c r="CO8409" s="15"/>
    </row>
    <row r="8410" spans="93:93" x14ac:dyDescent="0.3">
      <c r="CO8410" s="15"/>
    </row>
    <row r="8411" spans="93:93" x14ac:dyDescent="0.3">
      <c r="CO8411" s="15"/>
    </row>
    <row r="8412" spans="93:93" x14ac:dyDescent="0.3">
      <c r="CO8412" s="15"/>
    </row>
    <row r="8413" spans="93:93" x14ac:dyDescent="0.3">
      <c r="CO8413" s="15"/>
    </row>
    <row r="8414" spans="93:93" x14ac:dyDescent="0.3">
      <c r="CO8414" s="15"/>
    </row>
    <row r="8415" spans="93:93" x14ac:dyDescent="0.3">
      <c r="CO8415" s="15"/>
    </row>
    <row r="8416" spans="93:93" x14ac:dyDescent="0.3">
      <c r="CO8416" s="15"/>
    </row>
    <row r="8417" spans="93:93" x14ac:dyDescent="0.3">
      <c r="CO8417" s="15"/>
    </row>
    <row r="8418" spans="93:93" x14ac:dyDescent="0.3">
      <c r="CO8418" s="15"/>
    </row>
    <row r="8419" spans="93:93" x14ac:dyDescent="0.3">
      <c r="CO8419" s="15"/>
    </row>
    <row r="8420" spans="93:93" x14ac:dyDescent="0.3">
      <c r="CO8420" s="15"/>
    </row>
    <row r="8421" spans="93:93" x14ac:dyDescent="0.3">
      <c r="CO8421" s="15"/>
    </row>
    <row r="8422" spans="93:93" x14ac:dyDescent="0.3">
      <c r="CO8422" s="15"/>
    </row>
    <row r="8423" spans="93:93" x14ac:dyDescent="0.3">
      <c r="CO8423" s="15"/>
    </row>
    <row r="8424" spans="93:93" x14ac:dyDescent="0.3">
      <c r="CO8424" s="15"/>
    </row>
    <row r="8425" spans="93:93" x14ac:dyDescent="0.3">
      <c r="CO8425" s="15"/>
    </row>
    <row r="8426" spans="93:93" x14ac:dyDescent="0.3">
      <c r="CO8426" s="15"/>
    </row>
    <row r="8427" spans="93:93" x14ac:dyDescent="0.3">
      <c r="CO8427" s="15"/>
    </row>
    <row r="8428" spans="93:93" x14ac:dyDescent="0.3">
      <c r="CO8428" s="15"/>
    </row>
    <row r="8429" spans="93:93" x14ac:dyDescent="0.3">
      <c r="CO8429" s="15"/>
    </row>
    <row r="8430" spans="93:93" x14ac:dyDescent="0.3">
      <c r="CO8430" s="15"/>
    </row>
    <row r="8431" spans="93:93" x14ac:dyDescent="0.3">
      <c r="CO8431" s="15"/>
    </row>
    <row r="8432" spans="93:93" x14ac:dyDescent="0.3">
      <c r="CO8432" s="15"/>
    </row>
    <row r="8433" spans="93:93" x14ac:dyDescent="0.3">
      <c r="CO8433" s="15"/>
    </row>
    <row r="8434" spans="93:93" x14ac:dyDescent="0.3">
      <c r="CO8434" s="15"/>
    </row>
    <row r="8435" spans="93:93" x14ac:dyDescent="0.3">
      <c r="CO8435" s="15"/>
    </row>
    <row r="8436" spans="93:93" x14ac:dyDescent="0.3">
      <c r="CO8436" s="15"/>
    </row>
    <row r="8437" spans="93:93" x14ac:dyDescent="0.3">
      <c r="CO8437" s="15"/>
    </row>
    <row r="8438" spans="93:93" x14ac:dyDescent="0.3">
      <c r="CO8438" s="15"/>
    </row>
    <row r="8439" spans="93:93" x14ac:dyDescent="0.3">
      <c r="CO8439" s="15"/>
    </row>
    <row r="8440" spans="93:93" x14ac:dyDescent="0.3">
      <c r="CO8440" s="15"/>
    </row>
    <row r="8441" spans="93:93" x14ac:dyDescent="0.3">
      <c r="CO8441" s="15"/>
    </row>
    <row r="8442" spans="93:93" x14ac:dyDescent="0.3">
      <c r="CO8442" s="15"/>
    </row>
    <row r="8443" spans="93:93" x14ac:dyDescent="0.3">
      <c r="CO8443" s="15"/>
    </row>
    <row r="8444" spans="93:93" x14ac:dyDescent="0.3">
      <c r="CO8444" s="15"/>
    </row>
    <row r="8445" spans="93:93" x14ac:dyDescent="0.3">
      <c r="CO8445" s="15"/>
    </row>
    <row r="8446" spans="93:93" x14ac:dyDescent="0.3">
      <c r="CO8446" s="15"/>
    </row>
    <row r="8447" spans="93:93" x14ac:dyDescent="0.3">
      <c r="CO8447" s="15"/>
    </row>
    <row r="8448" spans="93:93" x14ac:dyDescent="0.3">
      <c r="CO8448" s="15"/>
    </row>
    <row r="8449" spans="93:93" x14ac:dyDescent="0.3">
      <c r="CO8449" s="15"/>
    </row>
    <row r="8450" spans="93:93" x14ac:dyDescent="0.3">
      <c r="CO8450" s="15"/>
    </row>
    <row r="8451" spans="93:93" x14ac:dyDescent="0.3">
      <c r="CO8451" s="15"/>
    </row>
    <row r="8452" spans="93:93" x14ac:dyDescent="0.3">
      <c r="CO8452" s="15"/>
    </row>
    <row r="8453" spans="93:93" x14ac:dyDescent="0.3">
      <c r="CO8453" s="15"/>
    </row>
    <row r="8454" spans="93:93" x14ac:dyDescent="0.3">
      <c r="CO8454" s="15"/>
    </row>
    <row r="8455" spans="93:93" x14ac:dyDescent="0.3">
      <c r="CO8455" s="15"/>
    </row>
    <row r="8456" spans="93:93" x14ac:dyDescent="0.3">
      <c r="CO8456" s="15"/>
    </row>
    <row r="8457" spans="93:93" x14ac:dyDescent="0.3">
      <c r="CO8457" s="15"/>
    </row>
    <row r="8458" spans="93:93" x14ac:dyDescent="0.3">
      <c r="CO8458" s="15"/>
    </row>
    <row r="8459" spans="93:93" x14ac:dyDescent="0.3">
      <c r="CO8459" s="15"/>
    </row>
    <row r="8460" spans="93:93" x14ac:dyDescent="0.3">
      <c r="CO8460" s="15"/>
    </row>
    <row r="8461" spans="93:93" x14ac:dyDescent="0.3">
      <c r="CO8461" s="15"/>
    </row>
    <row r="8462" spans="93:93" x14ac:dyDescent="0.3">
      <c r="CO8462" s="15"/>
    </row>
    <row r="8463" spans="93:93" x14ac:dyDescent="0.3">
      <c r="CO8463" s="15"/>
    </row>
    <row r="8464" spans="93:93" x14ac:dyDescent="0.3">
      <c r="CO8464" s="15"/>
    </row>
    <row r="8465" spans="93:93" x14ac:dyDescent="0.3">
      <c r="CO8465" s="15"/>
    </row>
    <row r="8466" spans="93:93" x14ac:dyDescent="0.3">
      <c r="CO8466" s="15"/>
    </row>
    <row r="8467" spans="93:93" x14ac:dyDescent="0.3">
      <c r="CO8467" s="15"/>
    </row>
    <row r="8468" spans="93:93" x14ac:dyDescent="0.3">
      <c r="CO8468" s="15"/>
    </row>
    <row r="8469" spans="93:93" x14ac:dyDescent="0.3">
      <c r="CO8469" s="15"/>
    </row>
    <row r="8470" spans="93:93" x14ac:dyDescent="0.3">
      <c r="CO8470" s="15"/>
    </row>
    <row r="8471" spans="93:93" x14ac:dyDescent="0.3">
      <c r="CO8471" s="15"/>
    </row>
    <row r="8472" spans="93:93" x14ac:dyDescent="0.3">
      <c r="CO8472" s="15"/>
    </row>
    <row r="8473" spans="93:93" x14ac:dyDescent="0.3">
      <c r="CO8473" s="15"/>
    </row>
    <row r="8474" spans="93:93" x14ac:dyDescent="0.3">
      <c r="CO8474" s="15"/>
    </row>
    <row r="8475" spans="93:93" x14ac:dyDescent="0.3">
      <c r="CO8475" s="15"/>
    </row>
    <row r="8476" spans="93:93" x14ac:dyDescent="0.3">
      <c r="CO8476" s="15"/>
    </row>
    <row r="8477" spans="93:93" x14ac:dyDescent="0.3">
      <c r="CO8477" s="15"/>
    </row>
    <row r="8478" spans="93:93" x14ac:dyDescent="0.3">
      <c r="CO8478" s="15"/>
    </row>
    <row r="8479" spans="93:93" x14ac:dyDescent="0.3">
      <c r="CO8479" s="15"/>
    </row>
    <row r="8480" spans="93:93" x14ac:dyDescent="0.3">
      <c r="CO8480" s="15"/>
    </row>
    <row r="8481" spans="93:93" x14ac:dyDescent="0.3">
      <c r="CO8481" s="15"/>
    </row>
    <row r="8482" spans="93:93" x14ac:dyDescent="0.3">
      <c r="CO8482" s="15"/>
    </row>
    <row r="8483" spans="93:93" x14ac:dyDescent="0.3">
      <c r="CO8483" s="15"/>
    </row>
    <row r="8484" spans="93:93" x14ac:dyDescent="0.3">
      <c r="CO8484" s="15"/>
    </row>
    <row r="8485" spans="93:93" x14ac:dyDescent="0.3">
      <c r="CO8485" s="15"/>
    </row>
    <row r="8486" spans="93:93" x14ac:dyDescent="0.3">
      <c r="CO8486" s="15"/>
    </row>
    <row r="8487" spans="93:93" x14ac:dyDescent="0.3">
      <c r="CO8487" s="15"/>
    </row>
    <row r="8488" spans="93:93" x14ac:dyDescent="0.3">
      <c r="CO8488" s="15"/>
    </row>
    <row r="8489" spans="93:93" x14ac:dyDescent="0.3">
      <c r="CO8489" s="15"/>
    </row>
    <row r="8490" spans="93:93" x14ac:dyDescent="0.3">
      <c r="CO8490" s="15"/>
    </row>
    <row r="8491" spans="93:93" x14ac:dyDescent="0.3">
      <c r="CO8491" s="15"/>
    </row>
    <row r="8492" spans="93:93" x14ac:dyDescent="0.3">
      <c r="CO8492" s="15"/>
    </row>
    <row r="8493" spans="93:93" x14ac:dyDescent="0.3">
      <c r="CO8493" s="15"/>
    </row>
    <row r="8494" spans="93:93" x14ac:dyDescent="0.3">
      <c r="CO8494" s="15"/>
    </row>
    <row r="8495" spans="93:93" x14ac:dyDescent="0.3">
      <c r="CO8495" s="15"/>
    </row>
    <row r="8496" spans="93:93" x14ac:dyDescent="0.3">
      <c r="CO8496" s="15"/>
    </row>
    <row r="8497" spans="93:93" x14ac:dyDescent="0.3">
      <c r="CO8497" s="15"/>
    </row>
    <row r="8498" spans="93:93" x14ac:dyDescent="0.3">
      <c r="CO8498" s="15"/>
    </row>
    <row r="8499" spans="93:93" x14ac:dyDescent="0.3">
      <c r="CO8499" s="15"/>
    </row>
    <row r="8500" spans="93:93" x14ac:dyDescent="0.3">
      <c r="CO8500" s="15"/>
    </row>
    <row r="8501" spans="93:93" x14ac:dyDescent="0.3">
      <c r="CO8501" s="15"/>
    </row>
    <row r="8502" spans="93:93" x14ac:dyDescent="0.3">
      <c r="CO8502" s="15"/>
    </row>
    <row r="8503" spans="93:93" x14ac:dyDescent="0.3">
      <c r="CO8503" s="15"/>
    </row>
    <row r="8504" spans="93:93" x14ac:dyDescent="0.3">
      <c r="CO8504" s="15"/>
    </row>
    <row r="8505" spans="93:93" x14ac:dyDescent="0.3">
      <c r="CO8505" s="15"/>
    </row>
    <row r="8506" spans="93:93" x14ac:dyDescent="0.3">
      <c r="CO8506" s="15"/>
    </row>
    <row r="8507" spans="93:93" x14ac:dyDescent="0.3">
      <c r="CO8507" s="15"/>
    </row>
    <row r="8508" spans="93:93" x14ac:dyDescent="0.3">
      <c r="CO8508" s="15"/>
    </row>
    <row r="8509" spans="93:93" x14ac:dyDescent="0.3">
      <c r="CO8509" s="15"/>
    </row>
    <row r="8510" spans="93:93" x14ac:dyDescent="0.3">
      <c r="CO8510" s="15"/>
    </row>
    <row r="8511" spans="93:93" x14ac:dyDescent="0.3">
      <c r="CO8511" s="15"/>
    </row>
    <row r="8512" spans="93:93" x14ac:dyDescent="0.3">
      <c r="CO8512" s="15"/>
    </row>
    <row r="8513" spans="93:93" x14ac:dyDescent="0.3">
      <c r="CO8513" s="15"/>
    </row>
    <row r="8514" spans="93:93" x14ac:dyDescent="0.3">
      <c r="CO8514" s="15"/>
    </row>
    <row r="8515" spans="93:93" x14ac:dyDescent="0.3">
      <c r="CO8515" s="15"/>
    </row>
    <row r="8516" spans="93:93" x14ac:dyDescent="0.3">
      <c r="CO8516" s="15"/>
    </row>
    <row r="8517" spans="93:93" x14ac:dyDescent="0.3">
      <c r="CO8517" s="15"/>
    </row>
    <row r="8518" spans="93:93" x14ac:dyDescent="0.3">
      <c r="CO8518" s="15"/>
    </row>
    <row r="8519" spans="93:93" x14ac:dyDescent="0.3">
      <c r="CO8519" s="15"/>
    </row>
    <row r="8520" spans="93:93" x14ac:dyDescent="0.3">
      <c r="CO8520" s="15"/>
    </row>
    <row r="8521" spans="93:93" x14ac:dyDescent="0.3">
      <c r="CO8521" s="15"/>
    </row>
    <row r="8522" spans="93:93" x14ac:dyDescent="0.3">
      <c r="CO8522" s="15"/>
    </row>
    <row r="8523" spans="93:93" x14ac:dyDescent="0.3">
      <c r="CO8523" s="15"/>
    </row>
    <row r="8524" spans="93:93" x14ac:dyDescent="0.3">
      <c r="CO8524" s="15"/>
    </row>
    <row r="8525" spans="93:93" x14ac:dyDescent="0.3">
      <c r="CO8525" s="15"/>
    </row>
    <row r="8526" spans="93:93" x14ac:dyDescent="0.3">
      <c r="CO8526" s="15"/>
    </row>
    <row r="8527" spans="93:93" x14ac:dyDescent="0.3">
      <c r="CO8527" s="15"/>
    </row>
    <row r="8528" spans="93:93" x14ac:dyDescent="0.3">
      <c r="CO8528" s="15"/>
    </row>
    <row r="8529" spans="93:93" x14ac:dyDescent="0.3">
      <c r="CO8529" s="15"/>
    </row>
    <row r="8530" spans="93:93" x14ac:dyDescent="0.3">
      <c r="CO8530" s="15"/>
    </row>
    <row r="8531" spans="93:93" x14ac:dyDescent="0.3">
      <c r="CO8531" s="15"/>
    </row>
    <row r="8532" spans="93:93" x14ac:dyDescent="0.3">
      <c r="CO8532" s="15"/>
    </row>
    <row r="8533" spans="93:93" x14ac:dyDescent="0.3">
      <c r="CO8533" s="15"/>
    </row>
    <row r="8534" spans="93:93" x14ac:dyDescent="0.3">
      <c r="CO8534" s="15"/>
    </row>
    <row r="8535" spans="93:93" x14ac:dyDescent="0.3">
      <c r="CO8535" s="15"/>
    </row>
    <row r="8536" spans="93:93" x14ac:dyDescent="0.3">
      <c r="CO8536" s="15"/>
    </row>
    <row r="8537" spans="93:93" x14ac:dyDescent="0.3">
      <c r="CO8537" s="15"/>
    </row>
    <row r="8538" spans="93:93" x14ac:dyDescent="0.3">
      <c r="CO8538" s="15"/>
    </row>
    <row r="8539" spans="93:93" x14ac:dyDescent="0.3">
      <c r="CO8539" s="15"/>
    </row>
    <row r="8540" spans="93:93" x14ac:dyDescent="0.3">
      <c r="CO8540" s="15"/>
    </row>
    <row r="8541" spans="93:93" x14ac:dyDescent="0.3">
      <c r="CO8541" s="15"/>
    </row>
    <row r="8542" spans="93:93" x14ac:dyDescent="0.3">
      <c r="CO8542" s="15"/>
    </row>
    <row r="8543" spans="93:93" x14ac:dyDescent="0.3">
      <c r="CO8543" s="15"/>
    </row>
    <row r="8544" spans="93:93" x14ac:dyDescent="0.3">
      <c r="CO8544" s="15"/>
    </row>
    <row r="8545" spans="93:93" x14ac:dyDescent="0.3">
      <c r="CO8545" s="15"/>
    </row>
    <row r="8546" spans="93:93" x14ac:dyDescent="0.3">
      <c r="CO8546" s="15"/>
    </row>
    <row r="8547" spans="93:93" x14ac:dyDescent="0.3">
      <c r="CO8547" s="15"/>
    </row>
    <row r="8548" spans="93:93" x14ac:dyDescent="0.3">
      <c r="CO8548" s="15"/>
    </row>
    <row r="8549" spans="93:93" x14ac:dyDescent="0.3">
      <c r="CO8549" s="15"/>
    </row>
    <row r="8550" spans="93:93" x14ac:dyDescent="0.3">
      <c r="CO8550" s="15"/>
    </row>
    <row r="8551" spans="93:93" x14ac:dyDescent="0.3">
      <c r="CO8551" s="15"/>
    </row>
    <row r="8552" spans="93:93" x14ac:dyDescent="0.3">
      <c r="CO8552" s="15"/>
    </row>
    <row r="8553" spans="93:93" x14ac:dyDescent="0.3">
      <c r="CO8553" s="15"/>
    </row>
    <row r="8554" spans="93:93" x14ac:dyDescent="0.3">
      <c r="CO8554" s="15"/>
    </row>
    <row r="8555" spans="93:93" x14ac:dyDescent="0.3">
      <c r="CO8555" s="15"/>
    </row>
    <row r="8556" spans="93:93" x14ac:dyDescent="0.3">
      <c r="CO8556" s="15"/>
    </row>
    <row r="8557" spans="93:93" x14ac:dyDescent="0.3">
      <c r="CO8557" s="15"/>
    </row>
    <row r="8558" spans="93:93" x14ac:dyDescent="0.3">
      <c r="CO8558" s="15"/>
    </row>
    <row r="8559" spans="93:93" x14ac:dyDescent="0.3">
      <c r="CO8559" s="15"/>
    </row>
    <row r="8560" spans="93:93" x14ac:dyDescent="0.3">
      <c r="CO8560" s="15"/>
    </row>
    <row r="8561" spans="93:93" x14ac:dyDescent="0.3">
      <c r="CO8561" s="15"/>
    </row>
    <row r="8562" spans="93:93" x14ac:dyDescent="0.3">
      <c r="CO8562" s="15"/>
    </row>
    <row r="8563" spans="93:93" x14ac:dyDescent="0.3">
      <c r="CO8563" s="15"/>
    </row>
    <row r="8564" spans="93:93" x14ac:dyDescent="0.3">
      <c r="CO8564" s="15"/>
    </row>
    <row r="8565" spans="93:93" x14ac:dyDescent="0.3">
      <c r="CO8565" s="15"/>
    </row>
    <row r="8566" spans="93:93" x14ac:dyDescent="0.3">
      <c r="CO8566" s="15"/>
    </row>
    <row r="8567" spans="93:93" x14ac:dyDescent="0.3">
      <c r="CO8567" s="15"/>
    </row>
    <row r="8568" spans="93:93" x14ac:dyDescent="0.3">
      <c r="CO8568" s="15"/>
    </row>
    <row r="8569" spans="93:93" x14ac:dyDescent="0.3">
      <c r="CO8569" s="15"/>
    </row>
    <row r="8570" spans="93:93" x14ac:dyDescent="0.3">
      <c r="CO8570" s="15"/>
    </row>
    <row r="8571" spans="93:93" x14ac:dyDescent="0.3">
      <c r="CO8571" s="15"/>
    </row>
    <row r="8572" spans="93:93" x14ac:dyDescent="0.3">
      <c r="CO8572" s="15"/>
    </row>
    <row r="8573" spans="93:93" x14ac:dyDescent="0.3">
      <c r="CO8573" s="15"/>
    </row>
    <row r="8574" spans="93:93" x14ac:dyDescent="0.3">
      <c r="CO8574" s="15"/>
    </row>
    <row r="8575" spans="93:93" x14ac:dyDescent="0.3">
      <c r="CO8575" s="15"/>
    </row>
    <row r="8576" spans="93:93" x14ac:dyDescent="0.3">
      <c r="CO8576" s="15"/>
    </row>
    <row r="8577" spans="93:93" x14ac:dyDescent="0.3">
      <c r="CO8577" s="15"/>
    </row>
    <row r="8578" spans="93:93" x14ac:dyDescent="0.3">
      <c r="CO8578" s="15"/>
    </row>
    <row r="8579" spans="93:93" x14ac:dyDescent="0.3">
      <c r="CO8579" s="15"/>
    </row>
    <row r="8580" spans="93:93" x14ac:dyDescent="0.3">
      <c r="CO8580" s="15"/>
    </row>
    <row r="8581" spans="93:93" x14ac:dyDescent="0.3">
      <c r="CO8581" s="15"/>
    </row>
    <row r="8582" spans="93:93" x14ac:dyDescent="0.3">
      <c r="CO8582" s="15"/>
    </row>
    <row r="8583" spans="93:93" x14ac:dyDescent="0.3">
      <c r="CO8583" s="15"/>
    </row>
    <row r="8584" spans="93:93" x14ac:dyDescent="0.3">
      <c r="CO8584" s="15"/>
    </row>
    <row r="8585" spans="93:93" x14ac:dyDescent="0.3">
      <c r="CO8585" s="15"/>
    </row>
    <row r="8586" spans="93:93" x14ac:dyDescent="0.3">
      <c r="CO8586" s="15"/>
    </row>
    <row r="8587" spans="93:93" x14ac:dyDescent="0.3">
      <c r="CO8587" s="15"/>
    </row>
    <row r="8588" spans="93:93" x14ac:dyDescent="0.3">
      <c r="CO8588" s="15"/>
    </row>
    <row r="8589" spans="93:93" x14ac:dyDescent="0.3">
      <c r="CO8589" s="15"/>
    </row>
    <row r="8590" spans="93:93" x14ac:dyDescent="0.3">
      <c r="CO8590" s="15"/>
    </row>
    <row r="8591" spans="93:93" x14ac:dyDescent="0.3">
      <c r="CO8591" s="15"/>
    </row>
    <row r="8592" spans="93:93" x14ac:dyDescent="0.3">
      <c r="CO8592" s="15"/>
    </row>
    <row r="8593" spans="93:93" x14ac:dyDescent="0.3">
      <c r="CO8593" s="15"/>
    </row>
    <row r="8594" spans="93:93" x14ac:dyDescent="0.3">
      <c r="CO8594" s="15"/>
    </row>
    <row r="8595" spans="93:93" x14ac:dyDescent="0.3">
      <c r="CO8595" s="15"/>
    </row>
    <row r="8596" spans="93:93" x14ac:dyDescent="0.3">
      <c r="CO8596" s="15"/>
    </row>
    <row r="8597" spans="93:93" x14ac:dyDescent="0.3">
      <c r="CO8597" s="15"/>
    </row>
    <row r="8598" spans="93:93" x14ac:dyDescent="0.3">
      <c r="CO8598" s="15"/>
    </row>
    <row r="8599" spans="93:93" x14ac:dyDescent="0.3">
      <c r="CO8599" s="15"/>
    </row>
    <row r="8600" spans="93:93" x14ac:dyDescent="0.3">
      <c r="CO8600" s="15"/>
    </row>
    <row r="8601" spans="93:93" x14ac:dyDescent="0.3">
      <c r="CO8601" s="15"/>
    </row>
    <row r="8602" spans="93:93" x14ac:dyDescent="0.3">
      <c r="CO8602" s="15"/>
    </row>
    <row r="8603" spans="93:93" x14ac:dyDescent="0.3">
      <c r="CO8603" s="15"/>
    </row>
    <row r="8604" spans="93:93" x14ac:dyDescent="0.3">
      <c r="CO8604" s="15"/>
    </row>
    <row r="8605" spans="93:93" x14ac:dyDescent="0.3">
      <c r="CO8605" s="15"/>
    </row>
    <row r="8606" spans="93:93" x14ac:dyDescent="0.3">
      <c r="CO8606" s="15"/>
    </row>
    <row r="8607" spans="93:93" x14ac:dyDescent="0.3">
      <c r="CO8607" s="15"/>
    </row>
    <row r="8608" spans="93:93" x14ac:dyDescent="0.3">
      <c r="CO8608" s="15"/>
    </row>
    <row r="8609" spans="93:93" x14ac:dyDescent="0.3">
      <c r="CO8609" s="15"/>
    </row>
    <row r="8610" spans="93:93" x14ac:dyDescent="0.3">
      <c r="CO8610" s="15"/>
    </row>
    <row r="8611" spans="93:93" x14ac:dyDescent="0.3">
      <c r="CO8611" s="15"/>
    </row>
    <row r="8612" spans="93:93" x14ac:dyDescent="0.3">
      <c r="CO8612" s="15"/>
    </row>
    <row r="8613" spans="93:93" x14ac:dyDescent="0.3">
      <c r="CO8613" s="15"/>
    </row>
    <row r="8614" spans="93:93" x14ac:dyDescent="0.3">
      <c r="CO8614" s="15"/>
    </row>
    <row r="8615" spans="93:93" x14ac:dyDescent="0.3">
      <c r="CO8615" s="15"/>
    </row>
    <row r="8616" spans="93:93" x14ac:dyDescent="0.3">
      <c r="CO8616" s="15"/>
    </row>
    <row r="8617" spans="93:93" x14ac:dyDescent="0.3">
      <c r="CO8617" s="15"/>
    </row>
    <row r="8618" spans="93:93" x14ac:dyDescent="0.3">
      <c r="CO8618" s="15"/>
    </row>
    <row r="8619" spans="93:93" x14ac:dyDescent="0.3">
      <c r="CO8619" s="15"/>
    </row>
    <row r="8620" spans="93:93" x14ac:dyDescent="0.3">
      <c r="CO8620" s="15"/>
    </row>
    <row r="8621" spans="93:93" x14ac:dyDescent="0.3">
      <c r="CO8621" s="15"/>
    </row>
    <row r="8622" spans="93:93" x14ac:dyDescent="0.3">
      <c r="CO8622" s="15"/>
    </row>
    <row r="8623" spans="93:93" x14ac:dyDescent="0.3">
      <c r="CO8623" s="15"/>
    </row>
    <row r="8624" spans="93:93" x14ac:dyDescent="0.3">
      <c r="CO8624" s="15"/>
    </row>
    <row r="8625" spans="93:93" x14ac:dyDescent="0.3">
      <c r="CO8625" s="15"/>
    </row>
    <row r="8626" spans="93:93" x14ac:dyDescent="0.3">
      <c r="CO8626" s="15"/>
    </row>
    <row r="8627" spans="93:93" x14ac:dyDescent="0.3">
      <c r="CO8627" s="15"/>
    </row>
    <row r="8628" spans="93:93" x14ac:dyDescent="0.3">
      <c r="CO8628" s="15"/>
    </row>
    <row r="8629" spans="93:93" x14ac:dyDescent="0.3">
      <c r="CO8629" s="15"/>
    </row>
    <row r="8630" spans="93:93" x14ac:dyDescent="0.3">
      <c r="CO8630" s="15"/>
    </row>
    <row r="8631" spans="93:93" x14ac:dyDescent="0.3">
      <c r="CO8631" s="15"/>
    </row>
    <row r="8632" spans="93:93" x14ac:dyDescent="0.3">
      <c r="CO8632" s="15"/>
    </row>
    <row r="8633" spans="93:93" x14ac:dyDescent="0.3">
      <c r="CO8633" s="15"/>
    </row>
    <row r="8634" spans="93:93" x14ac:dyDescent="0.3">
      <c r="CO8634" s="15"/>
    </row>
    <row r="8635" spans="93:93" x14ac:dyDescent="0.3">
      <c r="CO8635" s="15"/>
    </row>
    <row r="8636" spans="93:93" x14ac:dyDescent="0.3">
      <c r="CO8636" s="15"/>
    </row>
    <row r="8637" spans="93:93" x14ac:dyDescent="0.3">
      <c r="CO8637" s="15"/>
    </row>
    <row r="8638" spans="93:93" x14ac:dyDescent="0.3">
      <c r="CO8638" s="15"/>
    </row>
    <row r="8639" spans="93:93" x14ac:dyDescent="0.3">
      <c r="CO8639" s="15"/>
    </row>
    <row r="8640" spans="93:93" x14ac:dyDescent="0.3">
      <c r="CO8640" s="15"/>
    </row>
    <row r="8641" spans="93:93" x14ac:dyDescent="0.3">
      <c r="CO8641" s="15"/>
    </row>
    <row r="8642" spans="93:93" x14ac:dyDescent="0.3">
      <c r="CO8642" s="15"/>
    </row>
    <row r="8643" spans="93:93" x14ac:dyDescent="0.3">
      <c r="CO8643" s="15"/>
    </row>
    <row r="8644" spans="93:93" x14ac:dyDescent="0.3">
      <c r="CO8644" s="15"/>
    </row>
    <row r="8645" spans="93:93" x14ac:dyDescent="0.3">
      <c r="CO8645" s="15"/>
    </row>
    <row r="8646" spans="93:93" x14ac:dyDescent="0.3">
      <c r="CO8646" s="15"/>
    </row>
    <row r="8647" spans="93:93" x14ac:dyDescent="0.3">
      <c r="CO8647" s="15"/>
    </row>
    <row r="8648" spans="93:93" x14ac:dyDescent="0.3">
      <c r="CO8648" s="15"/>
    </row>
    <row r="8649" spans="93:93" x14ac:dyDescent="0.3">
      <c r="CO8649" s="15"/>
    </row>
    <row r="8650" spans="93:93" x14ac:dyDescent="0.3">
      <c r="CO8650" s="15"/>
    </row>
    <row r="8651" spans="93:93" x14ac:dyDescent="0.3">
      <c r="CO8651" s="15"/>
    </row>
    <row r="8652" spans="93:93" x14ac:dyDescent="0.3">
      <c r="CO8652" s="15"/>
    </row>
    <row r="8653" spans="93:93" x14ac:dyDescent="0.3">
      <c r="CO8653" s="15"/>
    </row>
    <row r="8654" spans="93:93" x14ac:dyDescent="0.3">
      <c r="CO8654" s="15"/>
    </row>
    <row r="8655" spans="93:93" x14ac:dyDescent="0.3">
      <c r="CO8655" s="15"/>
    </row>
    <row r="8656" spans="93:93" x14ac:dyDescent="0.3">
      <c r="CO8656" s="15"/>
    </row>
    <row r="8657" spans="93:93" x14ac:dyDescent="0.3">
      <c r="CO8657" s="15"/>
    </row>
    <row r="8658" spans="93:93" x14ac:dyDescent="0.3">
      <c r="CO8658" s="15"/>
    </row>
    <row r="8659" spans="93:93" x14ac:dyDescent="0.3">
      <c r="CO8659" s="15"/>
    </row>
    <row r="8660" spans="93:93" x14ac:dyDescent="0.3">
      <c r="CO8660" s="15"/>
    </row>
    <row r="8661" spans="93:93" x14ac:dyDescent="0.3">
      <c r="CO8661" s="15"/>
    </row>
    <row r="8662" spans="93:93" x14ac:dyDescent="0.3">
      <c r="CO8662" s="15"/>
    </row>
    <row r="8663" spans="93:93" x14ac:dyDescent="0.3">
      <c r="CO8663" s="15"/>
    </row>
    <row r="8664" spans="93:93" x14ac:dyDescent="0.3">
      <c r="CO8664" s="15"/>
    </row>
    <row r="8665" spans="93:93" x14ac:dyDescent="0.3">
      <c r="CO8665" s="15"/>
    </row>
    <row r="8666" spans="93:93" x14ac:dyDescent="0.3">
      <c r="CO8666" s="15"/>
    </row>
    <row r="8667" spans="93:93" x14ac:dyDescent="0.3">
      <c r="CO8667" s="15"/>
    </row>
    <row r="8668" spans="93:93" x14ac:dyDescent="0.3">
      <c r="CO8668" s="15"/>
    </row>
    <row r="8669" spans="93:93" x14ac:dyDescent="0.3">
      <c r="CO8669" s="15"/>
    </row>
    <row r="8670" spans="93:93" x14ac:dyDescent="0.3">
      <c r="CO8670" s="15"/>
    </row>
    <row r="8671" spans="93:93" x14ac:dyDescent="0.3">
      <c r="CO8671" s="15"/>
    </row>
    <row r="8672" spans="93:93" x14ac:dyDescent="0.3">
      <c r="CO8672" s="15"/>
    </row>
    <row r="8673" spans="93:93" x14ac:dyDescent="0.3">
      <c r="CO8673" s="15"/>
    </row>
    <row r="8674" spans="93:93" x14ac:dyDescent="0.3">
      <c r="CO8674" s="15"/>
    </row>
    <row r="8675" spans="93:93" x14ac:dyDescent="0.3">
      <c r="CO8675" s="15"/>
    </row>
    <row r="8676" spans="93:93" x14ac:dyDescent="0.3">
      <c r="CO8676" s="15"/>
    </row>
    <row r="8677" spans="93:93" x14ac:dyDescent="0.3">
      <c r="CO8677" s="15"/>
    </row>
    <row r="8678" spans="93:93" x14ac:dyDescent="0.3">
      <c r="CO8678" s="15"/>
    </row>
    <row r="8679" spans="93:93" x14ac:dyDescent="0.3">
      <c r="CO8679" s="15"/>
    </row>
    <row r="8680" spans="93:93" x14ac:dyDescent="0.3">
      <c r="CO8680" s="15"/>
    </row>
    <row r="8681" spans="93:93" x14ac:dyDescent="0.3">
      <c r="CO8681" s="15"/>
    </row>
    <row r="8682" spans="93:93" x14ac:dyDescent="0.3">
      <c r="CO8682" s="15"/>
    </row>
    <row r="8683" spans="93:93" x14ac:dyDescent="0.3">
      <c r="CO8683" s="15"/>
    </row>
    <row r="8684" spans="93:93" x14ac:dyDescent="0.3">
      <c r="CO8684" s="15"/>
    </row>
    <row r="8685" spans="93:93" x14ac:dyDescent="0.3">
      <c r="CO8685" s="15"/>
    </row>
    <row r="8686" spans="93:93" x14ac:dyDescent="0.3">
      <c r="CO8686" s="15"/>
    </row>
    <row r="8687" spans="93:93" x14ac:dyDescent="0.3">
      <c r="CO8687" s="15"/>
    </row>
    <row r="8688" spans="93:93" x14ac:dyDescent="0.3">
      <c r="CO8688" s="15"/>
    </row>
    <row r="8689" spans="93:93" x14ac:dyDescent="0.3">
      <c r="CO8689" s="15"/>
    </row>
    <row r="8690" spans="93:93" x14ac:dyDescent="0.3">
      <c r="CO8690" s="15"/>
    </row>
    <row r="8691" spans="93:93" x14ac:dyDescent="0.3">
      <c r="CO8691" s="15"/>
    </row>
    <row r="8692" spans="93:93" x14ac:dyDescent="0.3">
      <c r="CO8692" s="15"/>
    </row>
    <row r="8693" spans="93:93" x14ac:dyDescent="0.3">
      <c r="CO8693" s="15"/>
    </row>
    <row r="8694" spans="93:93" x14ac:dyDescent="0.3">
      <c r="CO8694" s="15"/>
    </row>
    <row r="8695" spans="93:93" x14ac:dyDescent="0.3">
      <c r="CO8695" s="15"/>
    </row>
    <row r="8696" spans="93:93" x14ac:dyDescent="0.3">
      <c r="CO8696" s="15"/>
    </row>
    <row r="8697" spans="93:93" x14ac:dyDescent="0.3">
      <c r="CO8697" s="15"/>
    </row>
    <row r="8698" spans="93:93" x14ac:dyDescent="0.3">
      <c r="CO8698" s="15"/>
    </row>
    <row r="8699" spans="93:93" x14ac:dyDescent="0.3">
      <c r="CO8699" s="15"/>
    </row>
    <row r="8700" spans="93:93" x14ac:dyDescent="0.3">
      <c r="CO8700" s="15"/>
    </row>
    <row r="8701" spans="93:93" x14ac:dyDescent="0.3">
      <c r="CO8701" s="15"/>
    </row>
    <row r="8702" spans="93:93" x14ac:dyDescent="0.3">
      <c r="CO8702" s="15"/>
    </row>
    <row r="8703" spans="93:93" x14ac:dyDescent="0.3">
      <c r="CO8703" s="15"/>
    </row>
    <row r="8704" spans="93:93" x14ac:dyDescent="0.3">
      <c r="CO8704" s="15"/>
    </row>
    <row r="8705" spans="93:93" x14ac:dyDescent="0.3">
      <c r="CO8705" s="15"/>
    </row>
    <row r="8706" spans="93:93" x14ac:dyDescent="0.3">
      <c r="CO8706" s="15"/>
    </row>
    <row r="8707" spans="93:93" x14ac:dyDescent="0.3">
      <c r="CO8707" s="15"/>
    </row>
    <row r="8708" spans="93:93" x14ac:dyDescent="0.3">
      <c r="CO8708" s="15"/>
    </row>
    <row r="8709" spans="93:93" x14ac:dyDescent="0.3">
      <c r="CO8709" s="15"/>
    </row>
    <row r="8710" spans="93:93" x14ac:dyDescent="0.3">
      <c r="CO8710" s="15"/>
    </row>
    <row r="8711" spans="93:93" x14ac:dyDescent="0.3">
      <c r="CO8711" s="15"/>
    </row>
    <row r="8712" spans="93:93" x14ac:dyDescent="0.3">
      <c r="CO8712" s="15"/>
    </row>
    <row r="8713" spans="93:93" x14ac:dyDescent="0.3">
      <c r="CO8713" s="15"/>
    </row>
    <row r="8714" spans="93:93" x14ac:dyDescent="0.3">
      <c r="CO8714" s="15"/>
    </row>
    <row r="8715" spans="93:93" x14ac:dyDescent="0.3">
      <c r="CO8715" s="15"/>
    </row>
    <row r="8716" spans="93:93" x14ac:dyDescent="0.3">
      <c r="CO8716" s="15"/>
    </row>
    <row r="8717" spans="93:93" x14ac:dyDescent="0.3">
      <c r="CO8717" s="15"/>
    </row>
    <row r="8718" spans="93:93" x14ac:dyDescent="0.3">
      <c r="CO8718" s="15"/>
    </row>
    <row r="8719" spans="93:93" x14ac:dyDescent="0.3">
      <c r="CO8719" s="15"/>
    </row>
    <row r="8720" spans="93:93" x14ac:dyDescent="0.3">
      <c r="CO8720" s="15"/>
    </row>
    <row r="8721" spans="93:93" x14ac:dyDescent="0.3">
      <c r="CO8721" s="15"/>
    </row>
    <row r="8722" spans="93:93" x14ac:dyDescent="0.3">
      <c r="CO8722" s="15"/>
    </row>
    <row r="8723" spans="93:93" x14ac:dyDescent="0.3">
      <c r="CO8723" s="15"/>
    </row>
    <row r="8724" spans="93:93" x14ac:dyDescent="0.3">
      <c r="CO8724" s="15"/>
    </row>
    <row r="8725" spans="93:93" x14ac:dyDescent="0.3">
      <c r="CO8725" s="15"/>
    </row>
    <row r="8726" spans="93:93" x14ac:dyDescent="0.3">
      <c r="CO8726" s="15"/>
    </row>
    <row r="8727" spans="93:93" x14ac:dyDescent="0.3">
      <c r="CO8727" s="15"/>
    </row>
    <row r="8728" spans="93:93" x14ac:dyDescent="0.3">
      <c r="CO8728" s="15"/>
    </row>
    <row r="8729" spans="93:93" x14ac:dyDescent="0.3">
      <c r="CO8729" s="15"/>
    </row>
    <row r="8730" spans="93:93" x14ac:dyDescent="0.3">
      <c r="CO8730" s="15"/>
    </row>
    <row r="8731" spans="93:93" x14ac:dyDescent="0.3">
      <c r="CO8731" s="15"/>
    </row>
    <row r="8732" spans="93:93" x14ac:dyDescent="0.3">
      <c r="CO8732" s="15"/>
    </row>
    <row r="8733" spans="93:93" x14ac:dyDescent="0.3">
      <c r="CO8733" s="15"/>
    </row>
    <row r="8734" spans="93:93" x14ac:dyDescent="0.3">
      <c r="CO8734" s="15"/>
    </row>
    <row r="8735" spans="93:93" x14ac:dyDescent="0.3">
      <c r="CO8735" s="15"/>
    </row>
    <row r="8736" spans="93:93" x14ac:dyDescent="0.3">
      <c r="CO8736" s="15"/>
    </row>
    <row r="8737" spans="93:93" x14ac:dyDescent="0.3">
      <c r="CO8737" s="15"/>
    </row>
    <row r="8738" spans="93:93" x14ac:dyDescent="0.3">
      <c r="CO8738" s="15"/>
    </row>
    <row r="8739" spans="93:93" x14ac:dyDescent="0.3">
      <c r="CO8739" s="15"/>
    </row>
    <row r="8740" spans="93:93" x14ac:dyDescent="0.3">
      <c r="CO8740" s="15"/>
    </row>
    <row r="8741" spans="93:93" x14ac:dyDescent="0.3">
      <c r="CO8741" s="15"/>
    </row>
    <row r="8742" spans="93:93" x14ac:dyDescent="0.3">
      <c r="CO8742" s="15"/>
    </row>
    <row r="8743" spans="93:93" x14ac:dyDescent="0.3">
      <c r="CO8743" s="15"/>
    </row>
    <row r="8744" spans="93:93" x14ac:dyDescent="0.3">
      <c r="CO8744" s="15"/>
    </row>
    <row r="8745" spans="93:93" x14ac:dyDescent="0.3">
      <c r="CO8745" s="15"/>
    </row>
    <row r="8746" spans="93:93" x14ac:dyDescent="0.3">
      <c r="CO8746" s="15"/>
    </row>
    <row r="8747" spans="93:93" x14ac:dyDescent="0.3">
      <c r="CO8747" s="15"/>
    </row>
    <row r="8748" spans="93:93" x14ac:dyDescent="0.3">
      <c r="CO8748" s="15"/>
    </row>
    <row r="8749" spans="93:93" x14ac:dyDescent="0.3">
      <c r="CO8749" s="15"/>
    </row>
    <row r="8750" spans="93:93" x14ac:dyDescent="0.3">
      <c r="CO8750" s="15"/>
    </row>
    <row r="8751" spans="93:93" x14ac:dyDescent="0.3">
      <c r="CO8751" s="15"/>
    </row>
    <row r="8752" spans="93:93" x14ac:dyDescent="0.3">
      <c r="CO8752" s="15"/>
    </row>
    <row r="8753" spans="93:93" x14ac:dyDescent="0.3">
      <c r="CO8753" s="15"/>
    </row>
    <row r="8754" spans="93:93" x14ac:dyDescent="0.3">
      <c r="CO8754" s="15"/>
    </row>
    <row r="8755" spans="93:93" x14ac:dyDescent="0.3">
      <c r="CO8755" s="15"/>
    </row>
    <row r="8756" spans="93:93" x14ac:dyDescent="0.3">
      <c r="CO8756" s="15"/>
    </row>
    <row r="8757" spans="93:93" x14ac:dyDescent="0.3">
      <c r="CO8757" s="15"/>
    </row>
    <row r="8758" spans="93:93" x14ac:dyDescent="0.3">
      <c r="CO8758" s="15"/>
    </row>
    <row r="8759" spans="93:93" x14ac:dyDescent="0.3">
      <c r="CO8759" s="15"/>
    </row>
    <row r="8760" spans="93:93" x14ac:dyDescent="0.3">
      <c r="CO8760" s="15"/>
    </row>
    <row r="8761" spans="93:93" x14ac:dyDescent="0.3">
      <c r="CO8761" s="15"/>
    </row>
    <row r="8762" spans="93:93" x14ac:dyDescent="0.3">
      <c r="CO8762" s="15"/>
    </row>
    <row r="8763" spans="93:93" x14ac:dyDescent="0.3">
      <c r="CO8763" s="15"/>
    </row>
    <row r="8764" spans="93:93" x14ac:dyDescent="0.3">
      <c r="CO8764" s="15"/>
    </row>
    <row r="8765" spans="93:93" x14ac:dyDescent="0.3">
      <c r="CO8765" s="15"/>
    </row>
    <row r="8766" spans="93:93" x14ac:dyDescent="0.3">
      <c r="CO8766" s="15"/>
    </row>
    <row r="8767" spans="93:93" x14ac:dyDescent="0.3">
      <c r="CO8767" s="15"/>
    </row>
    <row r="8768" spans="93:93" x14ac:dyDescent="0.3">
      <c r="CO8768" s="15"/>
    </row>
    <row r="8769" spans="93:93" x14ac:dyDescent="0.3">
      <c r="CO8769" s="15"/>
    </row>
    <row r="8770" spans="93:93" x14ac:dyDescent="0.3">
      <c r="CO8770" s="15"/>
    </row>
    <row r="8771" spans="93:93" x14ac:dyDescent="0.3">
      <c r="CO8771" s="15"/>
    </row>
    <row r="8772" spans="93:93" x14ac:dyDescent="0.3">
      <c r="CO8772" s="15"/>
    </row>
    <row r="8773" spans="93:93" x14ac:dyDescent="0.3">
      <c r="CO8773" s="15"/>
    </row>
    <row r="8774" spans="93:93" x14ac:dyDescent="0.3">
      <c r="CO8774" s="15"/>
    </row>
    <row r="8775" spans="93:93" x14ac:dyDescent="0.3">
      <c r="CO8775" s="15"/>
    </row>
    <row r="8776" spans="93:93" x14ac:dyDescent="0.3">
      <c r="CO8776" s="15"/>
    </row>
    <row r="8777" spans="93:93" x14ac:dyDescent="0.3">
      <c r="CO8777" s="15"/>
    </row>
    <row r="8778" spans="93:93" x14ac:dyDescent="0.3">
      <c r="CO8778" s="15"/>
    </row>
    <row r="8779" spans="93:93" x14ac:dyDescent="0.3">
      <c r="CO8779" s="15"/>
    </row>
    <row r="8780" spans="93:93" x14ac:dyDescent="0.3">
      <c r="CO8780" s="15"/>
    </row>
    <row r="8781" spans="93:93" x14ac:dyDescent="0.3">
      <c r="CO8781" s="15"/>
    </row>
    <row r="8782" spans="93:93" x14ac:dyDescent="0.3">
      <c r="CO8782" s="15"/>
    </row>
    <row r="8783" spans="93:93" x14ac:dyDescent="0.3">
      <c r="CO8783" s="15"/>
    </row>
    <row r="8784" spans="93:93" x14ac:dyDescent="0.3">
      <c r="CO8784" s="15"/>
    </row>
    <row r="8785" spans="93:93" x14ac:dyDescent="0.3">
      <c r="CO8785" s="15"/>
    </row>
    <row r="8786" spans="93:93" x14ac:dyDescent="0.3">
      <c r="CO8786" s="15"/>
    </row>
    <row r="8787" spans="93:93" x14ac:dyDescent="0.3">
      <c r="CO8787" s="15"/>
    </row>
    <row r="8788" spans="93:93" x14ac:dyDescent="0.3">
      <c r="CO8788" s="15"/>
    </row>
    <row r="8789" spans="93:93" x14ac:dyDescent="0.3">
      <c r="CO8789" s="15"/>
    </row>
    <row r="8790" spans="93:93" x14ac:dyDescent="0.3">
      <c r="CO8790" s="15"/>
    </row>
    <row r="8791" spans="93:93" x14ac:dyDescent="0.3">
      <c r="CO8791" s="15"/>
    </row>
    <row r="8792" spans="93:93" x14ac:dyDescent="0.3">
      <c r="CO8792" s="15"/>
    </row>
    <row r="8793" spans="93:93" x14ac:dyDescent="0.3">
      <c r="CO8793" s="15"/>
    </row>
    <row r="8794" spans="93:93" x14ac:dyDescent="0.3">
      <c r="CO8794" s="15"/>
    </row>
    <row r="8795" spans="93:93" x14ac:dyDescent="0.3">
      <c r="CO8795" s="15"/>
    </row>
    <row r="8796" spans="93:93" x14ac:dyDescent="0.3">
      <c r="CO8796" s="15"/>
    </row>
    <row r="8797" spans="93:93" x14ac:dyDescent="0.3">
      <c r="CO8797" s="15"/>
    </row>
    <row r="8798" spans="93:93" x14ac:dyDescent="0.3">
      <c r="CO8798" s="15"/>
    </row>
    <row r="8799" spans="93:93" x14ac:dyDescent="0.3">
      <c r="CO8799" s="15"/>
    </row>
    <row r="8800" spans="93:93" x14ac:dyDescent="0.3">
      <c r="CO8800" s="15"/>
    </row>
    <row r="8801" spans="93:93" x14ac:dyDescent="0.3">
      <c r="CO8801" s="15"/>
    </row>
    <row r="8802" spans="93:93" x14ac:dyDescent="0.3">
      <c r="CO8802" s="15"/>
    </row>
    <row r="8803" spans="93:93" x14ac:dyDescent="0.3">
      <c r="CO8803" s="15"/>
    </row>
    <row r="8804" spans="93:93" x14ac:dyDescent="0.3">
      <c r="CO8804" s="15"/>
    </row>
    <row r="8805" spans="93:93" x14ac:dyDescent="0.3">
      <c r="CO8805" s="15"/>
    </row>
    <row r="8806" spans="93:93" x14ac:dyDescent="0.3">
      <c r="CO8806" s="15"/>
    </row>
    <row r="8807" spans="93:93" x14ac:dyDescent="0.3">
      <c r="CO8807" s="15"/>
    </row>
    <row r="8808" spans="93:93" x14ac:dyDescent="0.3">
      <c r="CO8808" s="15"/>
    </row>
    <row r="8809" spans="93:93" x14ac:dyDescent="0.3">
      <c r="CO8809" s="15"/>
    </row>
    <row r="8810" spans="93:93" x14ac:dyDescent="0.3">
      <c r="CO8810" s="15"/>
    </row>
    <row r="8811" spans="93:93" x14ac:dyDescent="0.3">
      <c r="CO8811" s="15"/>
    </row>
    <row r="8812" spans="93:93" x14ac:dyDescent="0.3">
      <c r="CO8812" s="15"/>
    </row>
    <row r="8813" spans="93:93" x14ac:dyDescent="0.3">
      <c r="CO8813" s="15"/>
    </row>
    <row r="8814" spans="93:93" x14ac:dyDescent="0.3">
      <c r="CO8814" s="15"/>
    </row>
    <row r="8815" spans="93:93" x14ac:dyDescent="0.3">
      <c r="CO8815" s="15"/>
    </row>
    <row r="8816" spans="93:93" x14ac:dyDescent="0.3">
      <c r="CO8816" s="15"/>
    </row>
    <row r="8817" spans="93:93" x14ac:dyDescent="0.3">
      <c r="CO8817" s="15"/>
    </row>
    <row r="8818" spans="93:93" x14ac:dyDescent="0.3">
      <c r="CO8818" s="15"/>
    </row>
    <row r="8819" spans="93:93" x14ac:dyDescent="0.3">
      <c r="CO8819" s="15"/>
    </row>
    <row r="8820" spans="93:93" x14ac:dyDescent="0.3">
      <c r="CO8820" s="15"/>
    </row>
    <row r="8821" spans="93:93" x14ac:dyDescent="0.3">
      <c r="CO8821" s="15"/>
    </row>
    <row r="8822" spans="93:93" x14ac:dyDescent="0.3">
      <c r="CO8822" s="15"/>
    </row>
    <row r="8823" spans="93:93" x14ac:dyDescent="0.3">
      <c r="CO8823" s="15"/>
    </row>
    <row r="8824" spans="93:93" x14ac:dyDescent="0.3">
      <c r="CO8824" s="15"/>
    </row>
    <row r="8825" spans="93:93" x14ac:dyDescent="0.3">
      <c r="CO8825" s="15"/>
    </row>
    <row r="8826" spans="93:93" x14ac:dyDescent="0.3">
      <c r="CO8826" s="15"/>
    </row>
    <row r="8827" spans="93:93" x14ac:dyDescent="0.3">
      <c r="CO8827" s="15"/>
    </row>
    <row r="8828" spans="93:93" x14ac:dyDescent="0.3">
      <c r="CO8828" s="15"/>
    </row>
    <row r="8829" spans="93:93" x14ac:dyDescent="0.3">
      <c r="CO8829" s="15"/>
    </row>
    <row r="8830" spans="93:93" x14ac:dyDescent="0.3">
      <c r="CO8830" s="15"/>
    </row>
    <row r="8831" spans="93:93" x14ac:dyDescent="0.3">
      <c r="CO8831" s="15"/>
    </row>
    <row r="8832" spans="93:93" x14ac:dyDescent="0.3">
      <c r="CO8832" s="15"/>
    </row>
    <row r="8833" spans="93:93" x14ac:dyDescent="0.3">
      <c r="CO8833" s="15"/>
    </row>
    <row r="8834" spans="93:93" x14ac:dyDescent="0.3">
      <c r="CO8834" s="15"/>
    </row>
    <row r="8835" spans="93:93" x14ac:dyDescent="0.3">
      <c r="CO8835" s="15"/>
    </row>
    <row r="8836" spans="93:93" x14ac:dyDescent="0.3">
      <c r="CO8836" s="15"/>
    </row>
    <row r="8837" spans="93:93" x14ac:dyDescent="0.3">
      <c r="CO8837" s="15"/>
    </row>
    <row r="8838" spans="93:93" x14ac:dyDescent="0.3">
      <c r="CO8838" s="15"/>
    </row>
    <row r="8839" spans="93:93" x14ac:dyDescent="0.3">
      <c r="CO8839" s="15"/>
    </row>
    <row r="8840" spans="93:93" x14ac:dyDescent="0.3">
      <c r="CO8840" s="15"/>
    </row>
    <row r="8841" spans="93:93" x14ac:dyDescent="0.3">
      <c r="CO8841" s="15"/>
    </row>
    <row r="8842" spans="93:93" x14ac:dyDescent="0.3">
      <c r="CO8842" s="15"/>
    </row>
    <row r="8843" spans="93:93" x14ac:dyDescent="0.3">
      <c r="CO8843" s="15"/>
    </row>
    <row r="8844" spans="93:93" x14ac:dyDescent="0.3">
      <c r="CO8844" s="15"/>
    </row>
    <row r="8845" spans="93:93" x14ac:dyDescent="0.3">
      <c r="CO8845" s="15"/>
    </row>
    <row r="8846" spans="93:93" x14ac:dyDescent="0.3">
      <c r="CO8846" s="15"/>
    </row>
    <row r="8847" spans="93:93" x14ac:dyDescent="0.3">
      <c r="CO8847" s="15"/>
    </row>
    <row r="8848" spans="93:93" x14ac:dyDescent="0.3">
      <c r="CO8848" s="15"/>
    </row>
    <row r="8849" spans="93:93" x14ac:dyDescent="0.3">
      <c r="CO8849" s="15"/>
    </row>
    <row r="8850" spans="93:93" x14ac:dyDescent="0.3">
      <c r="CO8850" s="15"/>
    </row>
    <row r="8851" spans="93:93" x14ac:dyDescent="0.3">
      <c r="CO8851" s="15"/>
    </row>
    <row r="8852" spans="93:93" x14ac:dyDescent="0.3">
      <c r="CO8852" s="15"/>
    </row>
    <row r="8853" spans="93:93" x14ac:dyDescent="0.3">
      <c r="CO8853" s="15"/>
    </row>
    <row r="8854" spans="93:93" x14ac:dyDescent="0.3">
      <c r="CO8854" s="15"/>
    </row>
    <row r="8855" spans="93:93" x14ac:dyDescent="0.3">
      <c r="CO8855" s="15"/>
    </row>
    <row r="8856" spans="93:93" x14ac:dyDescent="0.3">
      <c r="CO8856" s="15"/>
    </row>
    <row r="8857" spans="93:93" x14ac:dyDescent="0.3">
      <c r="CO8857" s="15"/>
    </row>
    <row r="8858" spans="93:93" x14ac:dyDescent="0.3">
      <c r="CO8858" s="15"/>
    </row>
    <row r="8859" spans="93:93" x14ac:dyDescent="0.3">
      <c r="CO8859" s="15"/>
    </row>
    <row r="8860" spans="93:93" x14ac:dyDescent="0.3">
      <c r="CO8860" s="15"/>
    </row>
    <row r="8861" spans="93:93" x14ac:dyDescent="0.3">
      <c r="CO8861" s="15"/>
    </row>
    <row r="8862" spans="93:93" x14ac:dyDescent="0.3">
      <c r="CO8862" s="15"/>
    </row>
    <row r="8863" spans="93:93" x14ac:dyDescent="0.3">
      <c r="CO8863" s="15"/>
    </row>
    <row r="8864" spans="93:93" x14ac:dyDescent="0.3">
      <c r="CO8864" s="15"/>
    </row>
    <row r="8865" spans="93:93" x14ac:dyDescent="0.3">
      <c r="CO8865" s="15"/>
    </row>
    <row r="8866" spans="93:93" x14ac:dyDescent="0.3">
      <c r="CO8866" s="15"/>
    </row>
    <row r="8867" spans="93:93" x14ac:dyDescent="0.3">
      <c r="CO8867" s="15"/>
    </row>
    <row r="8868" spans="93:93" x14ac:dyDescent="0.3">
      <c r="CO8868" s="15"/>
    </row>
    <row r="8869" spans="93:93" x14ac:dyDescent="0.3">
      <c r="CO8869" s="15"/>
    </row>
    <row r="8870" spans="93:93" x14ac:dyDescent="0.3">
      <c r="CO8870" s="15"/>
    </row>
    <row r="8871" spans="93:93" x14ac:dyDescent="0.3">
      <c r="CO8871" s="15"/>
    </row>
    <row r="8872" spans="93:93" x14ac:dyDescent="0.3">
      <c r="CO8872" s="15"/>
    </row>
    <row r="8873" spans="93:93" x14ac:dyDescent="0.3">
      <c r="CO8873" s="15"/>
    </row>
    <row r="8874" spans="93:93" x14ac:dyDescent="0.3">
      <c r="CO8874" s="15"/>
    </row>
    <row r="8875" spans="93:93" x14ac:dyDescent="0.3">
      <c r="CO8875" s="15"/>
    </row>
    <row r="8876" spans="93:93" x14ac:dyDescent="0.3">
      <c r="CO8876" s="15"/>
    </row>
    <row r="8877" spans="93:93" x14ac:dyDescent="0.3">
      <c r="CO8877" s="15"/>
    </row>
    <row r="8878" spans="93:93" x14ac:dyDescent="0.3">
      <c r="CO8878" s="15"/>
    </row>
    <row r="8879" spans="93:93" x14ac:dyDescent="0.3">
      <c r="CO8879" s="15"/>
    </row>
    <row r="8880" spans="93:93" x14ac:dyDescent="0.3">
      <c r="CO8880" s="15"/>
    </row>
    <row r="8881" spans="93:93" x14ac:dyDescent="0.3">
      <c r="CO8881" s="15"/>
    </row>
    <row r="8882" spans="93:93" x14ac:dyDescent="0.3">
      <c r="CO8882" s="15"/>
    </row>
    <row r="8883" spans="93:93" x14ac:dyDescent="0.3">
      <c r="CO8883" s="15"/>
    </row>
    <row r="8884" spans="93:93" x14ac:dyDescent="0.3">
      <c r="CO8884" s="15"/>
    </row>
    <row r="8885" spans="93:93" x14ac:dyDescent="0.3">
      <c r="CO8885" s="15"/>
    </row>
    <row r="8886" spans="93:93" x14ac:dyDescent="0.3">
      <c r="CO8886" s="15"/>
    </row>
    <row r="8887" spans="93:93" x14ac:dyDescent="0.3">
      <c r="CO8887" s="15"/>
    </row>
    <row r="8888" spans="93:93" x14ac:dyDescent="0.3">
      <c r="CO8888" s="15"/>
    </row>
    <row r="8889" spans="93:93" x14ac:dyDescent="0.3">
      <c r="CO8889" s="15"/>
    </row>
    <row r="8890" spans="93:93" x14ac:dyDescent="0.3">
      <c r="CO8890" s="15"/>
    </row>
    <row r="8891" spans="93:93" x14ac:dyDescent="0.3">
      <c r="CO8891" s="15"/>
    </row>
    <row r="8892" spans="93:93" x14ac:dyDescent="0.3">
      <c r="CO8892" s="15"/>
    </row>
    <row r="8893" spans="93:93" x14ac:dyDescent="0.3">
      <c r="CO8893" s="15"/>
    </row>
    <row r="8894" spans="93:93" x14ac:dyDescent="0.3">
      <c r="CO8894" s="15"/>
    </row>
    <row r="8895" spans="93:93" x14ac:dyDescent="0.3">
      <c r="CO8895" s="15"/>
    </row>
    <row r="8896" spans="93:93" x14ac:dyDescent="0.3">
      <c r="CO8896" s="15"/>
    </row>
    <row r="8897" spans="93:93" x14ac:dyDescent="0.3">
      <c r="CO8897" s="15"/>
    </row>
    <row r="8898" spans="93:93" x14ac:dyDescent="0.3">
      <c r="CO8898" s="15"/>
    </row>
    <row r="8899" spans="93:93" x14ac:dyDescent="0.3">
      <c r="CO8899" s="15"/>
    </row>
    <row r="8900" spans="93:93" x14ac:dyDescent="0.3">
      <c r="CO8900" s="15"/>
    </row>
    <row r="8901" spans="93:93" x14ac:dyDescent="0.3">
      <c r="CO8901" s="15"/>
    </row>
    <row r="8902" spans="93:93" x14ac:dyDescent="0.3">
      <c r="CO8902" s="15"/>
    </row>
    <row r="8903" spans="93:93" x14ac:dyDescent="0.3">
      <c r="CO8903" s="15"/>
    </row>
    <row r="8904" spans="93:93" x14ac:dyDescent="0.3">
      <c r="CO8904" s="15"/>
    </row>
    <row r="8905" spans="93:93" x14ac:dyDescent="0.3">
      <c r="CO8905" s="15"/>
    </row>
    <row r="8906" spans="93:93" x14ac:dyDescent="0.3">
      <c r="CO8906" s="15"/>
    </row>
    <row r="8907" spans="93:93" x14ac:dyDescent="0.3">
      <c r="CO8907" s="15"/>
    </row>
    <row r="8908" spans="93:93" x14ac:dyDescent="0.3">
      <c r="CO8908" s="15"/>
    </row>
    <row r="8909" spans="93:93" x14ac:dyDescent="0.3">
      <c r="CO8909" s="15"/>
    </row>
    <row r="8910" spans="93:93" x14ac:dyDescent="0.3">
      <c r="CO8910" s="15"/>
    </row>
    <row r="8911" spans="93:93" x14ac:dyDescent="0.3">
      <c r="CO8911" s="15"/>
    </row>
    <row r="8912" spans="93:93" x14ac:dyDescent="0.3">
      <c r="CO8912" s="15"/>
    </row>
    <row r="8913" spans="93:93" x14ac:dyDescent="0.3">
      <c r="CO8913" s="15"/>
    </row>
    <row r="8914" spans="93:93" x14ac:dyDescent="0.3">
      <c r="CO8914" s="15"/>
    </row>
    <row r="8915" spans="93:93" x14ac:dyDescent="0.3">
      <c r="CO8915" s="15"/>
    </row>
    <row r="8916" spans="93:93" x14ac:dyDescent="0.3">
      <c r="CO8916" s="15"/>
    </row>
    <row r="8917" spans="93:93" x14ac:dyDescent="0.3">
      <c r="CO8917" s="15"/>
    </row>
    <row r="8918" spans="93:93" x14ac:dyDescent="0.3">
      <c r="CO8918" s="15"/>
    </row>
    <row r="8919" spans="93:93" x14ac:dyDescent="0.3">
      <c r="CO8919" s="15"/>
    </row>
    <row r="8920" spans="93:93" x14ac:dyDescent="0.3">
      <c r="CO8920" s="15"/>
    </row>
    <row r="8921" spans="93:93" x14ac:dyDescent="0.3">
      <c r="CO8921" s="15"/>
    </row>
    <row r="8922" spans="93:93" x14ac:dyDescent="0.3">
      <c r="CO8922" s="15"/>
    </row>
    <row r="8923" spans="93:93" x14ac:dyDescent="0.3">
      <c r="CO8923" s="15"/>
    </row>
    <row r="8924" spans="93:93" x14ac:dyDescent="0.3">
      <c r="CO8924" s="15"/>
    </row>
    <row r="8925" spans="93:93" x14ac:dyDescent="0.3">
      <c r="CO8925" s="15"/>
    </row>
    <row r="8926" spans="93:93" x14ac:dyDescent="0.3">
      <c r="CO8926" s="15"/>
    </row>
    <row r="8927" spans="93:93" x14ac:dyDescent="0.3">
      <c r="CO8927" s="15"/>
    </row>
    <row r="8928" spans="93:93" x14ac:dyDescent="0.3">
      <c r="CO8928" s="15"/>
    </row>
    <row r="8929" spans="93:93" x14ac:dyDescent="0.3">
      <c r="CO8929" s="15"/>
    </row>
    <row r="8930" spans="93:93" x14ac:dyDescent="0.3">
      <c r="CO8930" s="15"/>
    </row>
    <row r="8931" spans="93:93" x14ac:dyDescent="0.3">
      <c r="CO8931" s="15"/>
    </row>
    <row r="8932" spans="93:93" x14ac:dyDescent="0.3">
      <c r="CO8932" s="15"/>
    </row>
    <row r="8933" spans="93:93" x14ac:dyDescent="0.3">
      <c r="CO8933" s="15"/>
    </row>
    <row r="8934" spans="93:93" x14ac:dyDescent="0.3">
      <c r="CO8934" s="15"/>
    </row>
    <row r="8935" spans="93:93" x14ac:dyDescent="0.3">
      <c r="CO8935" s="15"/>
    </row>
    <row r="8936" spans="93:93" x14ac:dyDescent="0.3">
      <c r="CO8936" s="15"/>
    </row>
    <row r="8937" spans="93:93" x14ac:dyDescent="0.3">
      <c r="CO8937" s="15"/>
    </row>
    <row r="8938" spans="93:93" x14ac:dyDescent="0.3">
      <c r="CO8938" s="15"/>
    </row>
    <row r="8939" spans="93:93" x14ac:dyDescent="0.3">
      <c r="CO8939" s="15"/>
    </row>
    <row r="8940" spans="93:93" x14ac:dyDescent="0.3">
      <c r="CO8940" s="15"/>
    </row>
    <row r="8941" spans="93:93" x14ac:dyDescent="0.3">
      <c r="CO8941" s="15"/>
    </row>
    <row r="8942" spans="93:93" x14ac:dyDescent="0.3">
      <c r="CO8942" s="15"/>
    </row>
    <row r="8943" spans="93:93" x14ac:dyDescent="0.3">
      <c r="CO8943" s="15"/>
    </row>
    <row r="8944" spans="93:93" x14ac:dyDescent="0.3">
      <c r="CO8944" s="15"/>
    </row>
    <row r="8945" spans="93:93" x14ac:dyDescent="0.3">
      <c r="CO8945" s="15"/>
    </row>
    <row r="8946" spans="93:93" x14ac:dyDescent="0.3">
      <c r="CO8946" s="15"/>
    </row>
    <row r="8947" spans="93:93" x14ac:dyDescent="0.3">
      <c r="CO8947" s="15"/>
    </row>
    <row r="8948" spans="93:93" x14ac:dyDescent="0.3">
      <c r="CO8948" s="15"/>
    </row>
    <row r="8949" spans="93:93" x14ac:dyDescent="0.3">
      <c r="CO8949" s="15"/>
    </row>
    <row r="8950" spans="93:93" x14ac:dyDescent="0.3">
      <c r="CO8950" s="15"/>
    </row>
    <row r="8951" spans="93:93" x14ac:dyDescent="0.3">
      <c r="CO8951" s="15"/>
    </row>
    <row r="8952" spans="93:93" x14ac:dyDescent="0.3">
      <c r="CO8952" s="15"/>
    </row>
    <row r="8953" spans="93:93" x14ac:dyDescent="0.3">
      <c r="CO8953" s="15"/>
    </row>
    <row r="8954" spans="93:93" x14ac:dyDescent="0.3">
      <c r="CO8954" s="15"/>
    </row>
    <row r="8955" spans="93:93" x14ac:dyDescent="0.3">
      <c r="CO8955" s="15"/>
    </row>
    <row r="8956" spans="93:93" x14ac:dyDescent="0.3">
      <c r="CO8956" s="15"/>
    </row>
    <row r="8957" spans="93:93" x14ac:dyDescent="0.3">
      <c r="CO8957" s="15"/>
    </row>
    <row r="8958" spans="93:93" x14ac:dyDescent="0.3">
      <c r="CO8958" s="15"/>
    </row>
    <row r="8959" spans="93:93" x14ac:dyDescent="0.3">
      <c r="CO8959" s="15"/>
    </row>
    <row r="8960" spans="93:93" x14ac:dyDescent="0.3">
      <c r="CO8960" s="15"/>
    </row>
    <row r="8961" spans="93:93" x14ac:dyDescent="0.3">
      <c r="CO8961" s="15"/>
    </row>
    <row r="8962" spans="93:93" x14ac:dyDescent="0.3">
      <c r="CO8962" s="15"/>
    </row>
    <row r="8963" spans="93:93" x14ac:dyDescent="0.3">
      <c r="CO8963" s="15"/>
    </row>
    <row r="8964" spans="93:93" x14ac:dyDescent="0.3">
      <c r="CO8964" s="15"/>
    </row>
    <row r="8965" spans="93:93" x14ac:dyDescent="0.3">
      <c r="CO8965" s="15"/>
    </row>
    <row r="8966" spans="93:93" x14ac:dyDescent="0.3">
      <c r="CO8966" s="15"/>
    </row>
    <row r="8967" spans="93:93" x14ac:dyDescent="0.3">
      <c r="CO8967" s="15"/>
    </row>
    <row r="8968" spans="93:93" x14ac:dyDescent="0.3">
      <c r="CO8968" s="15"/>
    </row>
    <row r="8969" spans="93:93" x14ac:dyDescent="0.3">
      <c r="CO8969" s="15"/>
    </row>
    <row r="8970" spans="93:93" x14ac:dyDescent="0.3">
      <c r="CO8970" s="15"/>
    </row>
    <row r="8971" spans="93:93" x14ac:dyDescent="0.3">
      <c r="CO8971" s="15"/>
    </row>
    <row r="8972" spans="93:93" x14ac:dyDescent="0.3">
      <c r="CO8972" s="15"/>
    </row>
    <row r="8973" spans="93:93" x14ac:dyDescent="0.3">
      <c r="CO8973" s="15"/>
    </row>
    <row r="8974" spans="93:93" x14ac:dyDescent="0.3">
      <c r="CO8974" s="15"/>
    </row>
    <row r="8975" spans="93:93" x14ac:dyDescent="0.3">
      <c r="CO8975" s="15"/>
    </row>
    <row r="8976" spans="93:93" x14ac:dyDescent="0.3">
      <c r="CO8976" s="15"/>
    </row>
    <row r="8977" spans="93:93" x14ac:dyDescent="0.3">
      <c r="CO8977" s="15"/>
    </row>
    <row r="8978" spans="93:93" x14ac:dyDescent="0.3">
      <c r="CO8978" s="15"/>
    </row>
    <row r="8979" spans="93:93" x14ac:dyDescent="0.3">
      <c r="CO8979" s="15"/>
    </row>
    <row r="8980" spans="93:93" x14ac:dyDescent="0.3">
      <c r="CO8980" s="15"/>
    </row>
    <row r="8981" spans="93:93" x14ac:dyDescent="0.3">
      <c r="CO8981" s="15"/>
    </row>
    <row r="8982" spans="93:93" x14ac:dyDescent="0.3">
      <c r="CO8982" s="15"/>
    </row>
    <row r="8983" spans="93:93" x14ac:dyDescent="0.3">
      <c r="CO8983" s="15"/>
    </row>
    <row r="8984" spans="93:93" x14ac:dyDescent="0.3">
      <c r="CO8984" s="15"/>
    </row>
    <row r="8985" spans="93:93" x14ac:dyDescent="0.3">
      <c r="CO8985" s="15"/>
    </row>
    <row r="8986" spans="93:93" x14ac:dyDescent="0.3">
      <c r="CO8986" s="15"/>
    </row>
    <row r="8987" spans="93:93" x14ac:dyDescent="0.3">
      <c r="CO8987" s="15"/>
    </row>
    <row r="8988" spans="93:93" x14ac:dyDescent="0.3">
      <c r="CO8988" s="15"/>
    </row>
    <row r="8989" spans="93:93" x14ac:dyDescent="0.3">
      <c r="CO8989" s="15"/>
    </row>
    <row r="8990" spans="93:93" x14ac:dyDescent="0.3">
      <c r="CO8990" s="15"/>
    </row>
    <row r="8991" spans="93:93" x14ac:dyDescent="0.3">
      <c r="CO8991" s="15"/>
    </row>
    <row r="8992" spans="93:93" x14ac:dyDescent="0.3">
      <c r="CO8992" s="15"/>
    </row>
    <row r="8993" spans="93:93" x14ac:dyDescent="0.3">
      <c r="CO8993" s="15"/>
    </row>
    <row r="8994" spans="93:93" x14ac:dyDescent="0.3">
      <c r="CO8994" s="15"/>
    </row>
    <row r="8995" spans="93:93" x14ac:dyDescent="0.3">
      <c r="CO8995" s="15"/>
    </row>
    <row r="8996" spans="93:93" x14ac:dyDescent="0.3">
      <c r="CO8996" s="15"/>
    </row>
    <row r="8997" spans="93:93" x14ac:dyDescent="0.3">
      <c r="CO8997" s="15"/>
    </row>
    <row r="8998" spans="93:93" x14ac:dyDescent="0.3">
      <c r="CO8998" s="15"/>
    </row>
    <row r="8999" spans="93:93" x14ac:dyDescent="0.3">
      <c r="CO8999" s="15"/>
    </row>
    <row r="9000" spans="93:93" x14ac:dyDescent="0.3">
      <c r="CO9000" s="15"/>
    </row>
    <row r="9001" spans="93:93" x14ac:dyDescent="0.3">
      <c r="CO9001" s="15"/>
    </row>
    <row r="9002" spans="93:93" x14ac:dyDescent="0.3">
      <c r="CO9002" s="15"/>
    </row>
    <row r="9003" spans="93:93" x14ac:dyDescent="0.3">
      <c r="CO9003" s="15"/>
    </row>
    <row r="9004" spans="93:93" x14ac:dyDescent="0.3">
      <c r="CO9004" s="15"/>
    </row>
    <row r="9005" spans="93:93" x14ac:dyDescent="0.3">
      <c r="CO9005" s="15"/>
    </row>
    <row r="9006" spans="93:93" x14ac:dyDescent="0.3">
      <c r="CO9006" s="15"/>
    </row>
    <row r="9007" spans="93:93" x14ac:dyDescent="0.3">
      <c r="CO9007" s="15"/>
    </row>
    <row r="9008" spans="93:93" x14ac:dyDescent="0.3">
      <c r="CO9008" s="15"/>
    </row>
    <row r="9009" spans="93:93" x14ac:dyDescent="0.3">
      <c r="CO9009" s="15"/>
    </row>
    <row r="9010" spans="93:93" x14ac:dyDescent="0.3">
      <c r="CO9010" s="15"/>
    </row>
    <row r="9011" spans="93:93" x14ac:dyDescent="0.3">
      <c r="CO9011" s="15"/>
    </row>
    <row r="9012" spans="93:93" x14ac:dyDescent="0.3">
      <c r="CO9012" s="15"/>
    </row>
    <row r="9013" spans="93:93" x14ac:dyDescent="0.3">
      <c r="CO9013" s="15"/>
    </row>
    <row r="9014" spans="93:93" x14ac:dyDescent="0.3">
      <c r="CO9014" s="15"/>
    </row>
    <row r="9015" spans="93:93" x14ac:dyDescent="0.3">
      <c r="CO9015" s="15"/>
    </row>
    <row r="9016" spans="93:93" x14ac:dyDescent="0.3">
      <c r="CO9016" s="15"/>
    </row>
    <row r="9017" spans="93:93" x14ac:dyDescent="0.3">
      <c r="CO9017" s="15"/>
    </row>
    <row r="9018" spans="93:93" x14ac:dyDescent="0.3">
      <c r="CO9018" s="15"/>
    </row>
    <row r="9019" spans="93:93" x14ac:dyDescent="0.3">
      <c r="CO9019" s="15"/>
    </row>
    <row r="9020" spans="93:93" x14ac:dyDescent="0.3">
      <c r="CO9020" s="15"/>
    </row>
    <row r="9021" spans="93:93" x14ac:dyDescent="0.3">
      <c r="CO9021" s="15"/>
    </row>
    <row r="9022" spans="93:93" x14ac:dyDescent="0.3">
      <c r="CO9022" s="15"/>
    </row>
    <row r="9023" spans="93:93" x14ac:dyDescent="0.3">
      <c r="CO9023" s="15"/>
    </row>
    <row r="9024" spans="93:93" x14ac:dyDescent="0.3">
      <c r="CO9024" s="15"/>
    </row>
    <row r="9025" spans="93:93" x14ac:dyDescent="0.3">
      <c r="CO9025" s="15"/>
    </row>
    <row r="9026" spans="93:93" x14ac:dyDescent="0.3">
      <c r="CO9026" s="15"/>
    </row>
    <row r="9027" spans="93:93" x14ac:dyDescent="0.3">
      <c r="CO9027" s="15"/>
    </row>
    <row r="9028" spans="93:93" x14ac:dyDescent="0.3">
      <c r="CO9028" s="15"/>
    </row>
    <row r="9029" spans="93:93" x14ac:dyDescent="0.3">
      <c r="CO9029" s="15"/>
    </row>
    <row r="9030" spans="93:93" x14ac:dyDescent="0.3">
      <c r="CO9030" s="15"/>
    </row>
    <row r="9031" spans="93:93" x14ac:dyDescent="0.3">
      <c r="CO9031" s="15"/>
    </row>
    <row r="9032" spans="93:93" x14ac:dyDescent="0.3">
      <c r="CO9032" s="15"/>
    </row>
    <row r="9033" spans="93:93" x14ac:dyDescent="0.3">
      <c r="CO9033" s="15"/>
    </row>
    <row r="9034" spans="93:93" x14ac:dyDescent="0.3">
      <c r="CO9034" s="15"/>
    </row>
    <row r="9035" spans="93:93" x14ac:dyDescent="0.3">
      <c r="CO9035" s="15"/>
    </row>
    <row r="9036" spans="93:93" x14ac:dyDescent="0.3">
      <c r="CO9036" s="15"/>
    </row>
    <row r="9037" spans="93:93" x14ac:dyDescent="0.3">
      <c r="CO9037" s="15"/>
    </row>
    <row r="9038" spans="93:93" x14ac:dyDescent="0.3">
      <c r="CO9038" s="15"/>
    </row>
    <row r="9039" spans="93:93" x14ac:dyDescent="0.3">
      <c r="CO9039" s="15"/>
    </row>
    <row r="9040" spans="93:93" x14ac:dyDescent="0.3">
      <c r="CO9040" s="15"/>
    </row>
    <row r="9041" spans="93:93" x14ac:dyDescent="0.3">
      <c r="CO9041" s="15"/>
    </row>
    <row r="9042" spans="93:93" x14ac:dyDescent="0.3">
      <c r="CO9042" s="15"/>
    </row>
    <row r="9043" spans="93:93" x14ac:dyDescent="0.3">
      <c r="CO9043" s="15"/>
    </row>
    <row r="9044" spans="93:93" x14ac:dyDescent="0.3">
      <c r="CO9044" s="15"/>
    </row>
    <row r="9045" spans="93:93" x14ac:dyDescent="0.3">
      <c r="CO9045" s="15"/>
    </row>
    <row r="9046" spans="93:93" x14ac:dyDescent="0.3">
      <c r="CO9046" s="15"/>
    </row>
    <row r="9047" spans="93:93" x14ac:dyDescent="0.3">
      <c r="CO9047" s="15"/>
    </row>
    <row r="9048" spans="93:93" x14ac:dyDescent="0.3">
      <c r="CO9048" s="15"/>
    </row>
    <row r="9049" spans="93:93" x14ac:dyDescent="0.3">
      <c r="CO9049" s="15"/>
    </row>
    <row r="9050" spans="93:93" x14ac:dyDescent="0.3">
      <c r="CO9050" s="15"/>
    </row>
    <row r="9051" spans="93:93" x14ac:dyDescent="0.3">
      <c r="CO9051" s="15"/>
    </row>
    <row r="9052" spans="93:93" x14ac:dyDescent="0.3">
      <c r="CO9052" s="15"/>
    </row>
    <row r="9053" spans="93:93" x14ac:dyDescent="0.3">
      <c r="CO9053" s="15"/>
    </row>
    <row r="9054" spans="93:93" x14ac:dyDescent="0.3">
      <c r="CO9054" s="15"/>
    </row>
    <row r="9055" spans="93:93" x14ac:dyDescent="0.3">
      <c r="CO9055" s="15"/>
    </row>
    <row r="9056" spans="93:93" x14ac:dyDescent="0.3">
      <c r="CO9056" s="15"/>
    </row>
    <row r="9057" spans="93:93" x14ac:dyDescent="0.3">
      <c r="CO9057" s="15"/>
    </row>
    <row r="9058" spans="93:93" x14ac:dyDescent="0.3">
      <c r="CO9058" s="15"/>
    </row>
    <row r="9059" spans="93:93" x14ac:dyDescent="0.3">
      <c r="CO9059" s="15"/>
    </row>
    <row r="9060" spans="93:93" x14ac:dyDescent="0.3">
      <c r="CO9060" s="15"/>
    </row>
    <row r="9061" spans="93:93" x14ac:dyDescent="0.3">
      <c r="CO9061" s="15"/>
    </row>
    <row r="9062" spans="93:93" x14ac:dyDescent="0.3">
      <c r="CO9062" s="15"/>
    </row>
    <row r="9063" spans="93:93" x14ac:dyDescent="0.3">
      <c r="CO9063" s="15"/>
    </row>
    <row r="9064" spans="93:93" x14ac:dyDescent="0.3">
      <c r="CO9064" s="15"/>
    </row>
    <row r="9065" spans="93:93" x14ac:dyDescent="0.3">
      <c r="CO9065" s="15"/>
    </row>
    <row r="9066" spans="93:93" x14ac:dyDescent="0.3">
      <c r="CO9066" s="15"/>
    </row>
    <row r="9067" spans="93:93" x14ac:dyDescent="0.3">
      <c r="CO9067" s="15"/>
    </row>
    <row r="9068" spans="93:93" x14ac:dyDescent="0.3">
      <c r="CO9068" s="15"/>
    </row>
    <row r="9069" spans="93:93" x14ac:dyDescent="0.3">
      <c r="CO9069" s="15"/>
    </row>
    <row r="9070" spans="93:93" x14ac:dyDescent="0.3">
      <c r="CO9070" s="15"/>
    </row>
    <row r="9071" spans="93:93" x14ac:dyDescent="0.3">
      <c r="CO9071" s="15"/>
    </row>
    <row r="9072" spans="93:93" x14ac:dyDescent="0.3">
      <c r="CO9072" s="15"/>
    </row>
    <row r="9073" spans="93:93" x14ac:dyDescent="0.3">
      <c r="CO9073" s="15"/>
    </row>
    <row r="9074" spans="93:93" x14ac:dyDescent="0.3">
      <c r="CO9074" s="15"/>
    </row>
    <row r="9075" spans="93:93" x14ac:dyDescent="0.3">
      <c r="CO9075" s="15"/>
    </row>
    <row r="9076" spans="93:93" x14ac:dyDescent="0.3">
      <c r="CO9076" s="15"/>
    </row>
    <row r="9077" spans="93:93" x14ac:dyDescent="0.3">
      <c r="CO9077" s="15"/>
    </row>
    <row r="9078" spans="93:93" x14ac:dyDescent="0.3">
      <c r="CO9078" s="15"/>
    </row>
    <row r="9079" spans="93:93" x14ac:dyDescent="0.3">
      <c r="CO9079" s="15"/>
    </row>
    <row r="9080" spans="93:93" x14ac:dyDescent="0.3">
      <c r="CO9080" s="15"/>
    </row>
    <row r="9081" spans="93:93" x14ac:dyDescent="0.3">
      <c r="CO9081" s="15"/>
    </row>
    <row r="9082" spans="93:93" x14ac:dyDescent="0.3">
      <c r="CO9082" s="15"/>
    </row>
    <row r="9083" spans="93:93" x14ac:dyDescent="0.3">
      <c r="CO9083" s="15"/>
    </row>
    <row r="9084" spans="93:93" x14ac:dyDescent="0.3">
      <c r="CO9084" s="15"/>
    </row>
    <row r="9085" spans="93:93" x14ac:dyDescent="0.3">
      <c r="CO9085" s="15"/>
    </row>
    <row r="9086" spans="93:93" x14ac:dyDescent="0.3">
      <c r="CO9086" s="15"/>
    </row>
    <row r="9087" spans="93:93" x14ac:dyDescent="0.3">
      <c r="CO9087" s="15"/>
    </row>
    <row r="9088" spans="93:93" x14ac:dyDescent="0.3">
      <c r="CO9088" s="15"/>
    </row>
    <row r="9089" spans="93:93" x14ac:dyDescent="0.3">
      <c r="CO9089" s="15"/>
    </row>
    <row r="9090" spans="93:93" x14ac:dyDescent="0.3">
      <c r="CO9090" s="15"/>
    </row>
    <row r="9091" spans="93:93" x14ac:dyDescent="0.3">
      <c r="CO9091" s="15"/>
    </row>
    <row r="9092" spans="93:93" x14ac:dyDescent="0.3">
      <c r="CO9092" s="15"/>
    </row>
    <row r="9093" spans="93:93" x14ac:dyDescent="0.3">
      <c r="CO9093" s="15"/>
    </row>
    <row r="9094" spans="93:93" x14ac:dyDescent="0.3">
      <c r="CO9094" s="15"/>
    </row>
    <row r="9095" spans="93:93" x14ac:dyDescent="0.3">
      <c r="CO9095" s="15"/>
    </row>
    <row r="9096" spans="93:93" x14ac:dyDescent="0.3">
      <c r="CO9096" s="15"/>
    </row>
    <row r="9097" spans="93:93" x14ac:dyDescent="0.3">
      <c r="CO9097" s="15"/>
    </row>
    <row r="9098" spans="93:93" x14ac:dyDescent="0.3">
      <c r="CO9098" s="15"/>
    </row>
    <row r="9099" spans="93:93" x14ac:dyDescent="0.3">
      <c r="CO9099" s="15"/>
    </row>
    <row r="9100" spans="93:93" x14ac:dyDescent="0.3">
      <c r="CO9100" s="15"/>
    </row>
    <row r="9101" spans="93:93" x14ac:dyDescent="0.3">
      <c r="CO9101" s="15"/>
    </row>
    <row r="9102" spans="93:93" x14ac:dyDescent="0.3">
      <c r="CO9102" s="15"/>
    </row>
    <row r="9103" spans="93:93" x14ac:dyDescent="0.3">
      <c r="CO9103" s="15"/>
    </row>
    <row r="9104" spans="93:93" x14ac:dyDescent="0.3">
      <c r="CO9104" s="15"/>
    </row>
    <row r="9105" spans="93:93" x14ac:dyDescent="0.3">
      <c r="CO9105" s="15"/>
    </row>
    <row r="9106" spans="93:93" x14ac:dyDescent="0.3">
      <c r="CO9106" s="15"/>
    </row>
    <row r="9107" spans="93:93" x14ac:dyDescent="0.3">
      <c r="CO9107" s="15"/>
    </row>
    <row r="9108" spans="93:93" x14ac:dyDescent="0.3">
      <c r="CO9108" s="15"/>
    </row>
    <row r="9109" spans="93:93" x14ac:dyDescent="0.3">
      <c r="CO9109" s="15"/>
    </row>
    <row r="9110" spans="93:93" x14ac:dyDescent="0.3">
      <c r="CO9110" s="15"/>
    </row>
    <row r="9111" spans="93:93" x14ac:dyDescent="0.3">
      <c r="CO9111" s="15"/>
    </row>
    <row r="9112" spans="93:93" x14ac:dyDescent="0.3">
      <c r="CO9112" s="15"/>
    </row>
    <row r="9113" spans="93:93" x14ac:dyDescent="0.3">
      <c r="CO9113" s="15"/>
    </row>
    <row r="9114" spans="93:93" x14ac:dyDescent="0.3">
      <c r="CO9114" s="15"/>
    </row>
    <row r="9115" spans="93:93" x14ac:dyDescent="0.3">
      <c r="CO9115" s="15"/>
    </row>
    <row r="9116" spans="93:93" x14ac:dyDescent="0.3">
      <c r="CO9116" s="15"/>
    </row>
    <row r="9117" spans="93:93" x14ac:dyDescent="0.3">
      <c r="CO9117" s="15"/>
    </row>
    <row r="9118" spans="93:93" x14ac:dyDescent="0.3">
      <c r="CO9118" s="15"/>
    </row>
    <row r="9119" spans="93:93" x14ac:dyDescent="0.3">
      <c r="CO9119" s="15"/>
    </row>
    <row r="9120" spans="93:93" x14ac:dyDescent="0.3">
      <c r="CO9120" s="15"/>
    </row>
    <row r="9121" spans="93:93" x14ac:dyDescent="0.3">
      <c r="CO9121" s="15"/>
    </row>
    <row r="9122" spans="93:93" x14ac:dyDescent="0.3">
      <c r="CO9122" s="15"/>
    </row>
    <row r="9123" spans="93:93" x14ac:dyDescent="0.3">
      <c r="CO9123" s="15"/>
    </row>
    <row r="9124" spans="93:93" x14ac:dyDescent="0.3">
      <c r="CO9124" s="15"/>
    </row>
    <row r="9125" spans="93:93" x14ac:dyDescent="0.3">
      <c r="CO9125" s="15"/>
    </row>
    <row r="9126" spans="93:93" x14ac:dyDescent="0.3">
      <c r="CO9126" s="15"/>
    </row>
    <row r="9127" spans="93:93" x14ac:dyDescent="0.3">
      <c r="CO9127" s="15"/>
    </row>
    <row r="9128" spans="93:93" x14ac:dyDescent="0.3">
      <c r="CO9128" s="15"/>
    </row>
    <row r="9129" spans="93:93" x14ac:dyDescent="0.3">
      <c r="CO9129" s="15"/>
    </row>
    <row r="9130" spans="93:93" x14ac:dyDescent="0.3">
      <c r="CO9130" s="15"/>
    </row>
    <row r="9131" spans="93:93" x14ac:dyDescent="0.3">
      <c r="CO9131" s="15"/>
    </row>
    <row r="9132" spans="93:93" x14ac:dyDescent="0.3">
      <c r="CO9132" s="15"/>
    </row>
    <row r="9133" spans="93:93" x14ac:dyDescent="0.3">
      <c r="CO9133" s="15"/>
    </row>
    <row r="9134" spans="93:93" x14ac:dyDescent="0.3">
      <c r="CO9134" s="15"/>
    </row>
    <row r="9135" spans="93:93" x14ac:dyDescent="0.3">
      <c r="CO9135" s="15"/>
    </row>
    <row r="9136" spans="93:93" x14ac:dyDescent="0.3">
      <c r="CO9136" s="15"/>
    </row>
    <row r="9137" spans="93:93" x14ac:dyDescent="0.3">
      <c r="CO9137" s="15"/>
    </row>
    <row r="9138" spans="93:93" x14ac:dyDescent="0.3">
      <c r="CO9138" s="15"/>
    </row>
    <row r="9139" spans="93:93" x14ac:dyDescent="0.3">
      <c r="CO9139" s="15"/>
    </row>
    <row r="9140" spans="93:93" x14ac:dyDescent="0.3">
      <c r="CO9140" s="15"/>
    </row>
    <row r="9141" spans="93:93" x14ac:dyDescent="0.3">
      <c r="CO9141" s="15"/>
    </row>
    <row r="9142" spans="93:93" x14ac:dyDescent="0.3">
      <c r="CO9142" s="15"/>
    </row>
    <row r="9143" spans="93:93" x14ac:dyDescent="0.3">
      <c r="CO9143" s="15"/>
    </row>
    <row r="9144" spans="93:93" x14ac:dyDescent="0.3">
      <c r="CO9144" s="15"/>
    </row>
    <row r="9145" spans="93:93" x14ac:dyDescent="0.3">
      <c r="CO9145" s="15"/>
    </row>
    <row r="9146" spans="93:93" x14ac:dyDescent="0.3">
      <c r="CO9146" s="15"/>
    </row>
    <row r="9147" spans="93:93" x14ac:dyDescent="0.3">
      <c r="CO9147" s="15"/>
    </row>
    <row r="9148" spans="93:93" x14ac:dyDescent="0.3">
      <c r="CO9148" s="15"/>
    </row>
    <row r="9149" spans="93:93" x14ac:dyDescent="0.3">
      <c r="CO9149" s="15"/>
    </row>
    <row r="9150" spans="93:93" x14ac:dyDescent="0.3">
      <c r="CO9150" s="15"/>
    </row>
    <row r="9151" spans="93:93" x14ac:dyDescent="0.3">
      <c r="CO9151" s="15"/>
    </row>
    <row r="9152" spans="93:93" x14ac:dyDescent="0.3">
      <c r="CO9152" s="15"/>
    </row>
    <row r="9153" spans="93:93" x14ac:dyDescent="0.3">
      <c r="CO9153" s="15"/>
    </row>
    <row r="9154" spans="93:93" x14ac:dyDescent="0.3">
      <c r="CO9154" s="15"/>
    </row>
    <row r="9155" spans="93:93" x14ac:dyDescent="0.3">
      <c r="CO9155" s="15"/>
    </row>
    <row r="9156" spans="93:93" x14ac:dyDescent="0.3">
      <c r="CO9156" s="15"/>
    </row>
    <row r="9157" spans="93:93" x14ac:dyDescent="0.3">
      <c r="CO9157" s="15"/>
    </row>
    <row r="9158" spans="93:93" x14ac:dyDescent="0.3">
      <c r="CO9158" s="15"/>
    </row>
    <row r="9159" spans="93:93" x14ac:dyDescent="0.3">
      <c r="CO9159" s="15"/>
    </row>
    <row r="9160" spans="93:93" x14ac:dyDescent="0.3">
      <c r="CO9160" s="15"/>
    </row>
    <row r="9161" spans="93:93" x14ac:dyDescent="0.3">
      <c r="CO9161" s="15"/>
    </row>
    <row r="9162" spans="93:93" x14ac:dyDescent="0.3">
      <c r="CO9162" s="15"/>
    </row>
    <row r="9163" spans="93:93" x14ac:dyDescent="0.3">
      <c r="CO9163" s="15"/>
    </row>
    <row r="9164" spans="93:93" x14ac:dyDescent="0.3">
      <c r="CO9164" s="15"/>
    </row>
    <row r="9165" spans="93:93" x14ac:dyDescent="0.3">
      <c r="CO9165" s="15"/>
    </row>
    <row r="9166" spans="93:93" x14ac:dyDescent="0.3">
      <c r="CO9166" s="15"/>
    </row>
    <row r="9167" spans="93:93" x14ac:dyDescent="0.3">
      <c r="CO9167" s="15"/>
    </row>
    <row r="9168" spans="93:93" x14ac:dyDescent="0.3">
      <c r="CO9168" s="15"/>
    </row>
    <row r="9169" spans="93:93" x14ac:dyDescent="0.3">
      <c r="CO9169" s="15"/>
    </row>
    <row r="9170" spans="93:93" x14ac:dyDescent="0.3">
      <c r="CO9170" s="15"/>
    </row>
    <row r="9171" spans="93:93" x14ac:dyDescent="0.3">
      <c r="CO9171" s="15"/>
    </row>
    <row r="9172" spans="93:93" x14ac:dyDescent="0.3">
      <c r="CO9172" s="15"/>
    </row>
    <row r="9173" spans="93:93" x14ac:dyDescent="0.3">
      <c r="CO9173" s="15"/>
    </row>
    <row r="9174" spans="93:93" x14ac:dyDescent="0.3">
      <c r="CO9174" s="15"/>
    </row>
    <row r="9175" spans="93:93" x14ac:dyDescent="0.3">
      <c r="CO9175" s="15"/>
    </row>
    <row r="9176" spans="93:93" x14ac:dyDescent="0.3">
      <c r="CO9176" s="15"/>
    </row>
    <row r="9177" spans="93:93" x14ac:dyDescent="0.3">
      <c r="CO9177" s="15"/>
    </row>
    <row r="9178" spans="93:93" x14ac:dyDescent="0.3">
      <c r="CO9178" s="15"/>
    </row>
    <row r="9179" spans="93:93" x14ac:dyDescent="0.3">
      <c r="CO9179" s="15"/>
    </row>
    <row r="9180" spans="93:93" x14ac:dyDescent="0.3">
      <c r="CO9180" s="15"/>
    </row>
    <row r="9181" spans="93:93" x14ac:dyDescent="0.3">
      <c r="CO9181" s="15"/>
    </row>
    <row r="9182" spans="93:93" x14ac:dyDescent="0.3">
      <c r="CO9182" s="15"/>
    </row>
    <row r="9183" spans="93:93" x14ac:dyDescent="0.3">
      <c r="CO9183" s="15"/>
    </row>
    <row r="9184" spans="93:93" x14ac:dyDescent="0.3">
      <c r="CO9184" s="15"/>
    </row>
    <row r="9185" spans="93:93" x14ac:dyDescent="0.3">
      <c r="CO9185" s="15"/>
    </row>
    <row r="9186" spans="93:93" x14ac:dyDescent="0.3">
      <c r="CO9186" s="15"/>
    </row>
    <row r="9187" spans="93:93" x14ac:dyDescent="0.3">
      <c r="CO9187" s="15"/>
    </row>
    <row r="9188" spans="93:93" x14ac:dyDescent="0.3">
      <c r="CO9188" s="15"/>
    </row>
    <row r="9189" spans="93:93" x14ac:dyDescent="0.3">
      <c r="CO9189" s="15"/>
    </row>
    <row r="9190" spans="93:93" x14ac:dyDescent="0.3">
      <c r="CO9190" s="15"/>
    </row>
    <row r="9191" spans="93:93" x14ac:dyDescent="0.3">
      <c r="CO9191" s="15"/>
    </row>
    <row r="9192" spans="93:93" x14ac:dyDescent="0.3">
      <c r="CO9192" s="15"/>
    </row>
    <row r="9193" spans="93:93" x14ac:dyDescent="0.3">
      <c r="CO9193" s="15"/>
    </row>
    <row r="9194" spans="93:93" x14ac:dyDescent="0.3">
      <c r="CO9194" s="15"/>
    </row>
    <row r="9195" spans="93:93" x14ac:dyDescent="0.3">
      <c r="CO9195" s="15"/>
    </row>
    <row r="9196" spans="93:93" x14ac:dyDescent="0.3">
      <c r="CO9196" s="15"/>
    </row>
    <row r="9197" spans="93:93" x14ac:dyDescent="0.3">
      <c r="CO9197" s="15"/>
    </row>
    <row r="9198" spans="93:93" x14ac:dyDescent="0.3">
      <c r="CO9198" s="15"/>
    </row>
    <row r="9199" spans="93:93" x14ac:dyDescent="0.3">
      <c r="CO9199" s="15"/>
    </row>
    <row r="9200" spans="93:93" x14ac:dyDescent="0.3">
      <c r="CO9200" s="15"/>
    </row>
    <row r="9201" spans="93:93" x14ac:dyDescent="0.3">
      <c r="CO9201" s="15"/>
    </row>
    <row r="9202" spans="93:93" x14ac:dyDescent="0.3">
      <c r="CO9202" s="15"/>
    </row>
    <row r="9203" spans="93:93" x14ac:dyDescent="0.3">
      <c r="CO9203" s="15"/>
    </row>
    <row r="9204" spans="93:93" x14ac:dyDescent="0.3">
      <c r="CO9204" s="15"/>
    </row>
    <row r="9205" spans="93:93" x14ac:dyDescent="0.3">
      <c r="CO9205" s="15"/>
    </row>
    <row r="9206" spans="93:93" x14ac:dyDescent="0.3">
      <c r="CO9206" s="15"/>
    </row>
    <row r="9207" spans="93:93" x14ac:dyDescent="0.3">
      <c r="CO9207" s="15"/>
    </row>
    <row r="9208" spans="93:93" x14ac:dyDescent="0.3">
      <c r="CO9208" s="15"/>
    </row>
    <row r="9209" spans="93:93" x14ac:dyDescent="0.3">
      <c r="CO9209" s="15"/>
    </row>
    <row r="9210" spans="93:93" x14ac:dyDescent="0.3">
      <c r="CO9210" s="15"/>
    </row>
    <row r="9211" spans="93:93" x14ac:dyDescent="0.3">
      <c r="CO9211" s="15"/>
    </row>
    <row r="9212" spans="93:93" x14ac:dyDescent="0.3">
      <c r="CO9212" s="15"/>
    </row>
    <row r="9213" spans="93:93" x14ac:dyDescent="0.3">
      <c r="CO9213" s="15"/>
    </row>
    <row r="9214" spans="93:93" x14ac:dyDescent="0.3">
      <c r="CO9214" s="15"/>
    </row>
    <row r="9215" spans="93:93" x14ac:dyDescent="0.3">
      <c r="CO9215" s="15"/>
    </row>
    <row r="9216" spans="93:93" x14ac:dyDescent="0.3">
      <c r="CO9216" s="15"/>
    </row>
    <row r="9217" spans="93:93" x14ac:dyDescent="0.3">
      <c r="CO9217" s="15"/>
    </row>
    <row r="9218" spans="93:93" x14ac:dyDescent="0.3">
      <c r="CO9218" s="15"/>
    </row>
    <row r="9219" spans="93:93" x14ac:dyDescent="0.3">
      <c r="CO9219" s="15"/>
    </row>
    <row r="9220" spans="93:93" x14ac:dyDescent="0.3">
      <c r="CO9220" s="15"/>
    </row>
    <row r="9221" spans="93:93" x14ac:dyDescent="0.3">
      <c r="CO9221" s="15"/>
    </row>
    <row r="9222" spans="93:93" x14ac:dyDescent="0.3">
      <c r="CO9222" s="15"/>
    </row>
    <row r="9223" spans="93:93" x14ac:dyDescent="0.3">
      <c r="CO9223" s="15"/>
    </row>
    <row r="9224" spans="93:93" x14ac:dyDescent="0.3">
      <c r="CO9224" s="15"/>
    </row>
    <row r="9225" spans="93:93" x14ac:dyDescent="0.3">
      <c r="CO9225" s="15"/>
    </row>
    <row r="9226" spans="93:93" x14ac:dyDescent="0.3">
      <c r="CO9226" s="15"/>
    </row>
    <row r="9227" spans="93:93" x14ac:dyDescent="0.3">
      <c r="CO9227" s="15"/>
    </row>
    <row r="9228" spans="93:93" x14ac:dyDescent="0.3">
      <c r="CO9228" s="15"/>
    </row>
    <row r="9229" spans="93:93" x14ac:dyDescent="0.3">
      <c r="CO9229" s="15"/>
    </row>
    <row r="9230" spans="93:93" x14ac:dyDescent="0.3">
      <c r="CO9230" s="15"/>
    </row>
    <row r="9231" spans="93:93" x14ac:dyDescent="0.3">
      <c r="CO9231" s="15"/>
    </row>
    <row r="9232" spans="93:93" x14ac:dyDescent="0.3">
      <c r="CO9232" s="15"/>
    </row>
    <row r="9233" spans="93:93" x14ac:dyDescent="0.3">
      <c r="CO9233" s="15"/>
    </row>
    <row r="9234" spans="93:93" x14ac:dyDescent="0.3">
      <c r="CO9234" s="15"/>
    </row>
    <row r="9235" spans="93:93" x14ac:dyDescent="0.3">
      <c r="CO9235" s="15"/>
    </row>
    <row r="9236" spans="93:93" x14ac:dyDescent="0.3">
      <c r="CO9236" s="15"/>
    </row>
    <row r="9237" spans="93:93" x14ac:dyDescent="0.3">
      <c r="CO9237" s="15"/>
    </row>
    <row r="9238" spans="93:93" x14ac:dyDescent="0.3">
      <c r="CO9238" s="15"/>
    </row>
    <row r="9239" spans="93:93" x14ac:dyDescent="0.3">
      <c r="CO9239" s="15"/>
    </row>
    <row r="9240" spans="93:93" x14ac:dyDescent="0.3">
      <c r="CO9240" s="15"/>
    </row>
    <row r="9241" spans="93:93" x14ac:dyDescent="0.3">
      <c r="CO9241" s="15"/>
    </row>
    <row r="9242" spans="93:93" x14ac:dyDescent="0.3">
      <c r="CO9242" s="15"/>
    </row>
    <row r="9243" spans="93:93" x14ac:dyDescent="0.3">
      <c r="CO9243" s="15"/>
    </row>
    <row r="9244" spans="93:93" x14ac:dyDescent="0.3">
      <c r="CO9244" s="15"/>
    </row>
    <row r="9245" spans="93:93" x14ac:dyDescent="0.3">
      <c r="CO9245" s="15"/>
    </row>
    <row r="9246" spans="93:93" x14ac:dyDescent="0.3">
      <c r="CO9246" s="15"/>
    </row>
    <row r="9247" spans="93:93" x14ac:dyDescent="0.3">
      <c r="CO9247" s="15"/>
    </row>
    <row r="9248" spans="93:93" x14ac:dyDescent="0.3">
      <c r="CO9248" s="15"/>
    </row>
    <row r="9249" spans="93:93" x14ac:dyDescent="0.3">
      <c r="CO9249" s="15"/>
    </row>
    <row r="9250" spans="93:93" x14ac:dyDescent="0.3">
      <c r="CO9250" s="15"/>
    </row>
    <row r="9251" spans="93:93" x14ac:dyDescent="0.3">
      <c r="CO9251" s="15"/>
    </row>
    <row r="9252" spans="93:93" x14ac:dyDescent="0.3">
      <c r="CO9252" s="15"/>
    </row>
    <row r="9253" spans="93:93" x14ac:dyDescent="0.3">
      <c r="CO9253" s="15"/>
    </row>
    <row r="9254" spans="93:93" x14ac:dyDescent="0.3">
      <c r="CO9254" s="15"/>
    </row>
    <row r="9255" spans="93:93" x14ac:dyDescent="0.3">
      <c r="CO9255" s="15"/>
    </row>
    <row r="9256" spans="93:93" x14ac:dyDescent="0.3">
      <c r="CO9256" s="15"/>
    </row>
    <row r="9257" spans="93:93" x14ac:dyDescent="0.3">
      <c r="CO9257" s="15"/>
    </row>
    <row r="9258" spans="93:93" x14ac:dyDescent="0.3">
      <c r="CO9258" s="15"/>
    </row>
    <row r="9259" spans="93:93" x14ac:dyDescent="0.3">
      <c r="CO9259" s="15"/>
    </row>
    <row r="9260" spans="93:93" x14ac:dyDescent="0.3">
      <c r="CO9260" s="15"/>
    </row>
    <row r="9261" spans="93:93" x14ac:dyDescent="0.3">
      <c r="CO9261" s="15"/>
    </row>
    <row r="9262" spans="93:93" x14ac:dyDescent="0.3">
      <c r="CO9262" s="15"/>
    </row>
    <row r="9263" spans="93:93" x14ac:dyDescent="0.3">
      <c r="CO9263" s="15"/>
    </row>
    <row r="9264" spans="93:93" x14ac:dyDescent="0.3">
      <c r="CO9264" s="15"/>
    </row>
    <row r="9265" spans="93:93" x14ac:dyDescent="0.3">
      <c r="CO9265" s="15"/>
    </row>
    <row r="9266" spans="93:93" x14ac:dyDescent="0.3">
      <c r="CO9266" s="15"/>
    </row>
    <row r="9267" spans="93:93" x14ac:dyDescent="0.3">
      <c r="CO9267" s="15"/>
    </row>
    <row r="9268" spans="93:93" x14ac:dyDescent="0.3">
      <c r="CO9268" s="15"/>
    </row>
    <row r="9269" spans="93:93" x14ac:dyDescent="0.3">
      <c r="CO9269" s="15"/>
    </row>
    <row r="9270" spans="93:93" x14ac:dyDescent="0.3">
      <c r="CO9270" s="15"/>
    </row>
    <row r="9271" spans="93:93" x14ac:dyDescent="0.3">
      <c r="CO9271" s="15"/>
    </row>
    <row r="9272" spans="93:93" x14ac:dyDescent="0.3">
      <c r="CO9272" s="15"/>
    </row>
    <row r="9273" spans="93:93" x14ac:dyDescent="0.3">
      <c r="CO9273" s="15"/>
    </row>
    <row r="9274" spans="93:93" x14ac:dyDescent="0.3">
      <c r="CO9274" s="15"/>
    </row>
    <row r="9275" spans="93:93" x14ac:dyDescent="0.3">
      <c r="CO9275" s="15"/>
    </row>
    <row r="9276" spans="93:93" x14ac:dyDescent="0.3">
      <c r="CO9276" s="15"/>
    </row>
    <row r="9277" spans="93:93" x14ac:dyDescent="0.3">
      <c r="CO9277" s="15"/>
    </row>
    <row r="9278" spans="93:93" x14ac:dyDescent="0.3">
      <c r="CO9278" s="15"/>
    </row>
    <row r="9279" spans="93:93" x14ac:dyDescent="0.3">
      <c r="CO9279" s="15"/>
    </row>
    <row r="9280" spans="93:93" x14ac:dyDescent="0.3">
      <c r="CO9280" s="15"/>
    </row>
    <row r="9281" spans="93:93" x14ac:dyDescent="0.3">
      <c r="CO9281" s="15"/>
    </row>
    <row r="9282" spans="93:93" x14ac:dyDescent="0.3">
      <c r="CO9282" s="15"/>
    </row>
    <row r="9283" spans="93:93" x14ac:dyDescent="0.3">
      <c r="CO9283" s="15"/>
    </row>
    <row r="9284" spans="93:93" x14ac:dyDescent="0.3">
      <c r="CO9284" s="15"/>
    </row>
    <row r="9285" spans="93:93" x14ac:dyDescent="0.3">
      <c r="CO9285" s="15"/>
    </row>
    <row r="9286" spans="93:93" x14ac:dyDescent="0.3">
      <c r="CO9286" s="15"/>
    </row>
    <row r="9287" spans="93:93" x14ac:dyDescent="0.3">
      <c r="CO9287" s="15"/>
    </row>
    <row r="9288" spans="93:93" x14ac:dyDescent="0.3">
      <c r="CO9288" s="15"/>
    </row>
    <row r="9289" spans="93:93" x14ac:dyDescent="0.3">
      <c r="CO9289" s="15"/>
    </row>
    <row r="9290" spans="93:93" x14ac:dyDescent="0.3">
      <c r="CO9290" s="15"/>
    </row>
    <row r="9291" spans="93:93" x14ac:dyDescent="0.3">
      <c r="CO9291" s="15"/>
    </row>
    <row r="9292" spans="93:93" x14ac:dyDescent="0.3">
      <c r="CO9292" s="15"/>
    </row>
    <row r="9293" spans="93:93" x14ac:dyDescent="0.3">
      <c r="CO9293" s="15"/>
    </row>
    <row r="9294" spans="93:93" x14ac:dyDescent="0.3">
      <c r="CO9294" s="15"/>
    </row>
    <row r="9295" spans="93:93" x14ac:dyDescent="0.3">
      <c r="CO9295" s="15"/>
    </row>
    <row r="9296" spans="93:93" x14ac:dyDescent="0.3">
      <c r="CO9296" s="15"/>
    </row>
    <row r="9297" spans="93:93" x14ac:dyDescent="0.3">
      <c r="CO9297" s="15"/>
    </row>
    <row r="9298" spans="93:93" x14ac:dyDescent="0.3">
      <c r="CO9298" s="15"/>
    </row>
    <row r="9299" spans="93:93" x14ac:dyDescent="0.3">
      <c r="CO9299" s="15"/>
    </row>
    <row r="9300" spans="93:93" x14ac:dyDescent="0.3">
      <c r="CO9300" s="15"/>
    </row>
    <row r="9301" spans="93:93" x14ac:dyDescent="0.3">
      <c r="CO9301" s="15"/>
    </row>
    <row r="9302" spans="93:93" x14ac:dyDescent="0.3">
      <c r="CO9302" s="15"/>
    </row>
    <row r="9303" spans="93:93" x14ac:dyDescent="0.3">
      <c r="CO9303" s="15"/>
    </row>
    <row r="9304" spans="93:93" x14ac:dyDescent="0.3">
      <c r="CO9304" s="15"/>
    </row>
    <row r="9305" spans="93:93" x14ac:dyDescent="0.3">
      <c r="CO9305" s="15"/>
    </row>
    <row r="9306" spans="93:93" x14ac:dyDescent="0.3">
      <c r="CO9306" s="15"/>
    </row>
    <row r="9307" spans="93:93" x14ac:dyDescent="0.3">
      <c r="CO9307" s="15"/>
    </row>
    <row r="9308" spans="93:93" x14ac:dyDescent="0.3">
      <c r="CO9308" s="15"/>
    </row>
    <row r="9309" spans="93:93" x14ac:dyDescent="0.3">
      <c r="CO9309" s="15"/>
    </row>
    <row r="9310" spans="93:93" x14ac:dyDescent="0.3">
      <c r="CO9310" s="15"/>
    </row>
    <row r="9311" spans="93:93" x14ac:dyDescent="0.3">
      <c r="CO9311" s="15"/>
    </row>
    <row r="9312" spans="93:93" x14ac:dyDescent="0.3">
      <c r="CO9312" s="15"/>
    </row>
    <row r="9313" spans="93:93" x14ac:dyDescent="0.3">
      <c r="CO9313" s="15"/>
    </row>
    <row r="9314" spans="93:93" x14ac:dyDescent="0.3">
      <c r="CO9314" s="15"/>
    </row>
    <row r="9315" spans="93:93" x14ac:dyDescent="0.3">
      <c r="CO9315" s="15"/>
    </row>
    <row r="9316" spans="93:93" x14ac:dyDescent="0.3">
      <c r="CO9316" s="15"/>
    </row>
    <row r="9317" spans="93:93" x14ac:dyDescent="0.3">
      <c r="CO9317" s="15"/>
    </row>
    <row r="9318" spans="93:93" x14ac:dyDescent="0.3">
      <c r="CO9318" s="15"/>
    </row>
    <row r="9319" spans="93:93" x14ac:dyDescent="0.3">
      <c r="CO9319" s="15"/>
    </row>
    <row r="9320" spans="93:93" x14ac:dyDescent="0.3">
      <c r="CO9320" s="15"/>
    </row>
    <row r="9321" spans="93:93" x14ac:dyDescent="0.3">
      <c r="CO9321" s="15"/>
    </row>
    <row r="9322" spans="93:93" x14ac:dyDescent="0.3">
      <c r="CO9322" s="15"/>
    </row>
    <row r="9323" spans="93:93" x14ac:dyDescent="0.3">
      <c r="CO9323" s="15"/>
    </row>
    <row r="9324" spans="93:93" x14ac:dyDescent="0.3">
      <c r="CO9324" s="15"/>
    </row>
    <row r="9325" spans="93:93" x14ac:dyDescent="0.3">
      <c r="CO9325" s="15"/>
    </row>
    <row r="9326" spans="93:93" x14ac:dyDescent="0.3">
      <c r="CO9326" s="15"/>
    </row>
    <row r="9327" spans="93:93" x14ac:dyDescent="0.3">
      <c r="CO9327" s="15"/>
    </row>
    <row r="9328" spans="93:93" x14ac:dyDescent="0.3">
      <c r="CO9328" s="15"/>
    </row>
    <row r="9329" spans="93:93" x14ac:dyDescent="0.3">
      <c r="CO9329" s="15"/>
    </row>
    <row r="9330" spans="93:93" x14ac:dyDescent="0.3">
      <c r="CO9330" s="15"/>
    </row>
    <row r="9331" spans="93:93" x14ac:dyDescent="0.3">
      <c r="CO9331" s="15"/>
    </row>
    <row r="9332" spans="93:93" x14ac:dyDescent="0.3">
      <c r="CO9332" s="15"/>
    </row>
    <row r="9333" spans="93:93" x14ac:dyDescent="0.3">
      <c r="CO9333" s="15"/>
    </row>
    <row r="9334" spans="93:93" x14ac:dyDescent="0.3">
      <c r="CO9334" s="15"/>
    </row>
    <row r="9335" spans="93:93" x14ac:dyDescent="0.3">
      <c r="CO9335" s="15"/>
    </row>
    <row r="9336" spans="93:93" x14ac:dyDescent="0.3">
      <c r="CO9336" s="15"/>
    </row>
    <row r="9337" spans="93:93" x14ac:dyDescent="0.3">
      <c r="CO9337" s="15"/>
    </row>
    <row r="9338" spans="93:93" x14ac:dyDescent="0.3">
      <c r="CO9338" s="15"/>
    </row>
    <row r="9339" spans="93:93" x14ac:dyDescent="0.3">
      <c r="CO9339" s="15"/>
    </row>
    <row r="9340" spans="93:93" x14ac:dyDescent="0.3">
      <c r="CO9340" s="15"/>
    </row>
    <row r="9341" spans="93:93" x14ac:dyDescent="0.3">
      <c r="CO9341" s="15"/>
    </row>
    <row r="9342" spans="93:93" x14ac:dyDescent="0.3">
      <c r="CO9342" s="15"/>
    </row>
    <row r="9343" spans="93:93" x14ac:dyDescent="0.3">
      <c r="CO9343" s="15"/>
    </row>
    <row r="9344" spans="93:93" x14ac:dyDescent="0.3">
      <c r="CO9344" s="15"/>
    </row>
    <row r="9345" spans="93:93" x14ac:dyDescent="0.3">
      <c r="CO9345" s="15"/>
    </row>
    <row r="9346" spans="93:93" x14ac:dyDescent="0.3">
      <c r="CO9346" s="15"/>
    </row>
    <row r="9347" spans="93:93" x14ac:dyDescent="0.3">
      <c r="CO9347" s="15"/>
    </row>
    <row r="9348" spans="93:93" x14ac:dyDescent="0.3">
      <c r="CO9348" s="15"/>
    </row>
    <row r="9349" spans="93:93" x14ac:dyDescent="0.3">
      <c r="CO9349" s="15"/>
    </row>
    <row r="9350" spans="93:93" x14ac:dyDescent="0.3">
      <c r="CO9350" s="15"/>
    </row>
    <row r="9351" spans="93:93" x14ac:dyDescent="0.3">
      <c r="CO9351" s="15"/>
    </row>
    <row r="9352" spans="93:93" x14ac:dyDescent="0.3">
      <c r="CO9352" s="15"/>
    </row>
    <row r="9353" spans="93:93" x14ac:dyDescent="0.3">
      <c r="CO9353" s="15"/>
    </row>
    <row r="9354" spans="93:93" x14ac:dyDescent="0.3">
      <c r="CO9354" s="15"/>
    </row>
    <row r="9355" spans="93:93" x14ac:dyDescent="0.3">
      <c r="CO9355" s="15"/>
    </row>
    <row r="9356" spans="93:93" x14ac:dyDescent="0.3">
      <c r="CO9356" s="15"/>
    </row>
    <row r="9357" spans="93:93" x14ac:dyDescent="0.3">
      <c r="CO9357" s="15"/>
    </row>
    <row r="9358" spans="93:93" x14ac:dyDescent="0.3">
      <c r="CO9358" s="15"/>
    </row>
    <row r="9359" spans="93:93" x14ac:dyDescent="0.3">
      <c r="CO9359" s="15"/>
    </row>
    <row r="9360" spans="93:93" x14ac:dyDescent="0.3">
      <c r="CO9360" s="15"/>
    </row>
    <row r="9361" spans="93:93" x14ac:dyDescent="0.3">
      <c r="CO9361" s="15"/>
    </row>
    <row r="9362" spans="93:93" x14ac:dyDescent="0.3">
      <c r="CO9362" s="15"/>
    </row>
    <row r="9363" spans="93:93" x14ac:dyDescent="0.3">
      <c r="CO9363" s="15"/>
    </row>
    <row r="9364" spans="93:93" x14ac:dyDescent="0.3">
      <c r="CO9364" s="15"/>
    </row>
    <row r="9365" spans="93:93" x14ac:dyDescent="0.3">
      <c r="CO9365" s="15"/>
    </row>
    <row r="9366" spans="93:93" x14ac:dyDescent="0.3">
      <c r="CO9366" s="15"/>
    </row>
    <row r="9367" spans="93:93" x14ac:dyDescent="0.3">
      <c r="CO9367" s="15"/>
    </row>
    <row r="9368" spans="93:93" x14ac:dyDescent="0.3">
      <c r="CO9368" s="15"/>
    </row>
    <row r="9369" spans="93:93" x14ac:dyDescent="0.3">
      <c r="CO9369" s="15"/>
    </row>
    <row r="9370" spans="93:93" x14ac:dyDescent="0.3">
      <c r="CO9370" s="15"/>
    </row>
    <row r="9371" spans="93:93" x14ac:dyDescent="0.3">
      <c r="CO9371" s="15"/>
    </row>
    <row r="9372" spans="93:93" x14ac:dyDescent="0.3">
      <c r="CO9372" s="15"/>
    </row>
    <row r="9373" spans="93:93" x14ac:dyDescent="0.3">
      <c r="CO9373" s="15"/>
    </row>
    <row r="9374" spans="93:93" x14ac:dyDescent="0.3">
      <c r="CO9374" s="15"/>
    </row>
    <row r="9375" spans="93:93" x14ac:dyDescent="0.3">
      <c r="CO9375" s="15"/>
    </row>
    <row r="9376" spans="93:93" x14ac:dyDescent="0.3">
      <c r="CO9376" s="15"/>
    </row>
    <row r="9377" spans="93:93" x14ac:dyDescent="0.3">
      <c r="CO9377" s="15"/>
    </row>
    <row r="9378" spans="93:93" x14ac:dyDescent="0.3">
      <c r="CO9378" s="15"/>
    </row>
    <row r="9379" spans="93:93" x14ac:dyDescent="0.3">
      <c r="CO9379" s="15"/>
    </row>
    <row r="9380" spans="93:93" x14ac:dyDescent="0.3">
      <c r="CO9380" s="15"/>
    </row>
    <row r="9381" spans="93:93" x14ac:dyDescent="0.3">
      <c r="CO9381" s="15"/>
    </row>
    <row r="9382" spans="93:93" x14ac:dyDescent="0.3">
      <c r="CO9382" s="15"/>
    </row>
    <row r="9383" spans="93:93" x14ac:dyDescent="0.3">
      <c r="CO9383" s="15"/>
    </row>
    <row r="9384" spans="93:93" x14ac:dyDescent="0.3">
      <c r="CO9384" s="15"/>
    </row>
    <row r="9385" spans="93:93" x14ac:dyDescent="0.3">
      <c r="CO9385" s="15"/>
    </row>
    <row r="9386" spans="93:93" x14ac:dyDescent="0.3">
      <c r="CO9386" s="15"/>
    </row>
    <row r="9387" spans="93:93" x14ac:dyDescent="0.3">
      <c r="CO9387" s="15"/>
    </row>
    <row r="9388" spans="93:93" x14ac:dyDescent="0.3">
      <c r="CO9388" s="15"/>
    </row>
    <row r="9389" spans="93:93" x14ac:dyDescent="0.3">
      <c r="CO9389" s="15"/>
    </row>
    <row r="9390" spans="93:93" x14ac:dyDescent="0.3">
      <c r="CO9390" s="15"/>
    </row>
    <row r="9391" spans="93:93" x14ac:dyDescent="0.3">
      <c r="CO9391" s="15"/>
    </row>
    <row r="9392" spans="93:93" x14ac:dyDescent="0.3">
      <c r="CO9392" s="15"/>
    </row>
    <row r="9393" spans="93:93" x14ac:dyDescent="0.3">
      <c r="CO9393" s="15"/>
    </row>
    <row r="9394" spans="93:93" x14ac:dyDescent="0.3">
      <c r="CO9394" s="15"/>
    </row>
    <row r="9395" spans="93:93" x14ac:dyDescent="0.3">
      <c r="CO9395" s="15"/>
    </row>
    <row r="9396" spans="93:93" x14ac:dyDescent="0.3">
      <c r="CO9396" s="15"/>
    </row>
    <row r="9397" spans="93:93" x14ac:dyDescent="0.3">
      <c r="CO9397" s="15"/>
    </row>
    <row r="9398" spans="93:93" x14ac:dyDescent="0.3">
      <c r="CO9398" s="15"/>
    </row>
    <row r="9399" spans="93:93" x14ac:dyDescent="0.3">
      <c r="CO9399" s="15"/>
    </row>
    <row r="9400" spans="93:93" x14ac:dyDescent="0.3">
      <c r="CO9400" s="15"/>
    </row>
    <row r="9401" spans="93:93" x14ac:dyDescent="0.3">
      <c r="CO9401" s="15"/>
    </row>
    <row r="9402" spans="93:93" x14ac:dyDescent="0.3">
      <c r="CO9402" s="15"/>
    </row>
    <row r="9403" spans="93:93" x14ac:dyDescent="0.3">
      <c r="CO9403" s="15"/>
    </row>
    <row r="9404" spans="93:93" x14ac:dyDescent="0.3">
      <c r="CO9404" s="15"/>
    </row>
    <row r="9405" spans="93:93" x14ac:dyDescent="0.3">
      <c r="CO9405" s="15"/>
    </row>
    <row r="9406" spans="93:93" x14ac:dyDescent="0.3">
      <c r="CO9406" s="15"/>
    </row>
    <row r="9407" spans="93:93" x14ac:dyDescent="0.3">
      <c r="CO9407" s="15"/>
    </row>
    <row r="9408" spans="93:93" x14ac:dyDescent="0.3">
      <c r="CO9408" s="15"/>
    </row>
    <row r="9409" spans="93:93" x14ac:dyDescent="0.3">
      <c r="CO9409" s="15"/>
    </row>
    <row r="9410" spans="93:93" x14ac:dyDescent="0.3">
      <c r="CO9410" s="15"/>
    </row>
    <row r="9411" spans="93:93" x14ac:dyDescent="0.3">
      <c r="CO9411" s="15"/>
    </row>
    <row r="9412" spans="93:93" x14ac:dyDescent="0.3">
      <c r="CO9412" s="15"/>
    </row>
    <row r="9413" spans="93:93" x14ac:dyDescent="0.3">
      <c r="CO9413" s="15"/>
    </row>
    <row r="9414" spans="93:93" x14ac:dyDescent="0.3">
      <c r="CO9414" s="15"/>
    </row>
    <row r="9415" spans="93:93" x14ac:dyDescent="0.3">
      <c r="CO9415" s="15"/>
    </row>
    <row r="9416" spans="93:93" x14ac:dyDescent="0.3">
      <c r="CO9416" s="15"/>
    </row>
    <row r="9417" spans="93:93" x14ac:dyDescent="0.3">
      <c r="CO9417" s="15"/>
    </row>
    <row r="9418" spans="93:93" x14ac:dyDescent="0.3">
      <c r="CO9418" s="15"/>
    </row>
    <row r="9419" spans="93:93" x14ac:dyDescent="0.3">
      <c r="CO9419" s="15"/>
    </row>
    <row r="9420" spans="93:93" x14ac:dyDescent="0.3">
      <c r="CO9420" s="15"/>
    </row>
    <row r="9421" spans="93:93" x14ac:dyDescent="0.3">
      <c r="CO9421" s="15"/>
    </row>
    <row r="9422" spans="93:93" x14ac:dyDescent="0.3">
      <c r="CO9422" s="15"/>
    </row>
    <row r="9423" spans="93:93" x14ac:dyDescent="0.3">
      <c r="CO9423" s="15"/>
    </row>
    <row r="9424" spans="93:93" x14ac:dyDescent="0.3">
      <c r="CO9424" s="15"/>
    </row>
    <row r="9425" spans="93:93" x14ac:dyDescent="0.3">
      <c r="CO9425" s="15"/>
    </row>
    <row r="9426" spans="93:93" x14ac:dyDescent="0.3">
      <c r="CO9426" s="15"/>
    </row>
    <row r="9427" spans="93:93" x14ac:dyDescent="0.3">
      <c r="CO9427" s="15"/>
    </row>
    <row r="9428" spans="93:93" x14ac:dyDescent="0.3">
      <c r="CO9428" s="15"/>
    </row>
    <row r="9429" spans="93:93" x14ac:dyDescent="0.3">
      <c r="CO9429" s="15"/>
    </row>
    <row r="9430" spans="93:93" x14ac:dyDescent="0.3">
      <c r="CO9430" s="15"/>
    </row>
    <row r="9431" spans="93:93" x14ac:dyDescent="0.3">
      <c r="CO9431" s="15"/>
    </row>
    <row r="9432" spans="93:93" x14ac:dyDescent="0.3">
      <c r="CO9432" s="15"/>
    </row>
    <row r="9433" spans="93:93" x14ac:dyDescent="0.3">
      <c r="CO9433" s="15"/>
    </row>
    <row r="9434" spans="93:93" x14ac:dyDescent="0.3">
      <c r="CO9434" s="15"/>
    </row>
    <row r="9435" spans="93:93" x14ac:dyDescent="0.3">
      <c r="CO9435" s="15"/>
    </row>
    <row r="9436" spans="93:93" x14ac:dyDescent="0.3">
      <c r="CO9436" s="15"/>
    </row>
    <row r="9437" spans="93:93" x14ac:dyDescent="0.3">
      <c r="CO9437" s="15"/>
    </row>
    <row r="9438" spans="93:93" x14ac:dyDescent="0.3">
      <c r="CO9438" s="15"/>
    </row>
    <row r="9439" spans="93:93" x14ac:dyDescent="0.3">
      <c r="CO9439" s="15"/>
    </row>
    <row r="9440" spans="93:93" x14ac:dyDescent="0.3">
      <c r="CO9440" s="15"/>
    </row>
    <row r="9441" spans="93:93" x14ac:dyDescent="0.3">
      <c r="CO9441" s="15"/>
    </row>
    <row r="9442" spans="93:93" x14ac:dyDescent="0.3">
      <c r="CO9442" s="15"/>
    </row>
    <row r="9443" spans="93:93" x14ac:dyDescent="0.3">
      <c r="CO9443" s="15"/>
    </row>
    <row r="9444" spans="93:93" x14ac:dyDescent="0.3">
      <c r="CO9444" s="15"/>
    </row>
    <row r="9445" spans="93:93" x14ac:dyDescent="0.3">
      <c r="CO9445" s="15"/>
    </row>
    <row r="9446" spans="93:93" x14ac:dyDescent="0.3">
      <c r="CO9446" s="15"/>
    </row>
    <row r="9447" spans="93:93" x14ac:dyDescent="0.3">
      <c r="CO9447" s="15"/>
    </row>
    <row r="9448" spans="93:93" x14ac:dyDescent="0.3">
      <c r="CO9448" s="15"/>
    </row>
    <row r="9449" spans="93:93" x14ac:dyDescent="0.3">
      <c r="CO9449" s="15"/>
    </row>
    <row r="9450" spans="93:93" x14ac:dyDescent="0.3">
      <c r="CO9450" s="15"/>
    </row>
    <row r="9451" spans="93:93" x14ac:dyDescent="0.3">
      <c r="CO9451" s="15"/>
    </row>
    <row r="9452" spans="93:93" x14ac:dyDescent="0.3">
      <c r="CO9452" s="15"/>
    </row>
    <row r="9453" spans="93:93" x14ac:dyDescent="0.3">
      <c r="CO9453" s="15"/>
    </row>
    <row r="9454" spans="93:93" x14ac:dyDescent="0.3">
      <c r="CO9454" s="15"/>
    </row>
    <row r="9455" spans="93:93" x14ac:dyDescent="0.3">
      <c r="CO9455" s="15"/>
    </row>
    <row r="9456" spans="93:93" x14ac:dyDescent="0.3">
      <c r="CO9456" s="15"/>
    </row>
    <row r="9457" spans="93:93" x14ac:dyDescent="0.3">
      <c r="CO9457" s="15"/>
    </row>
    <row r="9458" spans="93:93" x14ac:dyDescent="0.3">
      <c r="CO9458" s="15"/>
    </row>
    <row r="9459" spans="93:93" x14ac:dyDescent="0.3">
      <c r="CO9459" s="15"/>
    </row>
    <row r="9460" spans="93:93" x14ac:dyDescent="0.3">
      <c r="CO9460" s="15"/>
    </row>
    <row r="9461" spans="93:93" x14ac:dyDescent="0.3">
      <c r="CO9461" s="15"/>
    </row>
    <row r="9462" spans="93:93" x14ac:dyDescent="0.3">
      <c r="CO9462" s="15"/>
    </row>
    <row r="9463" spans="93:93" x14ac:dyDescent="0.3">
      <c r="CO9463" s="15"/>
    </row>
    <row r="9464" spans="93:93" x14ac:dyDescent="0.3">
      <c r="CO9464" s="15"/>
    </row>
    <row r="9465" spans="93:93" x14ac:dyDescent="0.3">
      <c r="CO9465" s="15"/>
    </row>
    <row r="9466" spans="93:93" x14ac:dyDescent="0.3">
      <c r="CO9466" s="15"/>
    </row>
    <row r="9467" spans="93:93" x14ac:dyDescent="0.3">
      <c r="CO9467" s="15"/>
    </row>
    <row r="9468" spans="93:93" x14ac:dyDescent="0.3">
      <c r="CO9468" s="15"/>
    </row>
    <row r="9469" spans="93:93" x14ac:dyDescent="0.3">
      <c r="CO9469" s="15"/>
    </row>
    <row r="9470" spans="93:93" x14ac:dyDescent="0.3">
      <c r="CO9470" s="15"/>
    </row>
    <row r="9471" spans="93:93" x14ac:dyDescent="0.3">
      <c r="CO9471" s="15"/>
    </row>
    <row r="9472" spans="93:93" x14ac:dyDescent="0.3">
      <c r="CO9472" s="15"/>
    </row>
    <row r="9473" spans="93:93" x14ac:dyDescent="0.3">
      <c r="CO9473" s="15"/>
    </row>
    <row r="9474" spans="93:93" x14ac:dyDescent="0.3">
      <c r="CO9474" s="15"/>
    </row>
    <row r="9475" spans="93:93" x14ac:dyDescent="0.3">
      <c r="CO9475" s="15"/>
    </row>
    <row r="9476" spans="93:93" x14ac:dyDescent="0.3">
      <c r="CO9476" s="15"/>
    </row>
    <row r="9477" spans="93:93" x14ac:dyDescent="0.3">
      <c r="CO9477" s="15"/>
    </row>
    <row r="9478" spans="93:93" x14ac:dyDescent="0.3">
      <c r="CO9478" s="15"/>
    </row>
    <row r="9479" spans="93:93" x14ac:dyDescent="0.3">
      <c r="CO9479" s="15"/>
    </row>
    <row r="9480" spans="93:93" x14ac:dyDescent="0.3">
      <c r="CO9480" s="15"/>
    </row>
    <row r="9481" spans="93:93" x14ac:dyDescent="0.3">
      <c r="CO9481" s="15"/>
    </row>
    <row r="9482" spans="93:93" x14ac:dyDescent="0.3">
      <c r="CO9482" s="15"/>
    </row>
    <row r="9483" spans="93:93" x14ac:dyDescent="0.3">
      <c r="CO9483" s="15"/>
    </row>
    <row r="9484" spans="93:93" x14ac:dyDescent="0.3">
      <c r="CO9484" s="15"/>
    </row>
    <row r="9485" spans="93:93" x14ac:dyDescent="0.3">
      <c r="CO9485" s="15"/>
    </row>
    <row r="9486" spans="93:93" x14ac:dyDescent="0.3">
      <c r="CO9486" s="15"/>
    </row>
    <row r="9487" spans="93:93" x14ac:dyDescent="0.3">
      <c r="CO9487" s="15"/>
    </row>
    <row r="9488" spans="93:93" x14ac:dyDescent="0.3">
      <c r="CO9488" s="15"/>
    </row>
    <row r="9489" spans="93:93" x14ac:dyDescent="0.3">
      <c r="CO9489" s="15"/>
    </row>
    <row r="9490" spans="93:93" x14ac:dyDescent="0.3">
      <c r="CO9490" s="15"/>
    </row>
    <row r="9491" spans="93:93" x14ac:dyDescent="0.3">
      <c r="CO9491" s="15"/>
    </row>
    <row r="9492" spans="93:93" x14ac:dyDescent="0.3">
      <c r="CO9492" s="15"/>
    </row>
    <row r="9493" spans="93:93" x14ac:dyDescent="0.3">
      <c r="CO9493" s="15"/>
    </row>
    <row r="9494" spans="93:93" x14ac:dyDescent="0.3">
      <c r="CO9494" s="15"/>
    </row>
    <row r="9495" spans="93:93" x14ac:dyDescent="0.3">
      <c r="CO9495" s="15"/>
    </row>
    <row r="9496" spans="93:93" x14ac:dyDescent="0.3">
      <c r="CO9496" s="15"/>
    </row>
    <row r="9497" spans="93:93" x14ac:dyDescent="0.3">
      <c r="CO9497" s="15"/>
    </row>
    <row r="9498" spans="93:93" x14ac:dyDescent="0.3">
      <c r="CO9498" s="15"/>
    </row>
    <row r="9499" spans="93:93" x14ac:dyDescent="0.3">
      <c r="CO9499" s="15"/>
    </row>
    <row r="9500" spans="93:93" x14ac:dyDescent="0.3">
      <c r="CO9500" s="15"/>
    </row>
    <row r="9501" spans="93:93" x14ac:dyDescent="0.3">
      <c r="CO9501" s="15"/>
    </row>
    <row r="9502" spans="93:93" x14ac:dyDescent="0.3">
      <c r="CO9502" s="15"/>
    </row>
    <row r="9503" spans="93:93" x14ac:dyDescent="0.3">
      <c r="CO9503" s="15"/>
    </row>
    <row r="9504" spans="93:93" x14ac:dyDescent="0.3">
      <c r="CO9504" s="15"/>
    </row>
    <row r="9505" spans="93:93" x14ac:dyDescent="0.3">
      <c r="CO9505" s="15"/>
    </row>
    <row r="9506" spans="93:93" x14ac:dyDescent="0.3">
      <c r="CO9506" s="15"/>
    </row>
    <row r="9507" spans="93:93" x14ac:dyDescent="0.3">
      <c r="CO9507" s="15"/>
    </row>
    <row r="9508" spans="93:93" x14ac:dyDescent="0.3">
      <c r="CO9508" s="15"/>
    </row>
    <row r="9509" spans="93:93" x14ac:dyDescent="0.3">
      <c r="CO9509" s="15"/>
    </row>
    <row r="9510" spans="93:93" x14ac:dyDescent="0.3">
      <c r="CO9510" s="15"/>
    </row>
    <row r="9511" spans="93:93" x14ac:dyDescent="0.3">
      <c r="CO9511" s="15"/>
    </row>
    <row r="9512" spans="93:93" x14ac:dyDescent="0.3">
      <c r="CO9512" s="15"/>
    </row>
    <row r="9513" spans="93:93" x14ac:dyDescent="0.3">
      <c r="CO9513" s="15"/>
    </row>
    <row r="9514" spans="93:93" x14ac:dyDescent="0.3">
      <c r="CO9514" s="15"/>
    </row>
    <row r="9515" spans="93:93" x14ac:dyDescent="0.3">
      <c r="CO9515" s="15"/>
    </row>
    <row r="9516" spans="93:93" x14ac:dyDescent="0.3">
      <c r="CO9516" s="15"/>
    </row>
    <row r="9517" spans="93:93" x14ac:dyDescent="0.3">
      <c r="CO9517" s="15"/>
    </row>
    <row r="9518" spans="93:93" x14ac:dyDescent="0.3">
      <c r="CO9518" s="15"/>
    </row>
    <row r="9519" spans="93:93" x14ac:dyDescent="0.3">
      <c r="CO9519" s="15"/>
    </row>
    <row r="9520" spans="93:93" x14ac:dyDescent="0.3">
      <c r="CO9520" s="15"/>
    </row>
    <row r="9521" spans="93:93" x14ac:dyDescent="0.3">
      <c r="CO9521" s="15"/>
    </row>
    <row r="9522" spans="93:93" x14ac:dyDescent="0.3">
      <c r="CO9522" s="15"/>
    </row>
    <row r="9523" spans="93:93" x14ac:dyDescent="0.3">
      <c r="CO9523" s="15"/>
    </row>
    <row r="9524" spans="93:93" x14ac:dyDescent="0.3">
      <c r="CO9524" s="15"/>
    </row>
    <row r="9525" spans="93:93" x14ac:dyDescent="0.3">
      <c r="CO9525" s="15"/>
    </row>
    <row r="9526" spans="93:93" x14ac:dyDescent="0.3">
      <c r="CO9526" s="15"/>
    </row>
    <row r="9527" spans="93:93" x14ac:dyDescent="0.3">
      <c r="CO9527" s="15"/>
    </row>
    <row r="9528" spans="93:93" x14ac:dyDescent="0.3">
      <c r="CO9528" s="15"/>
    </row>
    <row r="9529" spans="93:93" x14ac:dyDescent="0.3">
      <c r="CO9529" s="15"/>
    </row>
    <row r="9530" spans="93:93" x14ac:dyDescent="0.3">
      <c r="CO9530" s="15"/>
    </row>
    <row r="9531" spans="93:93" x14ac:dyDescent="0.3">
      <c r="CO9531" s="15"/>
    </row>
    <row r="9532" spans="93:93" x14ac:dyDescent="0.3">
      <c r="CO9532" s="15"/>
    </row>
    <row r="9533" spans="93:93" x14ac:dyDescent="0.3">
      <c r="CO9533" s="15"/>
    </row>
    <row r="9534" spans="93:93" x14ac:dyDescent="0.3">
      <c r="CO9534" s="15"/>
    </row>
    <row r="9535" spans="93:93" x14ac:dyDescent="0.3">
      <c r="CO9535" s="15"/>
    </row>
    <row r="9536" spans="93:93" x14ac:dyDescent="0.3">
      <c r="CO9536" s="15"/>
    </row>
    <row r="9537" spans="93:93" x14ac:dyDescent="0.3">
      <c r="CO9537" s="15"/>
    </row>
    <row r="9538" spans="93:93" x14ac:dyDescent="0.3">
      <c r="CO9538" s="15"/>
    </row>
    <row r="9539" spans="93:93" x14ac:dyDescent="0.3">
      <c r="CO9539" s="15"/>
    </row>
    <row r="9540" spans="93:93" x14ac:dyDescent="0.3">
      <c r="CO9540" s="15"/>
    </row>
    <row r="9541" spans="93:93" x14ac:dyDescent="0.3">
      <c r="CO9541" s="15"/>
    </row>
    <row r="9542" spans="93:93" x14ac:dyDescent="0.3">
      <c r="CO9542" s="15"/>
    </row>
    <row r="9543" spans="93:93" x14ac:dyDescent="0.3">
      <c r="CO9543" s="15"/>
    </row>
    <row r="9544" spans="93:93" x14ac:dyDescent="0.3">
      <c r="CO9544" s="15"/>
    </row>
    <row r="9545" spans="93:93" x14ac:dyDescent="0.3">
      <c r="CO9545" s="15"/>
    </row>
    <row r="9546" spans="93:93" x14ac:dyDescent="0.3">
      <c r="CO9546" s="15"/>
    </row>
    <row r="9547" spans="93:93" x14ac:dyDescent="0.3">
      <c r="CO9547" s="15"/>
    </row>
    <row r="9548" spans="93:93" x14ac:dyDescent="0.3">
      <c r="CO9548" s="15"/>
    </row>
    <row r="9549" spans="93:93" x14ac:dyDescent="0.3">
      <c r="CO9549" s="15"/>
    </row>
    <row r="9550" spans="93:93" x14ac:dyDescent="0.3">
      <c r="CO9550" s="15"/>
    </row>
    <row r="9551" spans="93:93" x14ac:dyDescent="0.3">
      <c r="CO9551" s="15"/>
    </row>
    <row r="9552" spans="93:93" x14ac:dyDescent="0.3">
      <c r="CO9552" s="15"/>
    </row>
    <row r="9553" spans="93:93" x14ac:dyDescent="0.3">
      <c r="CO9553" s="15"/>
    </row>
    <row r="9554" spans="93:93" x14ac:dyDescent="0.3">
      <c r="CO9554" s="15"/>
    </row>
    <row r="9555" spans="93:93" x14ac:dyDescent="0.3">
      <c r="CO9555" s="15"/>
    </row>
    <row r="9556" spans="93:93" x14ac:dyDescent="0.3">
      <c r="CO9556" s="15"/>
    </row>
    <row r="9557" spans="93:93" x14ac:dyDescent="0.3">
      <c r="CO9557" s="15"/>
    </row>
    <row r="9558" spans="93:93" x14ac:dyDescent="0.3">
      <c r="CO9558" s="15"/>
    </row>
    <row r="9559" spans="93:93" x14ac:dyDescent="0.3">
      <c r="CO9559" s="15"/>
    </row>
    <row r="9560" spans="93:93" x14ac:dyDescent="0.3">
      <c r="CO9560" s="15"/>
    </row>
    <row r="9561" spans="93:93" x14ac:dyDescent="0.3">
      <c r="CO9561" s="15"/>
    </row>
    <row r="9562" spans="93:93" x14ac:dyDescent="0.3">
      <c r="CO9562" s="15"/>
    </row>
    <row r="9563" spans="93:93" x14ac:dyDescent="0.3">
      <c r="CO9563" s="15"/>
    </row>
    <row r="9564" spans="93:93" x14ac:dyDescent="0.3">
      <c r="CO9564" s="15"/>
    </row>
    <row r="9565" spans="93:93" x14ac:dyDescent="0.3">
      <c r="CO9565" s="15"/>
    </row>
    <row r="9566" spans="93:93" x14ac:dyDescent="0.3">
      <c r="CO9566" s="15"/>
    </row>
    <row r="9567" spans="93:93" x14ac:dyDescent="0.3">
      <c r="CO9567" s="15"/>
    </row>
    <row r="9568" spans="93:93" x14ac:dyDescent="0.3">
      <c r="CO9568" s="15"/>
    </row>
    <row r="9569" spans="93:93" x14ac:dyDescent="0.3">
      <c r="CO9569" s="15"/>
    </row>
    <row r="9570" spans="93:93" x14ac:dyDescent="0.3">
      <c r="CO9570" s="15"/>
    </row>
    <row r="9571" spans="93:93" x14ac:dyDescent="0.3">
      <c r="CO9571" s="15"/>
    </row>
    <row r="9572" spans="93:93" x14ac:dyDescent="0.3">
      <c r="CO9572" s="15"/>
    </row>
    <row r="9573" spans="93:93" x14ac:dyDescent="0.3">
      <c r="CO9573" s="15"/>
    </row>
    <row r="9574" spans="93:93" x14ac:dyDescent="0.3">
      <c r="CO9574" s="15"/>
    </row>
    <row r="9575" spans="93:93" x14ac:dyDescent="0.3">
      <c r="CO9575" s="15"/>
    </row>
    <row r="9576" spans="93:93" x14ac:dyDescent="0.3">
      <c r="CO9576" s="15"/>
    </row>
    <row r="9577" spans="93:93" x14ac:dyDescent="0.3">
      <c r="CO9577" s="15"/>
    </row>
    <row r="9578" spans="93:93" x14ac:dyDescent="0.3">
      <c r="CO9578" s="15"/>
    </row>
    <row r="9579" spans="93:93" x14ac:dyDescent="0.3">
      <c r="CO9579" s="15"/>
    </row>
    <row r="9580" spans="93:93" x14ac:dyDescent="0.3">
      <c r="CO9580" s="15"/>
    </row>
    <row r="9581" spans="93:93" x14ac:dyDescent="0.3">
      <c r="CO9581" s="15"/>
    </row>
    <row r="9582" spans="93:93" x14ac:dyDescent="0.3">
      <c r="CO9582" s="15"/>
    </row>
    <row r="9583" spans="93:93" x14ac:dyDescent="0.3">
      <c r="CO9583" s="15"/>
    </row>
    <row r="9584" spans="93:93" x14ac:dyDescent="0.3">
      <c r="CO9584" s="15"/>
    </row>
    <row r="9585" spans="93:93" x14ac:dyDescent="0.3">
      <c r="CO9585" s="15"/>
    </row>
    <row r="9586" spans="93:93" x14ac:dyDescent="0.3">
      <c r="CO9586" s="15"/>
    </row>
    <row r="9587" spans="93:93" x14ac:dyDescent="0.3">
      <c r="CO9587" s="15"/>
    </row>
    <row r="9588" spans="93:93" x14ac:dyDescent="0.3">
      <c r="CO9588" s="15"/>
    </row>
    <row r="9589" spans="93:93" x14ac:dyDescent="0.3">
      <c r="CO9589" s="15"/>
    </row>
    <row r="9590" spans="93:93" x14ac:dyDescent="0.3">
      <c r="CO9590" s="15"/>
    </row>
    <row r="9591" spans="93:93" x14ac:dyDescent="0.3">
      <c r="CO9591" s="15"/>
    </row>
    <row r="9592" spans="93:93" x14ac:dyDescent="0.3">
      <c r="CO9592" s="15"/>
    </row>
    <row r="9593" spans="93:93" x14ac:dyDescent="0.3">
      <c r="CO9593" s="15"/>
    </row>
    <row r="9594" spans="93:93" x14ac:dyDescent="0.3">
      <c r="CO9594" s="15"/>
    </row>
    <row r="9595" spans="93:93" x14ac:dyDescent="0.3">
      <c r="CO9595" s="15"/>
    </row>
    <row r="9596" spans="93:93" x14ac:dyDescent="0.3">
      <c r="CO9596" s="15"/>
    </row>
    <row r="9597" spans="93:93" x14ac:dyDescent="0.3">
      <c r="CO9597" s="15"/>
    </row>
    <row r="9598" spans="93:93" x14ac:dyDescent="0.3">
      <c r="CO9598" s="15"/>
    </row>
    <row r="9599" spans="93:93" x14ac:dyDescent="0.3">
      <c r="CO9599" s="15"/>
    </row>
    <row r="9600" spans="93:93" x14ac:dyDescent="0.3">
      <c r="CO9600" s="15"/>
    </row>
    <row r="9601" spans="93:93" x14ac:dyDescent="0.3">
      <c r="CO9601" s="15"/>
    </row>
    <row r="9602" spans="93:93" x14ac:dyDescent="0.3">
      <c r="CO9602" s="15"/>
    </row>
    <row r="9603" spans="93:93" x14ac:dyDescent="0.3">
      <c r="CO9603" s="15"/>
    </row>
    <row r="9604" spans="93:93" x14ac:dyDescent="0.3">
      <c r="CO9604" s="15"/>
    </row>
    <row r="9605" spans="93:93" x14ac:dyDescent="0.3">
      <c r="CO9605" s="15"/>
    </row>
    <row r="9606" spans="93:93" x14ac:dyDescent="0.3">
      <c r="CO9606" s="15"/>
    </row>
    <row r="9607" spans="93:93" x14ac:dyDescent="0.3">
      <c r="CO9607" s="15"/>
    </row>
    <row r="9608" spans="93:93" x14ac:dyDescent="0.3">
      <c r="CO9608" s="15"/>
    </row>
    <row r="9609" spans="93:93" x14ac:dyDescent="0.3">
      <c r="CO9609" s="15"/>
    </row>
    <row r="9610" spans="93:93" x14ac:dyDescent="0.3">
      <c r="CO9610" s="15"/>
    </row>
    <row r="9611" spans="93:93" x14ac:dyDescent="0.3">
      <c r="CO9611" s="15"/>
    </row>
    <row r="9612" spans="93:93" x14ac:dyDescent="0.3">
      <c r="CO9612" s="15"/>
    </row>
    <row r="9613" spans="93:93" x14ac:dyDescent="0.3">
      <c r="CO9613" s="15"/>
    </row>
    <row r="9614" spans="93:93" x14ac:dyDescent="0.3">
      <c r="CO9614" s="15"/>
    </row>
    <row r="9615" spans="93:93" x14ac:dyDescent="0.3">
      <c r="CO9615" s="15"/>
    </row>
    <row r="9616" spans="93:93" x14ac:dyDescent="0.3">
      <c r="CO9616" s="15"/>
    </row>
    <row r="9617" spans="93:93" x14ac:dyDescent="0.3">
      <c r="CO9617" s="15"/>
    </row>
    <row r="9618" spans="93:93" x14ac:dyDescent="0.3">
      <c r="CO9618" s="15"/>
    </row>
    <row r="9619" spans="93:93" x14ac:dyDescent="0.3">
      <c r="CO9619" s="15"/>
    </row>
    <row r="9620" spans="93:93" x14ac:dyDescent="0.3">
      <c r="CO9620" s="15"/>
    </row>
    <row r="9621" spans="93:93" x14ac:dyDescent="0.3">
      <c r="CO9621" s="15"/>
    </row>
    <row r="9622" spans="93:93" x14ac:dyDescent="0.3">
      <c r="CO9622" s="15"/>
    </row>
    <row r="9623" spans="93:93" x14ac:dyDescent="0.3">
      <c r="CO9623" s="15"/>
    </row>
    <row r="9624" spans="93:93" x14ac:dyDescent="0.3">
      <c r="CO9624" s="15"/>
    </row>
    <row r="9625" spans="93:93" x14ac:dyDescent="0.3">
      <c r="CO9625" s="15"/>
    </row>
    <row r="9626" spans="93:93" x14ac:dyDescent="0.3">
      <c r="CO9626" s="15"/>
    </row>
    <row r="9627" spans="93:93" x14ac:dyDescent="0.3">
      <c r="CO9627" s="15"/>
    </row>
    <row r="9628" spans="93:93" x14ac:dyDescent="0.3">
      <c r="CO9628" s="15"/>
    </row>
    <row r="9629" spans="93:93" x14ac:dyDescent="0.3">
      <c r="CO9629" s="15"/>
    </row>
    <row r="9630" spans="93:93" x14ac:dyDescent="0.3">
      <c r="CO9630" s="15"/>
    </row>
    <row r="9631" spans="93:93" x14ac:dyDescent="0.3">
      <c r="CO9631" s="15"/>
    </row>
    <row r="9632" spans="93:93" x14ac:dyDescent="0.3">
      <c r="CO9632" s="15"/>
    </row>
    <row r="9633" spans="93:93" x14ac:dyDescent="0.3">
      <c r="CO9633" s="15"/>
    </row>
    <row r="9634" spans="93:93" x14ac:dyDescent="0.3">
      <c r="CO9634" s="15"/>
    </row>
    <row r="9635" spans="93:93" x14ac:dyDescent="0.3">
      <c r="CO9635" s="15"/>
    </row>
    <row r="9636" spans="93:93" x14ac:dyDescent="0.3">
      <c r="CO9636" s="15"/>
    </row>
    <row r="9637" spans="93:93" x14ac:dyDescent="0.3">
      <c r="CO9637" s="15"/>
    </row>
    <row r="9638" spans="93:93" x14ac:dyDescent="0.3">
      <c r="CO9638" s="15"/>
    </row>
    <row r="9639" spans="93:93" x14ac:dyDescent="0.3">
      <c r="CO9639" s="15"/>
    </row>
    <row r="9640" spans="93:93" x14ac:dyDescent="0.3">
      <c r="CO9640" s="15"/>
    </row>
    <row r="9641" spans="93:93" x14ac:dyDescent="0.3">
      <c r="CO9641" s="15"/>
    </row>
    <row r="9642" spans="93:93" x14ac:dyDescent="0.3">
      <c r="CO9642" s="15"/>
    </row>
    <row r="9643" spans="93:93" x14ac:dyDescent="0.3">
      <c r="CO9643" s="15"/>
    </row>
    <row r="9644" spans="93:93" x14ac:dyDescent="0.3">
      <c r="CO9644" s="15"/>
    </row>
    <row r="9645" spans="93:93" x14ac:dyDescent="0.3">
      <c r="CO9645" s="15"/>
    </row>
    <row r="9646" spans="93:93" x14ac:dyDescent="0.3">
      <c r="CO9646" s="15"/>
    </row>
    <row r="9647" spans="93:93" x14ac:dyDescent="0.3">
      <c r="CO9647" s="15"/>
    </row>
    <row r="9648" spans="93:93" x14ac:dyDescent="0.3">
      <c r="CO9648" s="15"/>
    </row>
    <row r="9649" spans="93:93" x14ac:dyDescent="0.3">
      <c r="CO9649" s="15"/>
    </row>
    <row r="9650" spans="93:93" x14ac:dyDescent="0.3">
      <c r="CO9650" s="15"/>
    </row>
    <row r="9651" spans="93:93" x14ac:dyDescent="0.3">
      <c r="CO9651" s="15"/>
    </row>
    <row r="9652" spans="93:93" x14ac:dyDescent="0.3">
      <c r="CO9652" s="15"/>
    </row>
    <row r="9653" spans="93:93" x14ac:dyDescent="0.3">
      <c r="CO9653" s="15"/>
    </row>
    <row r="9654" spans="93:93" x14ac:dyDescent="0.3">
      <c r="CO9654" s="15"/>
    </row>
    <row r="9655" spans="93:93" x14ac:dyDescent="0.3">
      <c r="CO9655" s="15"/>
    </row>
    <row r="9656" spans="93:93" x14ac:dyDescent="0.3">
      <c r="CO9656" s="15"/>
    </row>
    <row r="9657" spans="93:93" x14ac:dyDescent="0.3">
      <c r="CO9657" s="15"/>
    </row>
    <row r="9658" spans="93:93" x14ac:dyDescent="0.3">
      <c r="CO9658" s="15"/>
    </row>
    <row r="9659" spans="93:93" x14ac:dyDescent="0.3">
      <c r="CO9659" s="15"/>
    </row>
    <row r="9660" spans="93:93" x14ac:dyDescent="0.3">
      <c r="CO9660" s="15"/>
    </row>
    <row r="9661" spans="93:93" x14ac:dyDescent="0.3">
      <c r="CO9661" s="15"/>
    </row>
    <row r="9662" spans="93:93" x14ac:dyDescent="0.3">
      <c r="CO9662" s="15"/>
    </row>
    <row r="9663" spans="93:93" x14ac:dyDescent="0.3">
      <c r="CO9663" s="15"/>
    </row>
    <row r="9664" spans="93:93" x14ac:dyDescent="0.3">
      <c r="CO9664" s="15"/>
    </row>
    <row r="9665" spans="93:93" x14ac:dyDescent="0.3">
      <c r="CO9665" s="15"/>
    </row>
    <row r="9666" spans="93:93" x14ac:dyDescent="0.3">
      <c r="CO9666" s="15"/>
    </row>
    <row r="9667" spans="93:93" x14ac:dyDescent="0.3">
      <c r="CO9667" s="15"/>
    </row>
    <row r="9668" spans="93:93" x14ac:dyDescent="0.3">
      <c r="CO9668" s="15"/>
    </row>
    <row r="9669" spans="93:93" x14ac:dyDescent="0.3">
      <c r="CO9669" s="15"/>
    </row>
    <row r="9670" spans="93:93" x14ac:dyDescent="0.3">
      <c r="CO9670" s="15"/>
    </row>
    <row r="9671" spans="93:93" x14ac:dyDescent="0.3">
      <c r="CO9671" s="15"/>
    </row>
    <row r="9672" spans="93:93" x14ac:dyDescent="0.3">
      <c r="CO9672" s="15"/>
    </row>
    <row r="9673" spans="93:93" x14ac:dyDescent="0.3">
      <c r="CO9673" s="15"/>
    </row>
    <row r="9674" spans="93:93" x14ac:dyDescent="0.3">
      <c r="CO9674" s="15"/>
    </row>
    <row r="9675" spans="93:93" x14ac:dyDescent="0.3">
      <c r="CO9675" s="15"/>
    </row>
    <row r="9676" spans="93:93" x14ac:dyDescent="0.3">
      <c r="CO9676" s="15"/>
    </row>
    <row r="9677" spans="93:93" x14ac:dyDescent="0.3">
      <c r="CO9677" s="15"/>
    </row>
    <row r="9678" spans="93:93" x14ac:dyDescent="0.3">
      <c r="CO9678" s="15"/>
    </row>
    <row r="9679" spans="93:93" x14ac:dyDescent="0.3">
      <c r="CO9679" s="15"/>
    </row>
    <row r="9680" spans="93:93" x14ac:dyDescent="0.3">
      <c r="CO9680" s="15"/>
    </row>
    <row r="9681" spans="93:93" x14ac:dyDescent="0.3">
      <c r="CO9681" s="15"/>
    </row>
    <row r="9682" spans="93:93" x14ac:dyDescent="0.3">
      <c r="CO9682" s="15"/>
    </row>
    <row r="9683" spans="93:93" x14ac:dyDescent="0.3">
      <c r="CO9683" s="15"/>
    </row>
    <row r="9684" spans="93:93" x14ac:dyDescent="0.3">
      <c r="CO9684" s="15"/>
    </row>
    <row r="9685" spans="93:93" x14ac:dyDescent="0.3">
      <c r="CO9685" s="15"/>
    </row>
    <row r="9686" spans="93:93" x14ac:dyDescent="0.3">
      <c r="CO9686" s="15"/>
    </row>
    <row r="9687" spans="93:93" x14ac:dyDescent="0.3">
      <c r="CO9687" s="15"/>
    </row>
    <row r="9688" spans="93:93" x14ac:dyDescent="0.3">
      <c r="CO9688" s="15"/>
    </row>
    <row r="9689" spans="93:93" x14ac:dyDescent="0.3">
      <c r="CO9689" s="15"/>
    </row>
    <row r="9690" spans="93:93" x14ac:dyDescent="0.3">
      <c r="CO9690" s="15"/>
    </row>
    <row r="9691" spans="93:93" x14ac:dyDescent="0.3">
      <c r="CO9691" s="15"/>
    </row>
    <row r="9692" spans="93:93" x14ac:dyDescent="0.3">
      <c r="CO9692" s="15"/>
    </row>
    <row r="9693" spans="93:93" x14ac:dyDescent="0.3">
      <c r="CO9693" s="15"/>
    </row>
    <row r="9694" spans="93:93" x14ac:dyDescent="0.3">
      <c r="CO9694" s="15"/>
    </row>
    <row r="9695" spans="93:93" x14ac:dyDescent="0.3">
      <c r="CO9695" s="15"/>
    </row>
    <row r="9696" spans="93:93" x14ac:dyDescent="0.3">
      <c r="CO9696" s="15"/>
    </row>
    <row r="9697" spans="93:93" x14ac:dyDescent="0.3">
      <c r="CO9697" s="15"/>
    </row>
    <row r="9698" spans="93:93" x14ac:dyDescent="0.3">
      <c r="CO9698" s="15"/>
    </row>
    <row r="9699" spans="93:93" x14ac:dyDescent="0.3">
      <c r="CO9699" s="15"/>
    </row>
    <row r="9700" spans="93:93" x14ac:dyDescent="0.3">
      <c r="CO9700" s="15"/>
    </row>
    <row r="9701" spans="93:93" x14ac:dyDescent="0.3">
      <c r="CO9701" s="15"/>
    </row>
    <row r="9702" spans="93:93" x14ac:dyDescent="0.3">
      <c r="CO9702" s="15"/>
    </row>
    <row r="9703" spans="93:93" x14ac:dyDescent="0.3">
      <c r="CO9703" s="15"/>
    </row>
    <row r="9704" spans="93:93" x14ac:dyDescent="0.3">
      <c r="CO9704" s="15"/>
    </row>
    <row r="9705" spans="93:93" x14ac:dyDescent="0.3">
      <c r="CO9705" s="15"/>
    </row>
    <row r="9706" spans="93:93" x14ac:dyDescent="0.3">
      <c r="CO9706" s="15"/>
    </row>
    <row r="9707" spans="93:93" x14ac:dyDescent="0.3">
      <c r="CO9707" s="15"/>
    </row>
    <row r="9708" spans="93:93" x14ac:dyDescent="0.3">
      <c r="CO9708" s="15"/>
    </row>
    <row r="9709" spans="93:93" x14ac:dyDescent="0.3">
      <c r="CO9709" s="15"/>
    </row>
    <row r="9710" spans="93:93" x14ac:dyDescent="0.3">
      <c r="CO9710" s="15"/>
    </row>
    <row r="9711" spans="93:93" x14ac:dyDescent="0.3">
      <c r="CO9711" s="15"/>
    </row>
    <row r="9712" spans="93:93" x14ac:dyDescent="0.3">
      <c r="CO9712" s="15"/>
    </row>
    <row r="9713" spans="93:93" x14ac:dyDescent="0.3">
      <c r="CO9713" s="15"/>
    </row>
    <row r="9714" spans="93:93" x14ac:dyDescent="0.3">
      <c r="CO9714" s="15"/>
    </row>
    <row r="9715" spans="93:93" x14ac:dyDescent="0.3">
      <c r="CO9715" s="15"/>
    </row>
    <row r="9716" spans="93:93" x14ac:dyDescent="0.3">
      <c r="CO9716" s="15"/>
    </row>
    <row r="9717" spans="93:93" x14ac:dyDescent="0.3">
      <c r="CO9717" s="15"/>
    </row>
    <row r="9718" spans="93:93" x14ac:dyDescent="0.3">
      <c r="CO9718" s="15"/>
    </row>
    <row r="9719" spans="93:93" x14ac:dyDescent="0.3">
      <c r="CO9719" s="15"/>
    </row>
    <row r="9720" spans="93:93" x14ac:dyDescent="0.3">
      <c r="CO9720" s="15"/>
    </row>
    <row r="9721" spans="93:93" x14ac:dyDescent="0.3">
      <c r="CO9721" s="15"/>
    </row>
    <row r="9722" spans="93:93" x14ac:dyDescent="0.3">
      <c r="CO9722" s="15"/>
    </row>
    <row r="9723" spans="93:93" x14ac:dyDescent="0.3">
      <c r="CO9723" s="15"/>
    </row>
    <row r="9724" spans="93:93" x14ac:dyDescent="0.3">
      <c r="CO9724" s="15"/>
    </row>
    <row r="9725" spans="93:93" x14ac:dyDescent="0.3">
      <c r="CO9725" s="15"/>
    </row>
    <row r="9726" spans="93:93" x14ac:dyDescent="0.3">
      <c r="CO9726" s="15"/>
    </row>
    <row r="9727" spans="93:93" x14ac:dyDescent="0.3">
      <c r="CO9727" s="15"/>
    </row>
    <row r="9728" spans="93:93" x14ac:dyDescent="0.3">
      <c r="CO9728" s="15"/>
    </row>
    <row r="9729" spans="93:93" x14ac:dyDescent="0.3">
      <c r="CO9729" s="15"/>
    </row>
    <row r="9730" spans="93:93" x14ac:dyDescent="0.3">
      <c r="CO9730" s="15"/>
    </row>
    <row r="9731" spans="93:93" x14ac:dyDescent="0.3">
      <c r="CO9731" s="15"/>
    </row>
    <row r="9732" spans="93:93" x14ac:dyDescent="0.3">
      <c r="CO9732" s="15"/>
    </row>
    <row r="9733" spans="93:93" x14ac:dyDescent="0.3">
      <c r="CO9733" s="15"/>
    </row>
    <row r="9734" spans="93:93" x14ac:dyDescent="0.3">
      <c r="CO9734" s="15"/>
    </row>
    <row r="9735" spans="93:93" x14ac:dyDescent="0.3">
      <c r="CO9735" s="15"/>
    </row>
    <row r="9736" spans="93:93" x14ac:dyDescent="0.3">
      <c r="CO9736" s="15"/>
    </row>
    <row r="9737" spans="93:93" x14ac:dyDescent="0.3">
      <c r="CO9737" s="15"/>
    </row>
    <row r="9738" spans="93:93" x14ac:dyDescent="0.3">
      <c r="CO9738" s="15"/>
    </row>
    <row r="9739" spans="93:93" x14ac:dyDescent="0.3">
      <c r="CO9739" s="15"/>
    </row>
    <row r="9740" spans="93:93" x14ac:dyDescent="0.3">
      <c r="CO9740" s="15"/>
    </row>
    <row r="9741" spans="93:93" x14ac:dyDescent="0.3">
      <c r="CO9741" s="15"/>
    </row>
    <row r="9742" spans="93:93" x14ac:dyDescent="0.3">
      <c r="CO9742" s="15"/>
    </row>
    <row r="9743" spans="93:93" x14ac:dyDescent="0.3">
      <c r="CO9743" s="15"/>
    </row>
    <row r="9744" spans="93:93" x14ac:dyDescent="0.3">
      <c r="CO9744" s="15"/>
    </row>
    <row r="9745" spans="93:93" x14ac:dyDescent="0.3">
      <c r="CO9745" s="15"/>
    </row>
    <row r="9746" spans="93:93" x14ac:dyDescent="0.3">
      <c r="CO9746" s="15"/>
    </row>
    <row r="9747" spans="93:93" x14ac:dyDescent="0.3">
      <c r="CO9747" s="15"/>
    </row>
    <row r="9748" spans="93:93" x14ac:dyDescent="0.3">
      <c r="CO9748" s="15"/>
    </row>
    <row r="9749" spans="93:93" x14ac:dyDescent="0.3">
      <c r="CO9749" s="15"/>
    </row>
    <row r="9750" spans="93:93" x14ac:dyDescent="0.3">
      <c r="CO9750" s="15"/>
    </row>
    <row r="9751" spans="93:93" x14ac:dyDescent="0.3">
      <c r="CO9751" s="15"/>
    </row>
    <row r="9752" spans="93:93" x14ac:dyDescent="0.3">
      <c r="CO9752" s="15"/>
    </row>
    <row r="9753" spans="93:93" x14ac:dyDescent="0.3">
      <c r="CO9753" s="15"/>
    </row>
    <row r="9754" spans="93:93" x14ac:dyDescent="0.3">
      <c r="CO9754" s="15"/>
    </row>
    <row r="9755" spans="93:93" x14ac:dyDescent="0.3">
      <c r="CO9755" s="15"/>
    </row>
    <row r="9756" spans="93:93" x14ac:dyDescent="0.3">
      <c r="CO9756" s="15"/>
    </row>
    <row r="9757" spans="93:93" x14ac:dyDescent="0.3">
      <c r="CO9757" s="15"/>
    </row>
    <row r="9758" spans="93:93" x14ac:dyDescent="0.3">
      <c r="CO9758" s="15"/>
    </row>
    <row r="9759" spans="93:93" x14ac:dyDescent="0.3">
      <c r="CO9759" s="15"/>
    </row>
    <row r="9760" spans="93:93" x14ac:dyDescent="0.3">
      <c r="CO9760" s="15"/>
    </row>
    <row r="9761" spans="93:93" x14ac:dyDescent="0.3">
      <c r="CO9761" s="15"/>
    </row>
    <row r="9762" spans="93:93" x14ac:dyDescent="0.3">
      <c r="CO9762" s="15"/>
    </row>
    <row r="9763" spans="93:93" x14ac:dyDescent="0.3">
      <c r="CO9763" s="15"/>
    </row>
    <row r="9764" spans="93:93" x14ac:dyDescent="0.3">
      <c r="CO9764" s="15"/>
    </row>
    <row r="9765" spans="93:93" x14ac:dyDescent="0.3">
      <c r="CO9765" s="15"/>
    </row>
    <row r="9766" spans="93:93" x14ac:dyDescent="0.3">
      <c r="CO9766" s="15"/>
    </row>
    <row r="9767" spans="93:93" x14ac:dyDescent="0.3">
      <c r="CO9767" s="15"/>
    </row>
    <row r="9768" spans="93:93" x14ac:dyDescent="0.3">
      <c r="CO9768" s="15"/>
    </row>
    <row r="9769" spans="93:93" x14ac:dyDescent="0.3">
      <c r="CO9769" s="15"/>
    </row>
    <row r="9770" spans="93:93" x14ac:dyDescent="0.3">
      <c r="CO9770" s="15"/>
    </row>
    <row r="9771" spans="93:93" x14ac:dyDescent="0.3">
      <c r="CO9771" s="15"/>
    </row>
    <row r="9772" spans="93:93" x14ac:dyDescent="0.3">
      <c r="CO9772" s="15"/>
    </row>
    <row r="9773" spans="93:93" x14ac:dyDescent="0.3">
      <c r="CO9773" s="15"/>
    </row>
    <row r="9774" spans="93:93" x14ac:dyDescent="0.3">
      <c r="CO9774" s="15"/>
    </row>
    <row r="9775" spans="93:93" x14ac:dyDescent="0.3">
      <c r="CO9775" s="15"/>
    </row>
    <row r="9776" spans="93:93" x14ac:dyDescent="0.3">
      <c r="CO9776" s="15"/>
    </row>
    <row r="9777" spans="93:93" x14ac:dyDescent="0.3">
      <c r="CO9777" s="15"/>
    </row>
    <row r="9778" spans="93:93" x14ac:dyDescent="0.3">
      <c r="CO9778" s="15"/>
    </row>
    <row r="9779" spans="93:93" x14ac:dyDescent="0.3">
      <c r="CO9779" s="15"/>
    </row>
    <row r="9780" spans="93:93" x14ac:dyDescent="0.3">
      <c r="CO9780" s="15"/>
    </row>
    <row r="9781" spans="93:93" x14ac:dyDescent="0.3">
      <c r="CO9781" s="15"/>
    </row>
    <row r="9782" spans="93:93" x14ac:dyDescent="0.3">
      <c r="CO9782" s="15"/>
    </row>
    <row r="9783" spans="93:93" x14ac:dyDescent="0.3">
      <c r="CO9783" s="15"/>
    </row>
    <row r="9784" spans="93:93" x14ac:dyDescent="0.3">
      <c r="CO9784" s="15"/>
    </row>
    <row r="9785" spans="93:93" x14ac:dyDescent="0.3">
      <c r="CO9785" s="15"/>
    </row>
    <row r="9786" spans="93:93" x14ac:dyDescent="0.3">
      <c r="CO9786" s="15"/>
    </row>
    <row r="9787" spans="93:93" x14ac:dyDescent="0.3">
      <c r="CO9787" s="15"/>
    </row>
    <row r="9788" spans="93:93" x14ac:dyDescent="0.3">
      <c r="CO9788" s="15"/>
    </row>
    <row r="9789" spans="93:93" x14ac:dyDescent="0.3">
      <c r="CO9789" s="15"/>
    </row>
    <row r="9790" spans="93:93" x14ac:dyDescent="0.3">
      <c r="CO9790" s="15"/>
    </row>
    <row r="9791" spans="93:93" x14ac:dyDescent="0.3">
      <c r="CO9791" s="15"/>
    </row>
    <row r="9792" spans="93:93" x14ac:dyDescent="0.3">
      <c r="CO9792" s="15"/>
    </row>
    <row r="9793" spans="93:93" x14ac:dyDescent="0.3">
      <c r="CO9793" s="15"/>
    </row>
    <row r="9794" spans="93:93" x14ac:dyDescent="0.3">
      <c r="CO9794" s="15"/>
    </row>
    <row r="9795" spans="93:93" x14ac:dyDescent="0.3">
      <c r="CO9795" s="15"/>
    </row>
    <row r="9796" spans="93:93" x14ac:dyDescent="0.3">
      <c r="CO9796" s="15"/>
    </row>
    <row r="9797" spans="93:93" x14ac:dyDescent="0.3">
      <c r="CO9797" s="15"/>
    </row>
    <row r="9798" spans="93:93" x14ac:dyDescent="0.3">
      <c r="CO9798" s="15"/>
    </row>
    <row r="9799" spans="93:93" x14ac:dyDescent="0.3">
      <c r="CO9799" s="15"/>
    </row>
    <row r="9800" spans="93:93" x14ac:dyDescent="0.3">
      <c r="CO9800" s="15"/>
    </row>
    <row r="9801" spans="93:93" x14ac:dyDescent="0.3">
      <c r="CO9801" s="15"/>
    </row>
    <row r="9802" spans="93:93" x14ac:dyDescent="0.3">
      <c r="CO9802" s="15"/>
    </row>
    <row r="9803" spans="93:93" x14ac:dyDescent="0.3">
      <c r="CO9803" s="15"/>
    </row>
    <row r="9804" spans="93:93" x14ac:dyDescent="0.3">
      <c r="CO9804" s="15"/>
    </row>
    <row r="9805" spans="93:93" x14ac:dyDescent="0.3">
      <c r="CO9805" s="15"/>
    </row>
    <row r="9806" spans="93:93" x14ac:dyDescent="0.3">
      <c r="CO9806" s="15"/>
    </row>
    <row r="9807" spans="93:93" x14ac:dyDescent="0.3">
      <c r="CO9807" s="15"/>
    </row>
    <row r="9808" spans="93:93" x14ac:dyDescent="0.3">
      <c r="CO9808" s="15"/>
    </row>
    <row r="9809" spans="93:93" x14ac:dyDescent="0.3">
      <c r="CO9809" s="15"/>
    </row>
    <row r="9810" spans="93:93" x14ac:dyDescent="0.3">
      <c r="CO9810" s="15"/>
    </row>
    <row r="9811" spans="93:93" x14ac:dyDescent="0.3">
      <c r="CO9811" s="15"/>
    </row>
    <row r="9812" spans="93:93" x14ac:dyDescent="0.3">
      <c r="CO9812" s="15"/>
    </row>
    <row r="9813" spans="93:93" x14ac:dyDescent="0.3">
      <c r="CO9813" s="15"/>
    </row>
    <row r="9814" spans="93:93" x14ac:dyDescent="0.3">
      <c r="CO9814" s="15"/>
    </row>
    <row r="9815" spans="93:93" x14ac:dyDescent="0.3">
      <c r="CO9815" s="15"/>
    </row>
    <row r="9816" spans="93:93" x14ac:dyDescent="0.3">
      <c r="CO9816" s="15"/>
    </row>
    <row r="9817" spans="93:93" x14ac:dyDescent="0.3">
      <c r="CO9817" s="15"/>
    </row>
    <row r="9818" spans="93:93" x14ac:dyDescent="0.3">
      <c r="CO9818" s="15"/>
    </row>
    <row r="9819" spans="93:93" x14ac:dyDescent="0.3">
      <c r="CO9819" s="15"/>
    </row>
    <row r="9820" spans="93:93" x14ac:dyDescent="0.3">
      <c r="CO9820" s="15"/>
    </row>
    <row r="9821" spans="93:93" x14ac:dyDescent="0.3">
      <c r="CO9821" s="15"/>
    </row>
    <row r="9822" spans="93:93" x14ac:dyDescent="0.3">
      <c r="CO9822" s="15"/>
    </row>
    <row r="9823" spans="93:93" x14ac:dyDescent="0.3">
      <c r="CO9823" s="15"/>
    </row>
    <row r="9824" spans="93:93" x14ac:dyDescent="0.3">
      <c r="CO9824" s="15"/>
    </row>
    <row r="9825" spans="93:93" x14ac:dyDescent="0.3">
      <c r="CO9825" s="15"/>
    </row>
    <row r="9826" spans="93:93" x14ac:dyDescent="0.3">
      <c r="CO9826" s="15"/>
    </row>
    <row r="9827" spans="93:93" x14ac:dyDescent="0.3">
      <c r="CO9827" s="15"/>
    </row>
    <row r="9828" spans="93:93" x14ac:dyDescent="0.3">
      <c r="CO9828" s="15"/>
    </row>
    <row r="9829" spans="93:93" x14ac:dyDescent="0.3">
      <c r="CO9829" s="15"/>
    </row>
    <row r="9830" spans="93:93" x14ac:dyDescent="0.3">
      <c r="CO9830" s="15"/>
    </row>
    <row r="9831" spans="93:93" x14ac:dyDescent="0.3">
      <c r="CO9831" s="15"/>
    </row>
    <row r="9832" spans="93:93" x14ac:dyDescent="0.3">
      <c r="CO9832" s="15"/>
    </row>
    <row r="9833" spans="93:93" x14ac:dyDescent="0.3">
      <c r="CO9833" s="15"/>
    </row>
    <row r="9834" spans="93:93" x14ac:dyDescent="0.3">
      <c r="CO9834" s="15"/>
    </row>
    <row r="9835" spans="93:93" x14ac:dyDescent="0.3">
      <c r="CO9835" s="15"/>
    </row>
    <row r="9836" spans="93:93" x14ac:dyDescent="0.3">
      <c r="CO9836" s="15"/>
    </row>
    <row r="9837" spans="93:93" x14ac:dyDescent="0.3">
      <c r="CO9837" s="15"/>
    </row>
    <row r="9838" spans="93:93" x14ac:dyDescent="0.3">
      <c r="CO9838" s="15"/>
    </row>
    <row r="9839" spans="93:93" x14ac:dyDescent="0.3">
      <c r="CO9839" s="15"/>
    </row>
    <row r="9840" spans="93:93" x14ac:dyDescent="0.3">
      <c r="CO9840" s="15"/>
    </row>
    <row r="9841" spans="93:93" x14ac:dyDescent="0.3">
      <c r="CO9841" s="15"/>
    </row>
    <row r="9842" spans="93:93" x14ac:dyDescent="0.3">
      <c r="CO9842" s="15"/>
    </row>
    <row r="9843" spans="93:93" x14ac:dyDescent="0.3">
      <c r="CO9843" s="15"/>
    </row>
    <row r="9844" spans="93:93" x14ac:dyDescent="0.3">
      <c r="CO9844" s="15"/>
    </row>
    <row r="9845" spans="93:93" x14ac:dyDescent="0.3">
      <c r="CO9845" s="15"/>
    </row>
    <row r="9846" spans="93:93" x14ac:dyDescent="0.3">
      <c r="CO9846" s="15"/>
    </row>
    <row r="9847" spans="93:93" x14ac:dyDescent="0.3">
      <c r="CO9847" s="15"/>
    </row>
    <row r="9848" spans="93:93" x14ac:dyDescent="0.3">
      <c r="CO9848" s="15"/>
    </row>
    <row r="9849" spans="93:93" x14ac:dyDescent="0.3">
      <c r="CO9849" s="15"/>
    </row>
    <row r="9850" spans="93:93" x14ac:dyDescent="0.3">
      <c r="CO9850" s="15"/>
    </row>
    <row r="9851" spans="93:93" x14ac:dyDescent="0.3">
      <c r="CO9851" s="15"/>
    </row>
    <row r="9852" spans="93:93" x14ac:dyDescent="0.3">
      <c r="CO9852" s="15"/>
    </row>
    <row r="9853" spans="93:93" x14ac:dyDescent="0.3">
      <c r="CO9853" s="15"/>
    </row>
    <row r="9854" spans="93:93" x14ac:dyDescent="0.3">
      <c r="CO9854" s="15"/>
    </row>
    <row r="9855" spans="93:93" x14ac:dyDescent="0.3">
      <c r="CO9855" s="15"/>
    </row>
    <row r="9856" spans="93:93" x14ac:dyDescent="0.3">
      <c r="CO9856" s="15"/>
    </row>
    <row r="9857" spans="93:93" x14ac:dyDescent="0.3">
      <c r="CO9857" s="15"/>
    </row>
    <row r="9858" spans="93:93" x14ac:dyDescent="0.3">
      <c r="CO9858" s="15"/>
    </row>
    <row r="9859" spans="93:93" x14ac:dyDescent="0.3">
      <c r="CO9859" s="15"/>
    </row>
    <row r="9860" spans="93:93" x14ac:dyDescent="0.3">
      <c r="CO9860" s="15"/>
    </row>
    <row r="9861" spans="93:93" x14ac:dyDescent="0.3">
      <c r="CO9861" s="15"/>
    </row>
    <row r="9862" spans="93:93" x14ac:dyDescent="0.3">
      <c r="CO9862" s="15"/>
    </row>
    <row r="9863" spans="93:93" x14ac:dyDescent="0.3">
      <c r="CO9863" s="15"/>
    </row>
    <row r="9864" spans="93:93" x14ac:dyDescent="0.3">
      <c r="CO9864" s="15"/>
    </row>
    <row r="9865" spans="93:93" x14ac:dyDescent="0.3">
      <c r="CO9865" s="15"/>
    </row>
    <row r="9866" spans="93:93" x14ac:dyDescent="0.3">
      <c r="CO9866" s="15"/>
    </row>
    <row r="9867" spans="93:93" x14ac:dyDescent="0.3">
      <c r="CO9867" s="15"/>
    </row>
    <row r="9868" spans="93:93" x14ac:dyDescent="0.3">
      <c r="CO9868" s="15"/>
    </row>
    <row r="9869" spans="93:93" x14ac:dyDescent="0.3">
      <c r="CO9869" s="15"/>
    </row>
    <row r="9870" spans="93:93" x14ac:dyDescent="0.3">
      <c r="CO9870" s="15"/>
    </row>
    <row r="9871" spans="93:93" x14ac:dyDescent="0.3">
      <c r="CO9871" s="15"/>
    </row>
    <row r="9872" spans="93:93" x14ac:dyDescent="0.3">
      <c r="CO9872" s="15"/>
    </row>
    <row r="9873" spans="93:93" x14ac:dyDescent="0.3">
      <c r="CO9873" s="15"/>
    </row>
    <row r="9874" spans="93:93" x14ac:dyDescent="0.3">
      <c r="CO9874" s="15"/>
    </row>
    <row r="9875" spans="93:93" x14ac:dyDescent="0.3">
      <c r="CO9875" s="15"/>
    </row>
    <row r="9876" spans="93:93" x14ac:dyDescent="0.3">
      <c r="CO9876" s="15"/>
    </row>
    <row r="9877" spans="93:93" x14ac:dyDescent="0.3">
      <c r="CO9877" s="15"/>
    </row>
    <row r="9878" spans="93:93" x14ac:dyDescent="0.3">
      <c r="CO9878" s="15"/>
    </row>
    <row r="9879" spans="93:93" x14ac:dyDescent="0.3">
      <c r="CO9879" s="15"/>
    </row>
    <row r="9880" spans="93:93" x14ac:dyDescent="0.3">
      <c r="CO9880" s="15"/>
    </row>
    <row r="9881" spans="93:93" x14ac:dyDescent="0.3">
      <c r="CO9881" s="15"/>
    </row>
    <row r="9882" spans="93:93" x14ac:dyDescent="0.3">
      <c r="CO9882" s="15"/>
    </row>
    <row r="9883" spans="93:93" x14ac:dyDescent="0.3">
      <c r="CO9883" s="15"/>
    </row>
    <row r="9884" spans="93:93" x14ac:dyDescent="0.3">
      <c r="CO9884" s="15"/>
    </row>
    <row r="9885" spans="93:93" x14ac:dyDescent="0.3">
      <c r="CO9885" s="15"/>
    </row>
    <row r="9886" spans="93:93" x14ac:dyDescent="0.3">
      <c r="CO9886" s="15"/>
    </row>
    <row r="9887" spans="93:93" x14ac:dyDescent="0.3">
      <c r="CO9887" s="15"/>
    </row>
    <row r="9888" spans="93:93" x14ac:dyDescent="0.3">
      <c r="CO9888" s="15"/>
    </row>
    <row r="9889" spans="93:93" x14ac:dyDescent="0.3">
      <c r="CO9889" s="15"/>
    </row>
    <row r="9890" spans="93:93" x14ac:dyDescent="0.3">
      <c r="CO9890" s="15"/>
    </row>
    <row r="9891" spans="93:93" x14ac:dyDescent="0.3">
      <c r="CO9891" s="15"/>
    </row>
    <row r="9892" spans="93:93" x14ac:dyDescent="0.3">
      <c r="CO9892" s="15"/>
    </row>
    <row r="9893" spans="93:93" x14ac:dyDescent="0.3">
      <c r="CO9893" s="15"/>
    </row>
    <row r="9894" spans="93:93" x14ac:dyDescent="0.3">
      <c r="CO9894" s="15"/>
    </row>
    <row r="9895" spans="93:93" x14ac:dyDescent="0.3">
      <c r="CO9895" s="15"/>
    </row>
    <row r="9896" spans="93:93" x14ac:dyDescent="0.3">
      <c r="CO9896" s="15"/>
    </row>
    <row r="9897" spans="93:93" x14ac:dyDescent="0.3">
      <c r="CO9897" s="15"/>
    </row>
    <row r="9898" spans="93:93" x14ac:dyDescent="0.3">
      <c r="CO9898" s="15"/>
    </row>
    <row r="9899" spans="93:93" x14ac:dyDescent="0.3">
      <c r="CO9899" s="15"/>
    </row>
    <row r="9900" spans="93:93" x14ac:dyDescent="0.3">
      <c r="CO9900" s="15"/>
    </row>
    <row r="9901" spans="93:93" x14ac:dyDescent="0.3">
      <c r="CO9901" s="15"/>
    </row>
    <row r="9902" spans="93:93" x14ac:dyDescent="0.3">
      <c r="CO9902" s="15"/>
    </row>
    <row r="9903" spans="93:93" x14ac:dyDescent="0.3">
      <c r="CO9903" s="15"/>
    </row>
    <row r="9904" spans="93:93" x14ac:dyDescent="0.3">
      <c r="CO9904" s="15"/>
    </row>
    <row r="9905" spans="93:93" x14ac:dyDescent="0.3">
      <c r="CO9905" s="15"/>
    </row>
    <row r="9906" spans="93:93" x14ac:dyDescent="0.3">
      <c r="CO9906" s="15"/>
    </row>
    <row r="9907" spans="93:93" x14ac:dyDescent="0.3">
      <c r="CO9907" s="15"/>
    </row>
    <row r="9908" spans="93:93" x14ac:dyDescent="0.3">
      <c r="CO9908" s="15"/>
    </row>
    <row r="9909" spans="93:93" x14ac:dyDescent="0.3">
      <c r="CO9909" s="15"/>
    </row>
    <row r="9910" spans="93:93" x14ac:dyDescent="0.3">
      <c r="CO9910" s="15"/>
    </row>
    <row r="9911" spans="93:93" x14ac:dyDescent="0.3">
      <c r="CO9911" s="15"/>
    </row>
    <row r="9912" spans="93:93" x14ac:dyDescent="0.3">
      <c r="CO9912" s="15"/>
    </row>
    <row r="9913" spans="93:93" x14ac:dyDescent="0.3">
      <c r="CO9913" s="15"/>
    </row>
    <row r="9914" spans="93:93" x14ac:dyDescent="0.3">
      <c r="CO9914" s="15"/>
    </row>
    <row r="9915" spans="93:93" x14ac:dyDescent="0.3">
      <c r="CO9915" s="15"/>
    </row>
    <row r="9916" spans="93:93" x14ac:dyDescent="0.3">
      <c r="CO9916" s="15"/>
    </row>
    <row r="9917" spans="93:93" x14ac:dyDescent="0.3">
      <c r="CO9917" s="15"/>
    </row>
    <row r="9918" spans="93:93" x14ac:dyDescent="0.3">
      <c r="CO9918" s="15"/>
    </row>
    <row r="9919" spans="93:93" x14ac:dyDescent="0.3">
      <c r="CO9919" s="15"/>
    </row>
    <row r="9920" spans="93:93" x14ac:dyDescent="0.3">
      <c r="CO9920" s="15"/>
    </row>
    <row r="9921" spans="93:93" x14ac:dyDescent="0.3">
      <c r="CO9921" s="15"/>
    </row>
    <row r="9922" spans="93:93" x14ac:dyDescent="0.3">
      <c r="CO9922" s="15"/>
    </row>
    <row r="9923" spans="93:93" x14ac:dyDescent="0.3">
      <c r="CO9923" s="15"/>
    </row>
    <row r="9924" spans="93:93" x14ac:dyDescent="0.3">
      <c r="CO9924" s="15"/>
    </row>
    <row r="9925" spans="93:93" x14ac:dyDescent="0.3">
      <c r="CO9925" s="15"/>
    </row>
    <row r="9926" spans="93:93" x14ac:dyDescent="0.3">
      <c r="CO9926" s="15"/>
    </row>
    <row r="9927" spans="93:93" x14ac:dyDescent="0.3">
      <c r="CO9927" s="15"/>
    </row>
    <row r="9928" spans="93:93" x14ac:dyDescent="0.3">
      <c r="CO9928" s="15"/>
    </row>
    <row r="9929" spans="93:93" x14ac:dyDescent="0.3">
      <c r="CO9929" s="15"/>
    </row>
    <row r="9930" spans="93:93" x14ac:dyDescent="0.3">
      <c r="CO9930" s="15"/>
    </row>
    <row r="9931" spans="93:93" x14ac:dyDescent="0.3">
      <c r="CO9931" s="15"/>
    </row>
    <row r="9932" spans="93:93" x14ac:dyDescent="0.3">
      <c r="CO9932" s="15"/>
    </row>
    <row r="9933" spans="93:93" x14ac:dyDescent="0.3">
      <c r="CO9933" s="15"/>
    </row>
    <row r="9934" spans="93:93" x14ac:dyDescent="0.3">
      <c r="CO9934" s="15"/>
    </row>
    <row r="9935" spans="93:93" x14ac:dyDescent="0.3">
      <c r="CO9935" s="15"/>
    </row>
    <row r="9936" spans="93:93" x14ac:dyDescent="0.3">
      <c r="CO9936" s="15"/>
    </row>
    <row r="9937" spans="93:93" x14ac:dyDescent="0.3">
      <c r="CO9937" s="15"/>
    </row>
    <row r="9938" spans="93:93" x14ac:dyDescent="0.3">
      <c r="CO9938" s="15"/>
    </row>
    <row r="9939" spans="93:93" x14ac:dyDescent="0.3">
      <c r="CO9939" s="15"/>
    </row>
    <row r="9940" spans="93:93" x14ac:dyDescent="0.3">
      <c r="CO9940" s="15"/>
    </row>
    <row r="9941" spans="93:93" x14ac:dyDescent="0.3">
      <c r="CO9941" s="15"/>
    </row>
    <row r="9942" spans="93:93" x14ac:dyDescent="0.3">
      <c r="CO9942" s="15"/>
    </row>
    <row r="9943" spans="93:93" x14ac:dyDescent="0.3">
      <c r="CO9943" s="15"/>
    </row>
    <row r="9944" spans="93:93" x14ac:dyDescent="0.3">
      <c r="CO9944" s="15"/>
    </row>
    <row r="9945" spans="93:93" x14ac:dyDescent="0.3">
      <c r="CO9945" s="15"/>
    </row>
    <row r="9946" spans="93:93" x14ac:dyDescent="0.3">
      <c r="CO9946" s="15"/>
    </row>
    <row r="9947" spans="93:93" x14ac:dyDescent="0.3">
      <c r="CO9947" s="15"/>
    </row>
    <row r="9948" spans="93:93" x14ac:dyDescent="0.3">
      <c r="CO9948" s="15"/>
    </row>
    <row r="9949" spans="93:93" x14ac:dyDescent="0.3">
      <c r="CO9949" s="15"/>
    </row>
    <row r="9950" spans="93:93" x14ac:dyDescent="0.3">
      <c r="CO9950" s="15"/>
    </row>
    <row r="9951" spans="93:93" x14ac:dyDescent="0.3">
      <c r="CO9951" s="15"/>
    </row>
    <row r="9952" spans="93:93" x14ac:dyDescent="0.3">
      <c r="CO9952" s="15"/>
    </row>
    <row r="9953" spans="93:93" x14ac:dyDescent="0.3">
      <c r="CO9953" s="15"/>
    </row>
    <row r="9954" spans="93:93" x14ac:dyDescent="0.3">
      <c r="CO9954" s="15"/>
    </row>
    <row r="9955" spans="93:93" x14ac:dyDescent="0.3">
      <c r="CO9955" s="15"/>
    </row>
    <row r="9956" spans="93:93" x14ac:dyDescent="0.3">
      <c r="CO9956" s="15"/>
    </row>
    <row r="9957" spans="93:93" x14ac:dyDescent="0.3">
      <c r="CO9957" s="15"/>
    </row>
    <row r="9958" spans="93:93" x14ac:dyDescent="0.3">
      <c r="CO9958" s="15"/>
    </row>
    <row r="9959" spans="93:93" x14ac:dyDescent="0.3">
      <c r="CO9959" s="15"/>
    </row>
    <row r="9960" spans="93:93" x14ac:dyDescent="0.3">
      <c r="CO9960" s="15"/>
    </row>
    <row r="9961" spans="93:93" x14ac:dyDescent="0.3">
      <c r="CO9961" s="15"/>
    </row>
    <row r="9962" spans="93:93" x14ac:dyDescent="0.3">
      <c r="CO9962" s="15"/>
    </row>
    <row r="9963" spans="93:93" x14ac:dyDescent="0.3">
      <c r="CO9963" s="15"/>
    </row>
    <row r="9964" spans="93:93" x14ac:dyDescent="0.3">
      <c r="CO9964" s="15"/>
    </row>
    <row r="9965" spans="93:93" x14ac:dyDescent="0.3">
      <c r="CO9965" s="15"/>
    </row>
    <row r="9966" spans="93:93" x14ac:dyDescent="0.3">
      <c r="CO9966" s="15"/>
    </row>
    <row r="9967" spans="93:93" x14ac:dyDescent="0.3">
      <c r="CO9967" s="15"/>
    </row>
    <row r="9968" spans="93:93" x14ac:dyDescent="0.3">
      <c r="CO9968" s="15"/>
    </row>
    <row r="9969" spans="93:93" x14ac:dyDescent="0.3">
      <c r="CO9969" s="15"/>
    </row>
    <row r="9970" spans="93:93" x14ac:dyDescent="0.3">
      <c r="CO9970" s="15"/>
    </row>
    <row r="9971" spans="93:93" x14ac:dyDescent="0.3">
      <c r="CO9971" s="15"/>
    </row>
    <row r="9972" spans="93:93" x14ac:dyDescent="0.3">
      <c r="CO9972" s="15"/>
    </row>
    <row r="9973" spans="93:93" x14ac:dyDescent="0.3">
      <c r="CO9973" s="15"/>
    </row>
    <row r="9974" spans="93:93" x14ac:dyDescent="0.3">
      <c r="CO9974" s="15"/>
    </row>
    <row r="9975" spans="93:93" x14ac:dyDescent="0.3">
      <c r="CO9975" s="15"/>
    </row>
    <row r="9976" spans="93:93" x14ac:dyDescent="0.3">
      <c r="CO9976" s="15"/>
    </row>
    <row r="9977" spans="93:93" x14ac:dyDescent="0.3">
      <c r="CO9977" s="15"/>
    </row>
    <row r="9978" spans="93:93" x14ac:dyDescent="0.3">
      <c r="CO9978" s="15"/>
    </row>
    <row r="9979" spans="93:93" x14ac:dyDescent="0.3">
      <c r="CO9979" s="15"/>
    </row>
    <row r="9980" spans="93:93" x14ac:dyDescent="0.3">
      <c r="CO9980" s="15"/>
    </row>
    <row r="9981" spans="93:93" x14ac:dyDescent="0.3">
      <c r="CO9981" s="15"/>
    </row>
    <row r="9982" spans="93:93" x14ac:dyDescent="0.3">
      <c r="CO9982" s="15"/>
    </row>
    <row r="9983" spans="93:93" x14ac:dyDescent="0.3">
      <c r="CO9983" s="15"/>
    </row>
    <row r="9984" spans="93:93" x14ac:dyDescent="0.3">
      <c r="CO9984" s="15"/>
    </row>
    <row r="9985" spans="93:93" x14ac:dyDescent="0.3">
      <c r="CO9985" s="15"/>
    </row>
    <row r="9986" spans="93:93" x14ac:dyDescent="0.3">
      <c r="CO9986" s="15"/>
    </row>
    <row r="9987" spans="93:93" x14ac:dyDescent="0.3">
      <c r="CO9987" s="15"/>
    </row>
    <row r="9988" spans="93:93" x14ac:dyDescent="0.3">
      <c r="CO9988" s="15"/>
    </row>
    <row r="9989" spans="93:93" x14ac:dyDescent="0.3">
      <c r="CO9989" s="15"/>
    </row>
    <row r="9990" spans="93:93" x14ac:dyDescent="0.3">
      <c r="CO9990" s="15"/>
    </row>
    <row r="9991" spans="93:93" x14ac:dyDescent="0.3">
      <c r="CO9991" s="15"/>
    </row>
    <row r="9992" spans="93:93" x14ac:dyDescent="0.3">
      <c r="CO9992" s="15"/>
    </row>
    <row r="9993" spans="93:93" x14ac:dyDescent="0.3">
      <c r="CO9993" s="15"/>
    </row>
    <row r="9994" spans="93:93" x14ac:dyDescent="0.3">
      <c r="CO9994" s="15"/>
    </row>
    <row r="9995" spans="93:93" x14ac:dyDescent="0.3">
      <c r="CO9995" s="15"/>
    </row>
    <row r="9996" spans="93:93" x14ac:dyDescent="0.3">
      <c r="CO9996" s="15"/>
    </row>
    <row r="9997" spans="93:93" x14ac:dyDescent="0.3">
      <c r="CO9997" s="15"/>
    </row>
    <row r="9998" spans="93:93" x14ac:dyDescent="0.3">
      <c r="CO9998" s="15"/>
    </row>
    <row r="9999" spans="93:93" x14ac:dyDescent="0.3">
      <c r="CO9999" s="15"/>
    </row>
    <row r="10000" spans="93:93" x14ac:dyDescent="0.3">
      <c r="CO10000" s="15"/>
    </row>
  </sheetData>
  <autoFilter ref="A2:DA108" xr:uid="{FFD33B44-DCA5-49FB-8B1E-AE9D999795C1}">
    <sortState xmlns:xlrd2="http://schemas.microsoft.com/office/spreadsheetml/2017/richdata2" ref="A3:DA108">
      <sortCondition ref="D2:D106"/>
    </sortState>
  </autoFilter>
  <pageMargins left="0.7" right="0.7" top="0.75" bottom="0.75" header="0.3" footer="0.3"/>
  <headerFooter>
    <oddFooter>&amp;C_x000D_&amp;1#&amp;"Calibri"&amp;8&amp;K000000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11EFD-D654-46C5-8296-C0B465ACECFB}">
  <dimension ref="A1:G80"/>
  <sheetViews>
    <sheetView workbookViewId="0"/>
  </sheetViews>
  <sheetFormatPr defaultRowHeight="14.4" x14ac:dyDescent="0.3"/>
  <cols>
    <col min="1" max="7" width="8.88671875" customWidth="1"/>
  </cols>
  <sheetData>
    <row r="1" spans="1:7" s="1" customFormat="1" x14ac:dyDescent="0.3">
      <c r="A1" s="1" t="s">
        <v>0</v>
      </c>
      <c r="B1" s="1" t="s">
        <v>1</v>
      </c>
      <c r="C1" s="1" t="s">
        <v>82</v>
      </c>
      <c r="D1" s="1" t="s">
        <v>2</v>
      </c>
      <c r="E1" s="1" t="s">
        <v>83</v>
      </c>
      <c r="F1" s="1" t="s">
        <v>84</v>
      </c>
      <c r="G1" s="1" t="s">
        <v>85</v>
      </c>
    </row>
    <row r="2" spans="1:7" x14ac:dyDescent="0.3">
      <c r="A2">
        <v>1</v>
      </c>
      <c r="B2" t="s">
        <v>4</v>
      </c>
      <c r="C2" s="18">
        <v>113.3</v>
      </c>
      <c r="D2">
        <v>8</v>
      </c>
      <c r="E2" s="18">
        <v>20.2</v>
      </c>
      <c r="F2" s="2">
        <v>0.2298611111111111</v>
      </c>
      <c r="G2" s="3">
        <v>1338</v>
      </c>
    </row>
    <row r="3" spans="1:7" x14ac:dyDescent="0.3">
      <c r="A3">
        <v>2</v>
      </c>
      <c r="B3" t="s">
        <v>5</v>
      </c>
      <c r="C3" s="18">
        <v>76</v>
      </c>
      <c r="D3">
        <v>5</v>
      </c>
      <c r="E3" s="18">
        <v>20.399999999999999</v>
      </c>
      <c r="F3" s="2">
        <v>0.31874999999999998</v>
      </c>
      <c r="G3" s="3">
        <v>2129</v>
      </c>
    </row>
    <row r="4" spans="1:7" x14ac:dyDescent="0.3">
      <c r="A4">
        <v>3</v>
      </c>
      <c r="B4" t="s">
        <v>6</v>
      </c>
      <c r="C4" s="18">
        <v>64.400000000000006</v>
      </c>
      <c r="D4">
        <v>2</v>
      </c>
      <c r="E4" s="18">
        <v>53.9</v>
      </c>
      <c r="F4" s="2">
        <v>0.38750000000000001</v>
      </c>
      <c r="G4" s="3">
        <v>2493</v>
      </c>
    </row>
    <row r="5" spans="1:7" x14ac:dyDescent="0.3">
      <c r="A5">
        <v>4</v>
      </c>
      <c r="B5" t="s">
        <v>7</v>
      </c>
      <c r="C5" s="18">
        <v>60.9</v>
      </c>
      <c r="D5">
        <v>6</v>
      </c>
      <c r="E5" s="18">
        <v>15</v>
      </c>
      <c r="F5" s="2">
        <v>0.31805555555555554</v>
      </c>
      <c r="G5" s="3">
        <v>1907</v>
      </c>
    </row>
    <row r="6" spans="1:7" x14ac:dyDescent="0.3">
      <c r="A6">
        <v>5</v>
      </c>
      <c r="B6" t="s">
        <v>8</v>
      </c>
      <c r="C6" s="18">
        <v>60.4</v>
      </c>
      <c r="D6">
        <v>5</v>
      </c>
      <c r="E6" s="18">
        <v>20</v>
      </c>
      <c r="F6" s="2">
        <v>0.19166666666666668</v>
      </c>
      <c r="G6" s="3">
        <v>187</v>
      </c>
    </row>
    <row r="7" spans="1:7" x14ac:dyDescent="0.3">
      <c r="A7">
        <v>6</v>
      </c>
      <c r="B7" t="s">
        <v>9</v>
      </c>
      <c r="C7" s="18">
        <v>59.2</v>
      </c>
      <c r="D7">
        <v>5</v>
      </c>
      <c r="E7" s="18">
        <v>14.1</v>
      </c>
      <c r="F7" s="2">
        <v>0.25416666666666665</v>
      </c>
      <c r="G7" s="3">
        <v>381</v>
      </c>
    </row>
    <row r="8" spans="1:7" x14ac:dyDescent="0.3">
      <c r="A8">
        <v>7</v>
      </c>
      <c r="B8" t="s">
        <v>10</v>
      </c>
      <c r="C8" s="18">
        <v>56.7</v>
      </c>
      <c r="D8">
        <v>7</v>
      </c>
      <c r="E8" s="18">
        <v>12</v>
      </c>
      <c r="F8" s="2">
        <v>0.22291666666666668</v>
      </c>
      <c r="G8" s="3">
        <v>328</v>
      </c>
    </row>
    <row r="9" spans="1:7" x14ac:dyDescent="0.3">
      <c r="A9">
        <v>8</v>
      </c>
      <c r="B9" t="s">
        <v>11</v>
      </c>
      <c r="C9" s="18">
        <v>56.1</v>
      </c>
      <c r="D9">
        <v>8</v>
      </c>
      <c r="E9" s="18">
        <v>19</v>
      </c>
      <c r="F9" s="2">
        <v>0.21527777777777779</v>
      </c>
      <c r="G9" s="3">
        <v>216</v>
      </c>
    </row>
    <row r="10" spans="1:7" x14ac:dyDescent="0.3">
      <c r="A10">
        <v>9</v>
      </c>
      <c r="B10" t="s">
        <v>12</v>
      </c>
      <c r="C10" s="18">
        <v>54.7</v>
      </c>
      <c r="D10">
        <v>6</v>
      </c>
      <c r="E10" s="18">
        <v>11.8</v>
      </c>
      <c r="F10" s="2">
        <v>0.2673611111111111</v>
      </c>
      <c r="G10" s="3">
        <v>463</v>
      </c>
    </row>
    <row r="11" spans="1:7" x14ac:dyDescent="0.3">
      <c r="A11">
        <v>10</v>
      </c>
      <c r="B11" t="s">
        <v>13</v>
      </c>
      <c r="C11" s="18">
        <v>53.2</v>
      </c>
      <c r="D11">
        <v>6</v>
      </c>
      <c r="E11" s="18">
        <v>12</v>
      </c>
      <c r="F11" s="2">
        <v>0.21041666666666667</v>
      </c>
      <c r="G11" s="3">
        <v>208</v>
      </c>
    </row>
    <row r="12" spans="1:7" x14ac:dyDescent="0.3">
      <c r="A12">
        <v>11</v>
      </c>
      <c r="B12" t="s">
        <v>14</v>
      </c>
      <c r="C12" s="18">
        <v>51.2</v>
      </c>
      <c r="D12">
        <v>5</v>
      </c>
      <c r="E12" s="18">
        <v>14</v>
      </c>
      <c r="F12" s="2">
        <v>0.24097222222222223</v>
      </c>
      <c r="G12" s="3">
        <v>275</v>
      </c>
    </row>
    <row r="13" spans="1:7" x14ac:dyDescent="0.3">
      <c r="A13">
        <v>12</v>
      </c>
      <c r="B13" t="s">
        <v>15</v>
      </c>
      <c r="C13" s="18">
        <v>47.1</v>
      </c>
      <c r="D13">
        <v>4</v>
      </c>
      <c r="E13" s="18">
        <v>15</v>
      </c>
      <c r="F13" s="2">
        <v>0.2986111111111111</v>
      </c>
      <c r="G13" s="3">
        <v>1304</v>
      </c>
    </row>
    <row r="14" spans="1:7" x14ac:dyDescent="0.3">
      <c r="A14">
        <v>13</v>
      </c>
      <c r="B14" t="s">
        <v>16</v>
      </c>
      <c r="C14" s="18">
        <v>45.7</v>
      </c>
      <c r="D14">
        <v>5</v>
      </c>
      <c r="E14" s="18">
        <v>12.6</v>
      </c>
      <c r="F14" s="2">
        <v>0.26944444444444443</v>
      </c>
      <c r="G14" s="3">
        <v>782</v>
      </c>
    </row>
    <row r="15" spans="1:7" x14ac:dyDescent="0.3">
      <c r="A15">
        <v>14</v>
      </c>
      <c r="B15" t="s">
        <v>17</v>
      </c>
      <c r="C15" s="18">
        <v>45.4</v>
      </c>
      <c r="D15">
        <v>4</v>
      </c>
      <c r="E15" s="18">
        <v>11.6</v>
      </c>
      <c r="F15" s="2">
        <v>0.37847222222222221</v>
      </c>
      <c r="G15" s="3">
        <v>1169</v>
      </c>
    </row>
    <row r="16" spans="1:7" x14ac:dyDescent="0.3">
      <c r="A16">
        <v>15</v>
      </c>
      <c r="B16" t="s">
        <v>18</v>
      </c>
      <c r="C16" s="18">
        <v>44.2</v>
      </c>
      <c r="D16">
        <v>3</v>
      </c>
      <c r="E16" s="18">
        <v>23.3</v>
      </c>
      <c r="F16" s="2">
        <v>0.31388888888888888</v>
      </c>
      <c r="G16" s="3">
        <v>1306</v>
      </c>
    </row>
    <row r="17" spans="1:7" x14ac:dyDescent="0.3">
      <c r="A17">
        <v>16</v>
      </c>
      <c r="B17" t="s">
        <v>19</v>
      </c>
      <c r="C17" s="18">
        <v>44.1</v>
      </c>
      <c r="D17">
        <v>3</v>
      </c>
      <c r="E17" s="18">
        <v>19</v>
      </c>
      <c r="F17" s="2">
        <v>0.20972222222222223</v>
      </c>
      <c r="G17" s="3">
        <v>569</v>
      </c>
    </row>
    <row r="18" spans="1:7" x14ac:dyDescent="0.3">
      <c r="A18">
        <v>17</v>
      </c>
      <c r="B18" t="s">
        <v>20</v>
      </c>
      <c r="C18" s="18">
        <v>42.7</v>
      </c>
      <c r="D18">
        <v>3</v>
      </c>
      <c r="E18" s="18">
        <v>19.600000000000001</v>
      </c>
      <c r="F18" s="2">
        <v>0.2902777777777778</v>
      </c>
      <c r="G18" s="3">
        <v>1228</v>
      </c>
    </row>
    <row r="19" spans="1:7" x14ac:dyDescent="0.3">
      <c r="A19">
        <v>18</v>
      </c>
      <c r="B19" t="s">
        <v>21</v>
      </c>
      <c r="C19" s="18">
        <v>42</v>
      </c>
      <c r="D19">
        <v>4</v>
      </c>
      <c r="E19" s="18">
        <v>22</v>
      </c>
      <c r="F19" s="2">
        <v>0.26805555555555555</v>
      </c>
      <c r="G19" s="3">
        <v>88</v>
      </c>
    </row>
    <row r="20" spans="1:7" x14ac:dyDescent="0.3">
      <c r="A20">
        <v>19</v>
      </c>
      <c r="B20" t="s">
        <v>22</v>
      </c>
      <c r="C20" s="18">
        <v>38.700000000000003</v>
      </c>
      <c r="D20">
        <v>3</v>
      </c>
      <c r="E20" s="18">
        <v>22.4</v>
      </c>
      <c r="F20" s="2">
        <v>0.27152777777777776</v>
      </c>
      <c r="G20" s="20">
        <v>244</v>
      </c>
    </row>
    <row r="21" spans="1:7" x14ac:dyDescent="0.3">
      <c r="A21">
        <v>20</v>
      </c>
      <c r="B21" t="s">
        <v>23</v>
      </c>
      <c r="C21" s="18">
        <v>38.299999999999997</v>
      </c>
      <c r="D21">
        <v>3</v>
      </c>
      <c r="E21" s="18">
        <v>18.3</v>
      </c>
      <c r="F21" s="2">
        <v>0.26041666666666669</v>
      </c>
      <c r="G21" s="3">
        <v>530</v>
      </c>
    </row>
    <row r="22" spans="1:7" x14ac:dyDescent="0.3">
      <c r="A22">
        <v>21</v>
      </c>
      <c r="B22" t="s">
        <v>24</v>
      </c>
      <c r="C22" s="18">
        <v>35.700000000000003</v>
      </c>
      <c r="D22">
        <v>3</v>
      </c>
      <c r="E22" s="18">
        <v>12</v>
      </c>
      <c r="F22" s="2">
        <v>0.32569444444444445</v>
      </c>
      <c r="G22" s="3">
        <v>751</v>
      </c>
    </row>
    <row r="23" spans="1:7" x14ac:dyDescent="0.3">
      <c r="A23">
        <v>22</v>
      </c>
      <c r="B23" t="s">
        <v>25</v>
      </c>
      <c r="C23" s="18">
        <v>35.6</v>
      </c>
      <c r="D23">
        <v>3</v>
      </c>
      <c r="E23" s="18">
        <v>13.1</v>
      </c>
      <c r="F23" s="2">
        <v>0.36041666666666666</v>
      </c>
      <c r="G23" s="3">
        <v>1149</v>
      </c>
    </row>
    <row r="24" spans="1:7" x14ac:dyDescent="0.3">
      <c r="A24">
        <v>23</v>
      </c>
      <c r="B24" t="s">
        <v>26</v>
      </c>
      <c r="C24" s="18">
        <v>35.200000000000003</v>
      </c>
      <c r="D24">
        <v>3</v>
      </c>
      <c r="E24" s="18">
        <v>14.5</v>
      </c>
      <c r="F24" s="2">
        <v>0.29097222222222224</v>
      </c>
      <c r="G24" s="3">
        <v>253</v>
      </c>
    </row>
    <row r="25" spans="1:7" x14ac:dyDescent="0.3">
      <c r="A25">
        <v>24</v>
      </c>
      <c r="B25" t="s">
        <v>27</v>
      </c>
      <c r="C25" s="18">
        <v>35.1</v>
      </c>
      <c r="D25">
        <v>3</v>
      </c>
      <c r="E25" s="18">
        <v>12.1</v>
      </c>
      <c r="F25" s="2">
        <v>0.34652777777777777</v>
      </c>
      <c r="G25" s="3">
        <v>667</v>
      </c>
    </row>
    <row r="26" spans="1:7" x14ac:dyDescent="0.3">
      <c r="A26">
        <v>25</v>
      </c>
      <c r="B26" t="s">
        <v>28</v>
      </c>
      <c r="C26" s="18">
        <v>30.9</v>
      </c>
      <c r="D26">
        <v>2</v>
      </c>
      <c r="E26" s="18">
        <v>21.1</v>
      </c>
      <c r="F26" s="2">
        <v>0.26041666666666669</v>
      </c>
      <c r="G26" s="3">
        <v>32</v>
      </c>
    </row>
    <row r="27" spans="1:7" x14ac:dyDescent="0.3">
      <c r="A27">
        <v>26</v>
      </c>
      <c r="B27" t="s">
        <v>29</v>
      </c>
      <c r="C27" s="18">
        <v>30.7</v>
      </c>
      <c r="D27">
        <v>3</v>
      </c>
      <c r="E27" s="18">
        <v>12.1</v>
      </c>
      <c r="F27" s="2">
        <v>0.25208333333333333</v>
      </c>
      <c r="G27" s="3">
        <v>327</v>
      </c>
    </row>
    <row r="28" spans="1:7" x14ac:dyDescent="0.3">
      <c r="A28">
        <v>27</v>
      </c>
      <c r="B28" t="s">
        <v>30</v>
      </c>
      <c r="C28" s="18">
        <v>30.6</v>
      </c>
      <c r="D28">
        <v>7</v>
      </c>
      <c r="E28" s="18">
        <v>8.1999999999999993</v>
      </c>
      <c r="F28" s="2">
        <v>0.27361111111111114</v>
      </c>
      <c r="G28" s="3">
        <v>216</v>
      </c>
    </row>
    <row r="29" spans="1:7" x14ac:dyDescent="0.3">
      <c r="A29">
        <v>28</v>
      </c>
      <c r="B29" t="s">
        <v>31</v>
      </c>
      <c r="C29" s="18">
        <v>29</v>
      </c>
      <c r="D29">
        <v>2</v>
      </c>
      <c r="E29" s="18">
        <v>19.7</v>
      </c>
      <c r="F29" s="2">
        <v>0.30416666666666664</v>
      </c>
      <c r="G29" s="3">
        <v>731</v>
      </c>
    </row>
    <row r="30" spans="1:7" x14ac:dyDescent="0.3">
      <c r="A30">
        <v>29</v>
      </c>
      <c r="B30" t="s">
        <v>221</v>
      </c>
      <c r="C30" s="18">
        <v>27.4</v>
      </c>
      <c r="D30">
        <v>2</v>
      </c>
      <c r="E30" s="18">
        <v>14.4</v>
      </c>
      <c r="F30" s="2">
        <v>0.27638888888888891</v>
      </c>
      <c r="G30" s="3">
        <v>642</v>
      </c>
    </row>
    <row r="31" spans="1:7" x14ac:dyDescent="0.3">
      <c r="A31">
        <v>30</v>
      </c>
      <c r="B31" t="s">
        <v>32</v>
      </c>
      <c r="C31" s="18">
        <v>26.2</v>
      </c>
      <c r="D31">
        <v>6</v>
      </c>
      <c r="E31" s="18">
        <v>6.2</v>
      </c>
      <c r="F31" s="2">
        <v>0.26041666666666669</v>
      </c>
      <c r="G31" s="3">
        <v>350</v>
      </c>
    </row>
    <row r="32" spans="1:7" x14ac:dyDescent="0.3">
      <c r="A32">
        <v>31</v>
      </c>
      <c r="B32" t="s">
        <v>33</v>
      </c>
      <c r="C32" s="18">
        <v>25.9</v>
      </c>
      <c r="D32">
        <v>4</v>
      </c>
      <c r="E32" s="18">
        <v>7.6</v>
      </c>
      <c r="F32" s="2">
        <v>0.28402777777777777</v>
      </c>
      <c r="G32" s="3">
        <v>310</v>
      </c>
    </row>
    <row r="33" spans="1:7" x14ac:dyDescent="0.3">
      <c r="A33">
        <v>32</v>
      </c>
      <c r="B33" t="s">
        <v>34</v>
      </c>
      <c r="C33" s="18">
        <v>25.3</v>
      </c>
      <c r="D33">
        <v>3</v>
      </c>
      <c r="E33" s="18">
        <v>10.9</v>
      </c>
      <c r="F33" s="2">
        <v>0.24652777777777779</v>
      </c>
      <c r="G33" s="3">
        <v>175</v>
      </c>
    </row>
    <row r="34" spans="1:7" x14ac:dyDescent="0.3">
      <c r="A34">
        <v>33</v>
      </c>
      <c r="B34" t="s">
        <v>35</v>
      </c>
      <c r="C34" s="18">
        <v>25</v>
      </c>
      <c r="D34">
        <v>2</v>
      </c>
      <c r="E34" s="18">
        <v>17</v>
      </c>
      <c r="F34" s="2">
        <v>0.20277777777777778</v>
      </c>
      <c r="G34" s="3">
        <v>262</v>
      </c>
    </row>
    <row r="35" spans="1:7" x14ac:dyDescent="0.3">
      <c r="A35">
        <v>34</v>
      </c>
      <c r="B35" t="s">
        <v>36</v>
      </c>
      <c r="C35" s="18">
        <v>24.1</v>
      </c>
      <c r="D35">
        <v>3</v>
      </c>
      <c r="E35" s="18">
        <v>11.5</v>
      </c>
      <c r="F35" s="2">
        <v>0.34861111111111109</v>
      </c>
      <c r="G35" s="3">
        <v>524</v>
      </c>
    </row>
    <row r="36" spans="1:7" x14ac:dyDescent="0.3">
      <c r="A36">
        <v>35</v>
      </c>
      <c r="B36" t="s">
        <v>37</v>
      </c>
      <c r="C36" s="18">
        <v>23.3</v>
      </c>
      <c r="D36">
        <v>1</v>
      </c>
      <c r="E36" s="18">
        <v>23.3</v>
      </c>
      <c r="F36" s="2">
        <v>0.42986111111111114</v>
      </c>
      <c r="G36" s="3">
        <v>817</v>
      </c>
    </row>
    <row r="37" spans="1:7" x14ac:dyDescent="0.3">
      <c r="A37">
        <v>36</v>
      </c>
      <c r="B37" t="s">
        <v>38</v>
      </c>
      <c r="C37" s="18">
        <v>23.1</v>
      </c>
      <c r="D37">
        <v>7</v>
      </c>
      <c r="E37" s="18">
        <v>6</v>
      </c>
      <c r="F37" s="2">
        <v>0.26111111111111113</v>
      </c>
      <c r="G37" s="3">
        <v>336</v>
      </c>
    </row>
    <row r="38" spans="1:7" x14ac:dyDescent="0.3">
      <c r="A38">
        <v>37</v>
      </c>
      <c r="B38" t="s">
        <v>39</v>
      </c>
      <c r="C38" s="18">
        <v>22.9</v>
      </c>
      <c r="D38">
        <v>2</v>
      </c>
      <c r="E38" s="18">
        <v>11.8</v>
      </c>
      <c r="F38" s="2">
        <v>0.3263888888888889</v>
      </c>
      <c r="G38" s="3">
        <v>635</v>
      </c>
    </row>
    <row r="39" spans="1:7" x14ac:dyDescent="0.3">
      <c r="A39">
        <v>38</v>
      </c>
      <c r="B39" t="s">
        <v>40</v>
      </c>
      <c r="C39" s="18">
        <v>22.8</v>
      </c>
      <c r="D39">
        <v>3</v>
      </c>
      <c r="E39" s="18">
        <v>8.5</v>
      </c>
      <c r="F39" s="2">
        <v>0.27777777777777779</v>
      </c>
      <c r="G39" s="3">
        <v>276</v>
      </c>
    </row>
    <row r="40" spans="1:7" x14ac:dyDescent="0.3">
      <c r="A40">
        <v>39</v>
      </c>
      <c r="B40" t="s">
        <v>41</v>
      </c>
      <c r="C40" s="18">
        <v>22.8</v>
      </c>
      <c r="D40">
        <v>2</v>
      </c>
      <c r="E40" s="18">
        <v>12.6</v>
      </c>
      <c r="F40" s="2">
        <v>0.28333333333333333</v>
      </c>
      <c r="G40" s="3">
        <v>517</v>
      </c>
    </row>
    <row r="41" spans="1:7" x14ac:dyDescent="0.3">
      <c r="A41">
        <v>40</v>
      </c>
      <c r="B41" t="s">
        <v>42</v>
      </c>
      <c r="C41" s="18">
        <v>22.6</v>
      </c>
      <c r="D41">
        <v>3</v>
      </c>
      <c r="E41" s="18">
        <v>9.1</v>
      </c>
      <c r="F41" s="2">
        <v>0.26458333333333334</v>
      </c>
      <c r="G41" s="3">
        <v>69</v>
      </c>
    </row>
    <row r="42" spans="1:7" x14ac:dyDescent="0.3">
      <c r="A42">
        <v>41</v>
      </c>
      <c r="B42" t="s">
        <v>43</v>
      </c>
      <c r="C42" s="18">
        <v>22.3</v>
      </c>
      <c r="D42">
        <v>2</v>
      </c>
      <c r="E42" s="18">
        <v>12.1</v>
      </c>
      <c r="F42" s="2">
        <v>0.32777777777777778</v>
      </c>
      <c r="G42" s="3">
        <v>528</v>
      </c>
    </row>
    <row r="43" spans="1:7" x14ac:dyDescent="0.3">
      <c r="A43">
        <v>42</v>
      </c>
      <c r="B43" t="s">
        <v>44</v>
      </c>
      <c r="C43" s="18">
        <v>22.2</v>
      </c>
      <c r="D43">
        <v>2</v>
      </c>
      <c r="E43" s="18">
        <v>12</v>
      </c>
      <c r="F43" s="2">
        <v>0.24374999999999999</v>
      </c>
      <c r="G43" s="3">
        <v>249</v>
      </c>
    </row>
    <row r="44" spans="1:7" x14ac:dyDescent="0.3">
      <c r="A44">
        <v>43</v>
      </c>
      <c r="B44" t="s">
        <v>45</v>
      </c>
      <c r="C44" s="18">
        <v>20.100000000000001</v>
      </c>
      <c r="D44">
        <v>2</v>
      </c>
      <c r="E44" s="18">
        <v>10</v>
      </c>
      <c r="F44" s="2">
        <v>0.37152777777777779</v>
      </c>
      <c r="G44" s="3">
        <v>121</v>
      </c>
    </row>
    <row r="45" spans="1:7" x14ac:dyDescent="0.3">
      <c r="A45">
        <v>44</v>
      </c>
      <c r="B45" t="s">
        <v>46</v>
      </c>
      <c r="C45" s="18">
        <v>20</v>
      </c>
      <c r="D45">
        <v>2</v>
      </c>
      <c r="E45" s="18">
        <v>10</v>
      </c>
      <c r="F45" s="2">
        <v>0.25416666666666665</v>
      </c>
      <c r="G45" s="3">
        <v>113</v>
      </c>
    </row>
    <row r="46" spans="1:7" x14ac:dyDescent="0.3">
      <c r="A46">
        <v>45</v>
      </c>
      <c r="B46" t="s">
        <v>47</v>
      </c>
      <c r="C46" s="18">
        <v>18.600000000000001</v>
      </c>
      <c r="D46">
        <v>9</v>
      </c>
      <c r="E46" s="18">
        <v>10.3</v>
      </c>
      <c r="F46" s="2">
        <v>0.89027777777777772</v>
      </c>
      <c r="G46" s="3">
        <v>98</v>
      </c>
    </row>
    <row r="47" spans="1:7" x14ac:dyDescent="0.3">
      <c r="A47">
        <v>46</v>
      </c>
      <c r="B47" t="s">
        <v>48</v>
      </c>
      <c r="C47" s="18">
        <v>18.5</v>
      </c>
      <c r="D47">
        <v>3</v>
      </c>
      <c r="E47" s="18">
        <v>8.3000000000000007</v>
      </c>
      <c r="F47" s="2">
        <v>0.25277777777777777</v>
      </c>
      <c r="G47" s="3">
        <v>164</v>
      </c>
    </row>
    <row r="48" spans="1:7" x14ac:dyDescent="0.3">
      <c r="A48">
        <v>47</v>
      </c>
      <c r="B48" t="s">
        <v>49</v>
      </c>
      <c r="C48" s="18">
        <v>18.2</v>
      </c>
      <c r="D48">
        <v>2</v>
      </c>
      <c r="E48" s="18">
        <v>11.2</v>
      </c>
      <c r="F48" s="2">
        <v>0.22500000000000001</v>
      </c>
      <c r="G48" s="3">
        <v>78</v>
      </c>
    </row>
    <row r="49" spans="1:7" x14ac:dyDescent="0.3">
      <c r="A49">
        <v>48</v>
      </c>
      <c r="B49" t="s">
        <v>50</v>
      </c>
      <c r="C49" s="18">
        <v>17.5</v>
      </c>
      <c r="D49">
        <v>2</v>
      </c>
      <c r="E49" s="18">
        <v>9.1</v>
      </c>
      <c r="F49" s="2">
        <v>0.24652777777777779</v>
      </c>
      <c r="G49" s="3">
        <v>42</v>
      </c>
    </row>
    <row r="50" spans="1:7" x14ac:dyDescent="0.3">
      <c r="A50">
        <v>49</v>
      </c>
      <c r="B50" t="s">
        <v>51</v>
      </c>
      <c r="C50" s="18">
        <v>17.100000000000001</v>
      </c>
      <c r="D50">
        <v>2</v>
      </c>
      <c r="E50" s="18">
        <v>9.6999999999999993</v>
      </c>
      <c r="F50" s="2">
        <v>0.27986111111111112</v>
      </c>
      <c r="G50" s="3">
        <v>72</v>
      </c>
    </row>
    <row r="51" spans="1:7" x14ac:dyDescent="0.3">
      <c r="A51">
        <v>50</v>
      </c>
      <c r="B51" t="s">
        <v>52</v>
      </c>
      <c r="C51" s="18">
        <v>17</v>
      </c>
      <c r="D51">
        <v>2</v>
      </c>
      <c r="E51" s="18">
        <v>11.8</v>
      </c>
      <c r="F51" s="2">
        <v>0.25972222222222224</v>
      </c>
      <c r="G51" s="3">
        <v>31</v>
      </c>
    </row>
    <row r="52" spans="1:7" x14ac:dyDescent="0.3">
      <c r="A52">
        <v>51</v>
      </c>
      <c r="B52" t="s">
        <v>53</v>
      </c>
      <c r="C52" s="18">
        <v>16.100000000000001</v>
      </c>
      <c r="D52">
        <v>2</v>
      </c>
      <c r="E52" s="18">
        <v>10.9</v>
      </c>
      <c r="F52" s="2">
        <v>0.42291666666666666</v>
      </c>
      <c r="G52" s="3">
        <v>333</v>
      </c>
    </row>
    <row r="53" spans="1:7" x14ac:dyDescent="0.3">
      <c r="A53">
        <v>52</v>
      </c>
      <c r="B53" t="s">
        <v>54</v>
      </c>
      <c r="C53" s="18">
        <v>16</v>
      </c>
      <c r="D53">
        <v>2</v>
      </c>
      <c r="E53" s="18">
        <v>8</v>
      </c>
      <c r="F53" s="2">
        <v>0.25069444444444444</v>
      </c>
      <c r="G53" s="3">
        <v>14</v>
      </c>
    </row>
    <row r="54" spans="1:7" x14ac:dyDescent="0.3">
      <c r="A54">
        <v>53</v>
      </c>
      <c r="B54" t="s">
        <v>55</v>
      </c>
      <c r="C54" s="18">
        <v>15.6</v>
      </c>
      <c r="D54">
        <v>2</v>
      </c>
      <c r="E54" s="18">
        <v>9.5</v>
      </c>
      <c r="F54" s="2">
        <v>0.26805555555555555</v>
      </c>
      <c r="G54" s="3">
        <v>66</v>
      </c>
    </row>
    <row r="55" spans="1:7" x14ac:dyDescent="0.3">
      <c r="A55">
        <v>54</v>
      </c>
      <c r="B55" t="s">
        <v>56</v>
      </c>
      <c r="C55" s="18">
        <v>14.7</v>
      </c>
      <c r="D55">
        <v>1</v>
      </c>
      <c r="E55" s="18">
        <v>14.7</v>
      </c>
      <c r="F55" s="2">
        <v>0.37986111111111109</v>
      </c>
      <c r="G55" s="3">
        <v>502</v>
      </c>
    </row>
    <row r="56" spans="1:7" x14ac:dyDescent="0.3">
      <c r="A56">
        <v>55</v>
      </c>
      <c r="B56" t="s">
        <v>57</v>
      </c>
      <c r="C56" s="18">
        <v>14.4</v>
      </c>
      <c r="D56">
        <v>2</v>
      </c>
      <c r="E56" s="18">
        <v>7.8</v>
      </c>
      <c r="F56" s="2">
        <v>0.25277777777777777</v>
      </c>
      <c r="G56" s="3">
        <v>29</v>
      </c>
    </row>
    <row r="57" spans="1:7" x14ac:dyDescent="0.3">
      <c r="A57">
        <v>56</v>
      </c>
      <c r="B57" t="s">
        <v>58</v>
      </c>
      <c r="C57" s="18">
        <v>13.8</v>
      </c>
      <c r="D57">
        <v>1</v>
      </c>
      <c r="E57" s="18">
        <v>13.8</v>
      </c>
      <c r="F57" s="2">
        <v>0.31527777777777777</v>
      </c>
      <c r="G57" s="3">
        <v>220</v>
      </c>
    </row>
    <row r="58" spans="1:7" x14ac:dyDescent="0.3">
      <c r="A58">
        <v>57</v>
      </c>
      <c r="B58" t="s">
        <v>59</v>
      </c>
      <c r="C58" s="18">
        <v>12.8</v>
      </c>
      <c r="D58">
        <v>1</v>
      </c>
      <c r="E58" s="18">
        <v>12.8</v>
      </c>
      <c r="F58" s="2">
        <v>0.23819444444444443</v>
      </c>
      <c r="G58" s="3">
        <v>59</v>
      </c>
    </row>
    <row r="59" spans="1:7" x14ac:dyDescent="0.3">
      <c r="A59">
        <v>58</v>
      </c>
      <c r="B59" t="s">
        <v>60</v>
      </c>
      <c r="C59" s="18">
        <v>12.2</v>
      </c>
      <c r="D59">
        <v>2</v>
      </c>
      <c r="E59" s="18">
        <v>10</v>
      </c>
      <c r="F59" s="2">
        <v>0.22708333333333333</v>
      </c>
      <c r="G59" s="3">
        <v>44</v>
      </c>
    </row>
    <row r="60" spans="1:7" x14ac:dyDescent="0.3">
      <c r="A60">
        <v>59</v>
      </c>
      <c r="B60" t="s">
        <v>61</v>
      </c>
      <c r="C60" s="18">
        <v>12.1</v>
      </c>
      <c r="D60">
        <v>1</v>
      </c>
      <c r="E60" s="18">
        <v>12.1</v>
      </c>
      <c r="F60" s="2">
        <v>0.33958333333333335</v>
      </c>
      <c r="G60" s="3">
        <v>402</v>
      </c>
    </row>
    <row r="61" spans="1:7" x14ac:dyDescent="0.3">
      <c r="A61">
        <v>60</v>
      </c>
      <c r="B61" t="s">
        <v>62</v>
      </c>
      <c r="C61" s="18">
        <v>12</v>
      </c>
      <c r="D61">
        <v>1</v>
      </c>
      <c r="E61" s="18">
        <v>12</v>
      </c>
      <c r="F61" s="2">
        <v>0.31388888888888888</v>
      </c>
      <c r="G61" s="3">
        <v>250</v>
      </c>
    </row>
    <row r="62" spans="1:7" x14ac:dyDescent="0.3">
      <c r="A62">
        <v>61</v>
      </c>
      <c r="B62" t="s">
        <v>63</v>
      </c>
      <c r="C62" s="18">
        <v>12</v>
      </c>
      <c r="D62">
        <v>2</v>
      </c>
      <c r="E62" s="18">
        <v>7</v>
      </c>
      <c r="F62" s="2">
        <v>0.28611111111111109</v>
      </c>
      <c r="G62" s="3">
        <v>57</v>
      </c>
    </row>
    <row r="63" spans="1:7" x14ac:dyDescent="0.3">
      <c r="A63">
        <v>62</v>
      </c>
      <c r="B63" t="s">
        <v>64</v>
      </c>
      <c r="C63" s="18">
        <v>11.7</v>
      </c>
      <c r="D63">
        <v>1</v>
      </c>
      <c r="E63" s="18">
        <v>11.7</v>
      </c>
      <c r="F63" s="2">
        <v>0.29583333333333334</v>
      </c>
      <c r="G63" s="3">
        <v>256</v>
      </c>
    </row>
    <row r="64" spans="1:7" x14ac:dyDescent="0.3">
      <c r="A64">
        <v>63</v>
      </c>
      <c r="B64" t="s">
        <v>65</v>
      </c>
      <c r="C64" s="18">
        <v>11.3</v>
      </c>
      <c r="D64">
        <v>2</v>
      </c>
      <c r="E64" s="18">
        <v>11.3</v>
      </c>
      <c r="F64" s="2">
        <v>0.25555555555555554</v>
      </c>
      <c r="G64" s="3">
        <v>86</v>
      </c>
    </row>
    <row r="65" spans="1:7" x14ac:dyDescent="0.3">
      <c r="A65">
        <v>64</v>
      </c>
      <c r="B65" t="s">
        <v>66</v>
      </c>
      <c r="C65" s="18">
        <v>11.2</v>
      </c>
      <c r="D65">
        <v>1</v>
      </c>
      <c r="E65" s="18">
        <v>11.2</v>
      </c>
      <c r="F65" s="2">
        <v>0.31527777777777777</v>
      </c>
      <c r="G65" s="3">
        <v>268</v>
      </c>
    </row>
    <row r="66" spans="1:7" x14ac:dyDescent="0.3">
      <c r="A66">
        <v>65</v>
      </c>
      <c r="B66" t="s">
        <v>67</v>
      </c>
      <c r="C66" s="18">
        <v>11.1</v>
      </c>
      <c r="D66">
        <v>1</v>
      </c>
      <c r="E66" s="18">
        <v>11.1</v>
      </c>
      <c r="F66" s="2">
        <v>0.3</v>
      </c>
      <c r="G66" s="3">
        <v>311</v>
      </c>
    </row>
    <row r="67" spans="1:7" x14ac:dyDescent="0.3">
      <c r="A67">
        <v>66</v>
      </c>
      <c r="B67" t="s">
        <v>68</v>
      </c>
      <c r="C67" s="18">
        <v>10.8</v>
      </c>
      <c r="D67">
        <v>1</v>
      </c>
      <c r="E67" s="18">
        <v>10.8</v>
      </c>
      <c r="F67" s="2">
        <v>0.375</v>
      </c>
      <c r="G67" s="3">
        <v>283</v>
      </c>
    </row>
    <row r="68" spans="1:7" x14ac:dyDescent="0.3">
      <c r="A68">
        <v>67</v>
      </c>
      <c r="B68" t="s">
        <v>69</v>
      </c>
      <c r="C68" s="18">
        <v>10.1</v>
      </c>
      <c r="D68">
        <v>1</v>
      </c>
      <c r="E68" s="18">
        <v>10.1</v>
      </c>
      <c r="F68" s="2">
        <v>0.27638888888888891</v>
      </c>
      <c r="G68" s="3">
        <v>124</v>
      </c>
    </row>
    <row r="69" spans="1:7" x14ac:dyDescent="0.3">
      <c r="A69">
        <v>68</v>
      </c>
      <c r="B69" t="s">
        <v>70</v>
      </c>
      <c r="C69" s="18">
        <v>10.1</v>
      </c>
      <c r="D69">
        <v>2</v>
      </c>
      <c r="E69" s="18">
        <v>6.2</v>
      </c>
      <c r="F69" s="2">
        <v>0.27152777777777776</v>
      </c>
      <c r="G69" s="3">
        <v>100</v>
      </c>
    </row>
    <row r="70" spans="1:7" x14ac:dyDescent="0.3">
      <c r="A70">
        <v>69</v>
      </c>
      <c r="B70" t="s">
        <v>71</v>
      </c>
      <c r="C70" s="18">
        <v>10.1</v>
      </c>
      <c r="D70">
        <v>1</v>
      </c>
      <c r="E70" s="18">
        <v>10.1</v>
      </c>
      <c r="F70" s="2">
        <v>0.22083333333333333</v>
      </c>
      <c r="G70" s="3">
        <v>145</v>
      </c>
    </row>
    <row r="71" spans="1:7" x14ac:dyDescent="0.3">
      <c r="A71">
        <v>70</v>
      </c>
      <c r="B71" t="s">
        <v>72</v>
      </c>
      <c r="C71" s="18">
        <v>10</v>
      </c>
      <c r="D71">
        <v>2</v>
      </c>
      <c r="E71" s="18">
        <v>5</v>
      </c>
      <c r="F71" s="2">
        <v>0.24722222222222223</v>
      </c>
      <c r="G71" s="3">
        <v>68</v>
      </c>
    </row>
    <row r="72" spans="1:7" x14ac:dyDescent="0.3">
      <c r="A72">
        <v>71</v>
      </c>
      <c r="B72" t="s">
        <v>73</v>
      </c>
      <c r="C72" s="18">
        <v>10</v>
      </c>
      <c r="D72">
        <v>1</v>
      </c>
      <c r="E72" s="18">
        <v>10</v>
      </c>
      <c r="F72" s="2">
        <v>0.26041666666666669</v>
      </c>
      <c r="G72" s="3">
        <v>50</v>
      </c>
    </row>
    <row r="73" spans="1:7" x14ac:dyDescent="0.3">
      <c r="A73">
        <v>72</v>
      </c>
      <c r="B73" t="s">
        <v>74</v>
      </c>
      <c r="C73" s="18">
        <v>10</v>
      </c>
      <c r="D73">
        <v>1</v>
      </c>
      <c r="E73" s="18">
        <v>10</v>
      </c>
      <c r="F73" s="2">
        <v>0.27916666666666667</v>
      </c>
      <c r="G73" s="3">
        <v>17</v>
      </c>
    </row>
    <row r="74" spans="1:7" x14ac:dyDescent="0.3">
      <c r="A74">
        <v>73</v>
      </c>
      <c r="B74" t="s">
        <v>75</v>
      </c>
      <c r="C74" s="18">
        <v>7</v>
      </c>
      <c r="D74">
        <v>1</v>
      </c>
      <c r="E74" s="18">
        <v>7</v>
      </c>
      <c r="F74" s="2">
        <v>0.2722222222222222</v>
      </c>
      <c r="G74" s="3">
        <v>40</v>
      </c>
    </row>
    <row r="75" spans="1:7" x14ac:dyDescent="0.3">
      <c r="A75">
        <v>74</v>
      </c>
      <c r="B75" t="s">
        <v>76</v>
      </c>
      <c r="C75" s="18">
        <v>6.5</v>
      </c>
      <c r="D75">
        <v>1</v>
      </c>
      <c r="E75" s="18">
        <v>6.5</v>
      </c>
      <c r="F75" s="2">
        <v>0.27500000000000002</v>
      </c>
      <c r="G75" s="3">
        <v>72</v>
      </c>
    </row>
    <row r="76" spans="1:7" x14ac:dyDescent="0.3">
      <c r="A76">
        <v>75</v>
      </c>
      <c r="B76" t="s">
        <v>77</v>
      </c>
      <c r="C76" s="18">
        <v>5.3</v>
      </c>
      <c r="D76">
        <v>1</v>
      </c>
      <c r="E76" s="18">
        <v>5.3</v>
      </c>
      <c r="F76" s="2">
        <v>0.26805555555555555</v>
      </c>
      <c r="G76" s="3">
        <v>69</v>
      </c>
    </row>
    <row r="77" spans="1:7" x14ac:dyDescent="0.3">
      <c r="A77">
        <v>76</v>
      </c>
      <c r="B77" t="s">
        <v>78</v>
      </c>
      <c r="C77" s="18">
        <v>5.0999999999999996</v>
      </c>
      <c r="D77">
        <v>1</v>
      </c>
      <c r="E77" s="18">
        <v>5.0999999999999996</v>
      </c>
      <c r="F77" s="2">
        <v>0.24583333333333332</v>
      </c>
      <c r="G77" s="3">
        <v>47</v>
      </c>
    </row>
    <row r="78" spans="1:7" x14ac:dyDescent="0.3">
      <c r="A78">
        <v>77</v>
      </c>
      <c r="B78" t="s">
        <v>79</v>
      </c>
      <c r="C78" s="18">
        <v>3</v>
      </c>
      <c r="D78">
        <v>1</v>
      </c>
      <c r="E78" s="18">
        <v>3</v>
      </c>
      <c r="F78" s="2">
        <v>0.29444444444444445</v>
      </c>
      <c r="G78" s="3">
        <v>5</v>
      </c>
    </row>
    <row r="79" spans="1:7" x14ac:dyDescent="0.3">
      <c r="A79">
        <v>78</v>
      </c>
      <c r="B79" t="s">
        <v>80</v>
      </c>
      <c r="C79" s="18">
        <v>2.2999999999999998</v>
      </c>
      <c r="D79">
        <v>1</v>
      </c>
      <c r="E79" s="18">
        <v>2.2999999999999998</v>
      </c>
      <c r="F79" s="2">
        <v>0.24166666666666667</v>
      </c>
      <c r="G79" s="3" t="s">
        <v>3</v>
      </c>
    </row>
    <row r="80" spans="1:7" x14ac:dyDescent="0.3">
      <c r="A80">
        <v>79</v>
      </c>
      <c r="B80" t="s">
        <v>81</v>
      </c>
      <c r="C80" s="18">
        <v>1.6</v>
      </c>
      <c r="D80">
        <v>1</v>
      </c>
      <c r="E80" s="18">
        <v>1.6</v>
      </c>
      <c r="F80" s="2">
        <v>0.31805555555555554</v>
      </c>
      <c r="G80" s="3" t="s">
        <v>3</v>
      </c>
    </row>
  </sheetData>
  <autoFilter ref="A1:H80" xr:uid="{82B11EFD-D654-46C5-8296-C0B465ACECFB}"/>
  <pageMargins left="0.7" right="0.7" top="0.75" bottom="0.75" header="0.3" footer="0.3"/>
  <headerFooter>
    <oddFooter>&amp;C_x000D_&amp;1#&amp;"Calibri"&amp;8&amp;K000000 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135ED-9C20-4B3C-B281-35872D6D2740}">
  <dimension ref="A1:G73"/>
  <sheetViews>
    <sheetView topLeftCell="A44" workbookViewId="0">
      <selection activeCell="F73" sqref="F73"/>
    </sheetView>
  </sheetViews>
  <sheetFormatPr defaultRowHeight="14.4" x14ac:dyDescent="0.3"/>
  <cols>
    <col min="2" max="2" width="8.88671875" customWidth="1"/>
  </cols>
  <sheetData>
    <row r="1" spans="1:7" x14ac:dyDescent="0.3">
      <c r="A1" s="1" t="s">
        <v>0</v>
      </c>
      <c r="B1" s="1" t="s">
        <v>1</v>
      </c>
      <c r="C1" s="1" t="s">
        <v>82</v>
      </c>
      <c r="D1" s="1" t="s">
        <v>2</v>
      </c>
      <c r="E1" s="1" t="s">
        <v>83</v>
      </c>
      <c r="F1" s="1" t="s">
        <v>84</v>
      </c>
      <c r="G1" s="1" t="s">
        <v>85</v>
      </c>
    </row>
    <row r="2" spans="1:7" x14ac:dyDescent="0.3">
      <c r="A2">
        <v>1</v>
      </c>
      <c r="B2" t="s">
        <v>4</v>
      </c>
      <c r="C2" s="18">
        <v>107.7</v>
      </c>
      <c r="D2">
        <v>6</v>
      </c>
      <c r="E2" s="18">
        <v>56.2</v>
      </c>
      <c r="F2" s="2">
        <v>0.2902777777777778</v>
      </c>
      <c r="G2" s="3">
        <v>3385</v>
      </c>
    </row>
    <row r="3" spans="1:7" x14ac:dyDescent="0.3">
      <c r="A3">
        <v>2</v>
      </c>
      <c r="B3" t="s">
        <v>10</v>
      </c>
      <c r="C3" s="18">
        <v>93.2</v>
      </c>
      <c r="D3">
        <v>6</v>
      </c>
      <c r="E3" s="18">
        <v>42.8</v>
      </c>
      <c r="F3" s="2">
        <v>0.23333333333333334</v>
      </c>
      <c r="G3" s="3">
        <v>190</v>
      </c>
    </row>
    <row r="4" spans="1:7" x14ac:dyDescent="0.3">
      <c r="A4">
        <v>3</v>
      </c>
      <c r="B4" t="s">
        <v>13</v>
      </c>
      <c r="C4" s="18">
        <v>84.4</v>
      </c>
      <c r="D4">
        <v>11</v>
      </c>
      <c r="E4" s="18">
        <v>13.4</v>
      </c>
      <c r="F4" s="2">
        <v>0.20833333333333334</v>
      </c>
      <c r="G4" s="3">
        <v>329</v>
      </c>
    </row>
    <row r="5" spans="1:7" x14ac:dyDescent="0.3">
      <c r="A5">
        <v>4</v>
      </c>
      <c r="B5" t="s">
        <v>5</v>
      </c>
      <c r="C5" s="18">
        <v>82.8</v>
      </c>
      <c r="D5">
        <v>5</v>
      </c>
      <c r="E5" s="18">
        <v>27.2</v>
      </c>
      <c r="F5" s="2">
        <v>0.24305555555555555</v>
      </c>
      <c r="G5" s="3">
        <v>1850</v>
      </c>
    </row>
    <row r="6" spans="1:7" x14ac:dyDescent="0.3">
      <c r="A6">
        <v>5</v>
      </c>
      <c r="B6" t="s">
        <v>9</v>
      </c>
      <c r="C6" s="18">
        <v>77.5</v>
      </c>
      <c r="D6">
        <v>6</v>
      </c>
      <c r="E6" s="18">
        <v>21.3</v>
      </c>
      <c r="F6" s="2">
        <v>0.2590277777777778</v>
      </c>
      <c r="G6" s="3">
        <v>705</v>
      </c>
    </row>
    <row r="7" spans="1:7" x14ac:dyDescent="0.3">
      <c r="A7">
        <v>6</v>
      </c>
      <c r="B7" t="s">
        <v>22</v>
      </c>
      <c r="C7" s="18">
        <v>62.9</v>
      </c>
      <c r="D7">
        <v>5</v>
      </c>
      <c r="E7" s="18">
        <v>21.3</v>
      </c>
      <c r="F7" s="2">
        <v>0.26805555555555555</v>
      </c>
      <c r="G7" s="20">
        <v>433</v>
      </c>
    </row>
    <row r="8" spans="1:7" x14ac:dyDescent="0.3">
      <c r="A8">
        <v>7</v>
      </c>
      <c r="B8" t="s">
        <v>60</v>
      </c>
      <c r="C8" s="18">
        <v>60.8</v>
      </c>
      <c r="D8">
        <v>8</v>
      </c>
      <c r="E8" s="18">
        <v>22</v>
      </c>
      <c r="F8" s="2">
        <v>0.25069444444444444</v>
      </c>
      <c r="G8" s="3">
        <v>154</v>
      </c>
    </row>
    <row r="9" spans="1:7" x14ac:dyDescent="0.3">
      <c r="A9">
        <v>8</v>
      </c>
      <c r="B9" t="s">
        <v>7</v>
      </c>
      <c r="C9" s="18">
        <v>56.9</v>
      </c>
      <c r="D9">
        <v>2</v>
      </c>
      <c r="E9" s="18">
        <v>55.4</v>
      </c>
      <c r="F9" s="2">
        <v>0.34236111111111112</v>
      </c>
      <c r="G9" s="3">
        <v>2893</v>
      </c>
    </row>
    <row r="10" spans="1:7" x14ac:dyDescent="0.3">
      <c r="A10">
        <v>9</v>
      </c>
      <c r="B10" t="s">
        <v>23</v>
      </c>
      <c r="C10" s="18">
        <v>49.8</v>
      </c>
      <c r="D10">
        <v>4</v>
      </c>
      <c r="E10" s="18">
        <v>14.5</v>
      </c>
      <c r="F10" s="2">
        <v>0.28055555555555556</v>
      </c>
      <c r="G10" s="3">
        <v>941</v>
      </c>
    </row>
    <row r="11" spans="1:7" x14ac:dyDescent="0.3">
      <c r="A11">
        <v>10</v>
      </c>
      <c r="B11" t="s">
        <v>34</v>
      </c>
      <c r="C11" s="18">
        <v>49.1</v>
      </c>
      <c r="D11">
        <v>3</v>
      </c>
      <c r="E11" s="18">
        <v>39.299999999999997</v>
      </c>
      <c r="F11" s="2">
        <v>0.34375</v>
      </c>
      <c r="G11" s="3">
        <v>1965</v>
      </c>
    </row>
    <row r="12" spans="1:7" x14ac:dyDescent="0.3">
      <c r="A12">
        <v>11</v>
      </c>
      <c r="B12" t="s">
        <v>14</v>
      </c>
      <c r="C12" s="18">
        <v>47</v>
      </c>
      <c r="D12">
        <v>4</v>
      </c>
      <c r="E12" s="18">
        <v>17</v>
      </c>
      <c r="F12" s="2">
        <v>0.24097222222222223</v>
      </c>
      <c r="G12" s="3">
        <v>302</v>
      </c>
    </row>
    <row r="13" spans="1:7" x14ac:dyDescent="0.3">
      <c r="A13">
        <v>12</v>
      </c>
      <c r="B13" t="s">
        <v>42</v>
      </c>
      <c r="C13" s="18">
        <v>45.2</v>
      </c>
      <c r="D13">
        <v>6</v>
      </c>
      <c r="E13" s="18">
        <v>10.6</v>
      </c>
      <c r="F13" s="2">
        <v>0.26805555555555555</v>
      </c>
      <c r="G13" s="3">
        <v>221</v>
      </c>
    </row>
    <row r="14" spans="1:7" x14ac:dyDescent="0.3">
      <c r="A14">
        <v>13</v>
      </c>
      <c r="B14" t="s">
        <v>15</v>
      </c>
      <c r="C14" s="18">
        <v>42.6</v>
      </c>
      <c r="D14">
        <v>2</v>
      </c>
      <c r="E14" s="18">
        <v>38.799999999999997</v>
      </c>
      <c r="F14" s="2">
        <v>0.33680555555555558</v>
      </c>
      <c r="G14" s="3">
        <v>2160</v>
      </c>
    </row>
    <row r="15" spans="1:7" x14ac:dyDescent="0.3">
      <c r="A15">
        <v>14</v>
      </c>
      <c r="B15" t="s">
        <v>38</v>
      </c>
      <c r="C15" s="18">
        <v>42.2</v>
      </c>
      <c r="D15">
        <v>11</v>
      </c>
      <c r="E15" s="18">
        <v>13.3</v>
      </c>
      <c r="F15" s="2">
        <v>0.31319444444444444</v>
      </c>
      <c r="G15" s="3">
        <v>818</v>
      </c>
    </row>
    <row r="16" spans="1:7" x14ac:dyDescent="0.3">
      <c r="A16">
        <v>15</v>
      </c>
      <c r="B16" t="s">
        <v>49</v>
      </c>
      <c r="C16" s="18">
        <v>41.2</v>
      </c>
      <c r="D16">
        <v>5</v>
      </c>
      <c r="E16" s="18">
        <v>12.5</v>
      </c>
      <c r="F16" s="2">
        <v>0.25208333333333333</v>
      </c>
      <c r="G16" s="3">
        <v>150</v>
      </c>
    </row>
    <row r="17" spans="1:7" x14ac:dyDescent="0.3">
      <c r="A17">
        <v>16</v>
      </c>
      <c r="B17" t="s">
        <v>6</v>
      </c>
      <c r="C17" s="18">
        <v>40.9</v>
      </c>
      <c r="D17">
        <v>3</v>
      </c>
      <c r="E17" s="18">
        <v>20.6</v>
      </c>
      <c r="F17" s="2">
        <v>0.35138888888888886</v>
      </c>
      <c r="G17" s="3">
        <v>1467</v>
      </c>
    </row>
    <row r="18" spans="1:7" x14ac:dyDescent="0.3">
      <c r="A18">
        <v>17</v>
      </c>
      <c r="B18" t="s">
        <v>16</v>
      </c>
      <c r="C18" s="18">
        <v>38.200000000000003</v>
      </c>
      <c r="D18">
        <v>4</v>
      </c>
      <c r="E18" s="18">
        <v>10.8</v>
      </c>
      <c r="F18" s="2">
        <v>0.23958333333333334</v>
      </c>
      <c r="G18" s="3">
        <v>426</v>
      </c>
    </row>
    <row r="19" spans="1:7" x14ac:dyDescent="0.3">
      <c r="A19">
        <v>18</v>
      </c>
      <c r="B19" t="s">
        <v>8</v>
      </c>
      <c r="C19" s="18">
        <v>36.9</v>
      </c>
      <c r="D19">
        <v>4</v>
      </c>
      <c r="E19" s="18">
        <v>10.1</v>
      </c>
      <c r="F19" s="2">
        <v>0.1986111111111111</v>
      </c>
      <c r="G19" s="3">
        <v>220</v>
      </c>
    </row>
    <row r="20" spans="1:7" x14ac:dyDescent="0.3">
      <c r="A20">
        <v>19</v>
      </c>
      <c r="B20" t="s">
        <v>54</v>
      </c>
      <c r="C20" s="18">
        <v>36</v>
      </c>
      <c r="D20">
        <v>4</v>
      </c>
      <c r="E20" s="18">
        <v>11.5</v>
      </c>
      <c r="F20" s="2">
        <v>0.31180555555555556</v>
      </c>
      <c r="G20" s="3">
        <v>795</v>
      </c>
    </row>
    <row r="21" spans="1:7" x14ac:dyDescent="0.3">
      <c r="A21">
        <v>20</v>
      </c>
      <c r="B21" t="s">
        <v>30</v>
      </c>
      <c r="C21" s="18">
        <v>35.4</v>
      </c>
      <c r="D21">
        <v>5</v>
      </c>
      <c r="E21" s="18">
        <v>18.5</v>
      </c>
      <c r="F21" s="2">
        <v>0.27013888888888887</v>
      </c>
      <c r="G21" s="3">
        <v>285</v>
      </c>
    </row>
    <row r="22" spans="1:7" x14ac:dyDescent="0.3">
      <c r="A22">
        <v>21</v>
      </c>
      <c r="B22" t="s">
        <v>12</v>
      </c>
      <c r="C22" s="18">
        <v>34</v>
      </c>
      <c r="D22">
        <v>4</v>
      </c>
      <c r="E22" s="18">
        <v>10</v>
      </c>
      <c r="F22" s="2">
        <v>0.27777777777777779</v>
      </c>
      <c r="G22" s="3">
        <v>204</v>
      </c>
    </row>
    <row r="23" spans="1:7" x14ac:dyDescent="0.3">
      <c r="A23">
        <v>22</v>
      </c>
      <c r="B23" t="s">
        <v>24</v>
      </c>
      <c r="C23" s="18">
        <v>33</v>
      </c>
      <c r="D23">
        <v>3</v>
      </c>
      <c r="E23" s="18">
        <v>12.7</v>
      </c>
      <c r="F23" s="2">
        <v>0.27500000000000002</v>
      </c>
      <c r="G23" s="3">
        <v>521</v>
      </c>
    </row>
    <row r="24" spans="1:7" x14ac:dyDescent="0.3">
      <c r="A24">
        <v>23</v>
      </c>
      <c r="B24" t="s">
        <v>47</v>
      </c>
      <c r="C24" s="18">
        <v>32.799999999999997</v>
      </c>
      <c r="D24">
        <v>16</v>
      </c>
      <c r="E24" s="18">
        <v>10.1</v>
      </c>
      <c r="F24" s="2">
        <v>0.82430555555555551</v>
      </c>
      <c r="G24" s="3">
        <v>69</v>
      </c>
    </row>
    <row r="25" spans="1:7" x14ac:dyDescent="0.3">
      <c r="A25">
        <v>24</v>
      </c>
      <c r="B25" t="s">
        <v>35</v>
      </c>
      <c r="C25" s="18">
        <v>32.1</v>
      </c>
      <c r="D25">
        <v>3</v>
      </c>
      <c r="E25" s="18">
        <v>16.100000000000001</v>
      </c>
      <c r="F25" s="2">
        <v>0.22708333333333333</v>
      </c>
      <c r="G25" s="3">
        <v>379</v>
      </c>
    </row>
    <row r="26" spans="1:7" x14ac:dyDescent="0.3">
      <c r="A26">
        <v>25</v>
      </c>
      <c r="B26" t="s">
        <v>33</v>
      </c>
      <c r="C26" s="18">
        <v>31.9</v>
      </c>
      <c r="D26">
        <v>7</v>
      </c>
      <c r="E26" s="18">
        <v>10.4</v>
      </c>
      <c r="F26" s="2">
        <v>0.27430555555555558</v>
      </c>
      <c r="G26" s="3">
        <v>169</v>
      </c>
    </row>
    <row r="27" spans="1:7" x14ac:dyDescent="0.3">
      <c r="A27">
        <v>26</v>
      </c>
      <c r="B27" t="s">
        <v>19</v>
      </c>
      <c r="C27" s="18">
        <v>31.2</v>
      </c>
      <c r="D27">
        <v>3</v>
      </c>
      <c r="E27" s="18">
        <v>12.8</v>
      </c>
      <c r="F27" s="2">
        <v>0.25069444444444444</v>
      </c>
      <c r="G27" s="3">
        <v>582</v>
      </c>
    </row>
    <row r="28" spans="1:7" x14ac:dyDescent="0.3">
      <c r="A28">
        <v>27</v>
      </c>
      <c r="B28" t="s">
        <v>65</v>
      </c>
      <c r="C28" s="18">
        <v>31.1</v>
      </c>
      <c r="D28">
        <v>2</v>
      </c>
      <c r="E28" s="18">
        <v>21.1</v>
      </c>
      <c r="F28" s="2">
        <v>0.23472222222222222</v>
      </c>
      <c r="G28" s="3">
        <v>192</v>
      </c>
    </row>
    <row r="29" spans="1:7" x14ac:dyDescent="0.3">
      <c r="A29">
        <v>28</v>
      </c>
      <c r="B29" t="s">
        <v>32</v>
      </c>
      <c r="C29" s="18">
        <v>30.8</v>
      </c>
      <c r="D29">
        <v>3</v>
      </c>
      <c r="E29" s="18">
        <v>12.5</v>
      </c>
      <c r="F29" s="2">
        <v>0.29236111111111113</v>
      </c>
      <c r="G29" s="3">
        <v>440</v>
      </c>
    </row>
    <row r="30" spans="1:7" x14ac:dyDescent="0.3">
      <c r="A30">
        <v>29</v>
      </c>
      <c r="B30" t="s">
        <v>45</v>
      </c>
      <c r="C30" s="18">
        <v>29.4</v>
      </c>
      <c r="D30">
        <v>3</v>
      </c>
      <c r="E30" s="18">
        <v>10</v>
      </c>
      <c r="F30" s="2">
        <v>0.36388888888888887</v>
      </c>
      <c r="G30" s="3">
        <v>144</v>
      </c>
    </row>
    <row r="31" spans="1:7" x14ac:dyDescent="0.3">
      <c r="A31">
        <v>30</v>
      </c>
      <c r="B31" t="s">
        <v>40</v>
      </c>
      <c r="C31" s="18">
        <v>28.7</v>
      </c>
      <c r="D31">
        <v>3</v>
      </c>
      <c r="E31" s="18">
        <v>12.3</v>
      </c>
      <c r="F31" s="2">
        <v>0.28680555555555554</v>
      </c>
      <c r="G31" s="3">
        <v>576</v>
      </c>
    </row>
    <row r="32" spans="1:7" x14ac:dyDescent="0.3">
      <c r="A32">
        <v>31</v>
      </c>
      <c r="B32" t="s">
        <v>21</v>
      </c>
      <c r="C32" s="18">
        <v>28.6</v>
      </c>
      <c r="D32">
        <v>2</v>
      </c>
      <c r="E32" s="18">
        <v>16.3</v>
      </c>
      <c r="F32" s="2">
        <v>0.26041666666666669</v>
      </c>
      <c r="G32" s="3">
        <v>52</v>
      </c>
    </row>
    <row r="33" spans="1:7" x14ac:dyDescent="0.3">
      <c r="A33">
        <v>32</v>
      </c>
      <c r="B33" t="s">
        <v>44</v>
      </c>
      <c r="C33" s="18">
        <v>27.5</v>
      </c>
      <c r="D33">
        <v>2</v>
      </c>
      <c r="E33" s="18">
        <v>15.1</v>
      </c>
      <c r="F33" s="2">
        <v>0.28611111111111109</v>
      </c>
      <c r="G33" s="3">
        <v>562</v>
      </c>
    </row>
    <row r="34" spans="1:7" x14ac:dyDescent="0.3">
      <c r="A34">
        <v>33</v>
      </c>
      <c r="B34" t="s">
        <v>51</v>
      </c>
      <c r="C34" s="18">
        <v>27.1</v>
      </c>
      <c r="D34">
        <v>3</v>
      </c>
      <c r="E34" s="18">
        <v>13.4</v>
      </c>
      <c r="F34" s="2">
        <v>0.27777777777777779</v>
      </c>
      <c r="G34" s="3">
        <v>67</v>
      </c>
    </row>
    <row r="35" spans="1:7" x14ac:dyDescent="0.3">
      <c r="A35">
        <v>34</v>
      </c>
      <c r="B35" t="s">
        <v>26</v>
      </c>
      <c r="C35" s="18">
        <v>27</v>
      </c>
      <c r="D35">
        <v>3</v>
      </c>
      <c r="E35" s="18">
        <v>10.1</v>
      </c>
      <c r="F35" s="2">
        <v>0.31041666666666667</v>
      </c>
      <c r="G35" s="3">
        <v>443</v>
      </c>
    </row>
    <row r="36" spans="1:7" x14ac:dyDescent="0.3">
      <c r="A36">
        <v>35</v>
      </c>
      <c r="B36" t="s">
        <v>25</v>
      </c>
      <c r="C36" s="18">
        <v>25.6</v>
      </c>
      <c r="D36">
        <v>4</v>
      </c>
      <c r="E36" s="18">
        <v>12.8</v>
      </c>
      <c r="F36" s="2">
        <v>0.35902777777777778</v>
      </c>
      <c r="G36" s="3">
        <v>633</v>
      </c>
    </row>
    <row r="37" spans="1:7" x14ac:dyDescent="0.3">
      <c r="A37">
        <v>36</v>
      </c>
      <c r="B37" t="s">
        <v>55</v>
      </c>
      <c r="C37" s="18">
        <v>25.2</v>
      </c>
      <c r="D37">
        <v>4</v>
      </c>
      <c r="E37" s="18">
        <v>10.3</v>
      </c>
      <c r="F37" s="2">
        <v>0.26597222222222222</v>
      </c>
      <c r="G37" s="3">
        <v>194</v>
      </c>
    </row>
    <row r="38" spans="1:7" x14ac:dyDescent="0.3">
      <c r="A38">
        <v>37</v>
      </c>
      <c r="B38" t="s">
        <v>28</v>
      </c>
      <c r="C38" s="18">
        <v>24.7</v>
      </c>
      <c r="D38">
        <v>3</v>
      </c>
      <c r="E38" s="18">
        <v>10</v>
      </c>
      <c r="F38" s="2">
        <v>0.25</v>
      </c>
      <c r="G38" s="3">
        <v>93</v>
      </c>
    </row>
    <row r="39" spans="1:7" x14ac:dyDescent="0.3">
      <c r="A39">
        <v>38</v>
      </c>
      <c r="B39" t="s">
        <v>36</v>
      </c>
      <c r="C39" s="18">
        <v>24.6</v>
      </c>
      <c r="D39">
        <v>3</v>
      </c>
      <c r="E39" s="18">
        <v>12</v>
      </c>
      <c r="F39" s="2">
        <v>0.32500000000000001</v>
      </c>
      <c r="G39" s="3">
        <v>341</v>
      </c>
    </row>
    <row r="40" spans="1:7" x14ac:dyDescent="0.3">
      <c r="A40">
        <v>39</v>
      </c>
      <c r="B40" t="s">
        <v>48</v>
      </c>
      <c r="C40" s="18">
        <v>22.6</v>
      </c>
      <c r="D40">
        <v>3</v>
      </c>
      <c r="E40" s="18">
        <v>9</v>
      </c>
      <c r="F40" s="2">
        <v>0.26666666666666666</v>
      </c>
      <c r="G40" s="3">
        <v>181</v>
      </c>
    </row>
    <row r="41" spans="1:7" x14ac:dyDescent="0.3">
      <c r="A41">
        <v>40</v>
      </c>
      <c r="B41" t="s">
        <v>29</v>
      </c>
      <c r="C41" s="18">
        <v>22.4</v>
      </c>
      <c r="D41">
        <v>2</v>
      </c>
      <c r="E41" s="18">
        <v>12.3</v>
      </c>
      <c r="F41" s="2">
        <v>0.32083333333333336</v>
      </c>
      <c r="G41" s="3">
        <v>454</v>
      </c>
    </row>
    <row r="42" spans="1:7" x14ac:dyDescent="0.3">
      <c r="A42">
        <v>41</v>
      </c>
      <c r="B42" t="s">
        <v>27</v>
      </c>
      <c r="C42" s="18">
        <v>22.4</v>
      </c>
      <c r="D42">
        <v>2</v>
      </c>
      <c r="E42" s="18">
        <v>12.1</v>
      </c>
      <c r="F42" s="2">
        <v>0.31041666666666667</v>
      </c>
      <c r="G42" s="3">
        <v>441</v>
      </c>
    </row>
    <row r="43" spans="1:7" x14ac:dyDescent="0.3">
      <c r="A43">
        <v>42</v>
      </c>
      <c r="B43" t="s">
        <v>62</v>
      </c>
      <c r="C43" s="18">
        <v>22.3</v>
      </c>
      <c r="D43">
        <v>2</v>
      </c>
      <c r="E43" s="18">
        <v>13.2</v>
      </c>
      <c r="F43" s="2">
        <v>0.33124999999999999</v>
      </c>
      <c r="G43" s="3">
        <v>1139</v>
      </c>
    </row>
    <row r="44" spans="1:7" x14ac:dyDescent="0.3">
      <c r="A44">
        <v>43</v>
      </c>
      <c r="B44" t="s">
        <v>53</v>
      </c>
      <c r="C44" s="18">
        <v>22.2</v>
      </c>
      <c r="D44">
        <v>1</v>
      </c>
      <c r="E44" s="18">
        <v>22.2</v>
      </c>
      <c r="F44" s="2">
        <v>0.22777777777777777</v>
      </c>
      <c r="G44" s="3">
        <v>95</v>
      </c>
    </row>
    <row r="45" spans="1:7" x14ac:dyDescent="0.3">
      <c r="A45">
        <v>44</v>
      </c>
      <c r="B45" t="s">
        <v>76</v>
      </c>
      <c r="C45" s="18">
        <v>21.3</v>
      </c>
      <c r="D45">
        <v>3</v>
      </c>
      <c r="E45" s="18">
        <v>10</v>
      </c>
      <c r="F45" s="2">
        <v>0.26666666666666666</v>
      </c>
      <c r="G45" s="3">
        <v>132</v>
      </c>
    </row>
    <row r="46" spans="1:7" x14ac:dyDescent="0.3">
      <c r="A46" s="16">
        <v>45</v>
      </c>
      <c r="B46" s="16" t="s">
        <v>172</v>
      </c>
      <c r="C46" s="19">
        <v>20.5</v>
      </c>
      <c r="D46" s="16">
        <v>2</v>
      </c>
      <c r="E46" s="19">
        <v>10.3</v>
      </c>
      <c r="F46" s="17">
        <v>0.29305555555555557</v>
      </c>
      <c r="G46" s="20">
        <v>140</v>
      </c>
    </row>
    <row r="47" spans="1:7" x14ac:dyDescent="0.3">
      <c r="A47">
        <v>46</v>
      </c>
      <c r="B47" t="s">
        <v>17</v>
      </c>
      <c r="C47" s="18">
        <v>20.399999999999999</v>
      </c>
      <c r="D47">
        <v>3</v>
      </c>
      <c r="E47" s="18">
        <v>8</v>
      </c>
      <c r="F47" s="2">
        <v>0.27708333333333335</v>
      </c>
      <c r="G47" s="3">
        <v>503</v>
      </c>
    </row>
    <row r="48" spans="1:7" x14ac:dyDescent="0.3">
      <c r="A48">
        <v>47</v>
      </c>
      <c r="B48" t="s">
        <v>50</v>
      </c>
      <c r="C48" s="18">
        <v>19.8</v>
      </c>
      <c r="D48">
        <v>2</v>
      </c>
      <c r="E48" s="18">
        <v>10</v>
      </c>
      <c r="F48" s="2">
        <v>0.25624999999999998</v>
      </c>
      <c r="G48" s="3">
        <v>48</v>
      </c>
    </row>
    <row r="49" spans="1:7" x14ac:dyDescent="0.3">
      <c r="A49">
        <v>48</v>
      </c>
      <c r="B49" t="s">
        <v>61</v>
      </c>
      <c r="C49" s="18">
        <v>19.600000000000001</v>
      </c>
      <c r="D49">
        <v>2</v>
      </c>
      <c r="E49" s="18">
        <v>12.1</v>
      </c>
      <c r="F49" s="2">
        <v>0.32569444444444445</v>
      </c>
      <c r="G49" s="3">
        <v>453</v>
      </c>
    </row>
    <row r="50" spans="1:7" x14ac:dyDescent="0.3">
      <c r="A50">
        <v>49</v>
      </c>
      <c r="B50" t="s">
        <v>20</v>
      </c>
      <c r="C50" s="18">
        <v>16.600000000000001</v>
      </c>
      <c r="D50">
        <v>2</v>
      </c>
      <c r="E50" s="18">
        <v>8.4</v>
      </c>
      <c r="F50" s="2">
        <v>0.22916666666666666</v>
      </c>
      <c r="G50" s="3">
        <v>169</v>
      </c>
    </row>
    <row r="51" spans="1:7" x14ac:dyDescent="0.3">
      <c r="A51" s="16">
        <v>50</v>
      </c>
      <c r="B51" s="16" t="s">
        <v>173</v>
      </c>
      <c r="C51" s="19">
        <v>14.8</v>
      </c>
      <c r="D51" s="16">
        <v>1</v>
      </c>
      <c r="E51" s="19">
        <v>14.8</v>
      </c>
      <c r="F51" s="17">
        <v>0.34791666666666665</v>
      </c>
      <c r="G51" s="20">
        <v>524</v>
      </c>
    </row>
    <row r="52" spans="1:7" x14ac:dyDescent="0.3">
      <c r="A52">
        <v>51</v>
      </c>
      <c r="B52" t="s">
        <v>70</v>
      </c>
      <c r="C52" s="18">
        <v>13.4</v>
      </c>
      <c r="D52">
        <v>2</v>
      </c>
      <c r="E52" s="18">
        <v>7.2</v>
      </c>
      <c r="F52" s="2">
        <v>0.28958333333333336</v>
      </c>
      <c r="G52" s="3">
        <v>99</v>
      </c>
    </row>
    <row r="53" spans="1:7" x14ac:dyDescent="0.3">
      <c r="A53" s="16">
        <v>52</v>
      </c>
      <c r="B53" s="16" t="s">
        <v>174</v>
      </c>
      <c r="C53" s="19">
        <v>12.6</v>
      </c>
      <c r="D53" s="16">
        <v>1</v>
      </c>
      <c r="E53" s="19">
        <v>12.6</v>
      </c>
      <c r="F53" s="17">
        <v>0.80486111111111114</v>
      </c>
      <c r="G53" s="20">
        <v>431</v>
      </c>
    </row>
    <row r="54" spans="1:7" x14ac:dyDescent="0.3">
      <c r="A54">
        <v>53</v>
      </c>
      <c r="B54" t="s">
        <v>39</v>
      </c>
      <c r="C54" s="18">
        <v>12.2</v>
      </c>
      <c r="D54">
        <v>1</v>
      </c>
      <c r="E54" s="18">
        <v>12.2</v>
      </c>
      <c r="F54" s="2">
        <v>0.33124999999999999</v>
      </c>
      <c r="G54" s="3">
        <v>388</v>
      </c>
    </row>
    <row r="55" spans="1:7" x14ac:dyDescent="0.3">
      <c r="A55" s="16">
        <v>54</v>
      </c>
      <c r="B55" s="16" t="s">
        <v>175</v>
      </c>
      <c r="C55" s="19">
        <v>11.1</v>
      </c>
      <c r="D55" s="16">
        <v>1</v>
      </c>
      <c r="E55" s="19">
        <v>11.1</v>
      </c>
      <c r="F55" s="17">
        <v>0.25</v>
      </c>
      <c r="G55" s="20">
        <v>26</v>
      </c>
    </row>
    <row r="56" spans="1:7" x14ac:dyDescent="0.3">
      <c r="A56">
        <v>55</v>
      </c>
      <c r="B56" t="s">
        <v>37</v>
      </c>
      <c r="C56" s="18">
        <v>11</v>
      </c>
      <c r="D56">
        <v>1</v>
      </c>
      <c r="E56" s="18">
        <v>11</v>
      </c>
      <c r="F56" s="2">
        <v>0.28055555555555556</v>
      </c>
      <c r="G56" s="3">
        <v>186</v>
      </c>
    </row>
    <row r="57" spans="1:7" x14ac:dyDescent="0.3">
      <c r="A57">
        <v>56</v>
      </c>
      <c r="B57" t="s">
        <v>56</v>
      </c>
      <c r="C57" s="18">
        <v>10.7</v>
      </c>
      <c r="D57">
        <v>1</v>
      </c>
      <c r="E57" s="18">
        <v>10.7</v>
      </c>
      <c r="F57" s="2">
        <v>0.35972222222222222</v>
      </c>
      <c r="G57" s="3">
        <v>143</v>
      </c>
    </row>
    <row r="58" spans="1:7" x14ac:dyDescent="0.3">
      <c r="A58">
        <v>57</v>
      </c>
      <c r="B58" t="s">
        <v>69</v>
      </c>
      <c r="C58" s="18">
        <v>10.6</v>
      </c>
      <c r="D58">
        <v>1</v>
      </c>
      <c r="E58" s="18">
        <v>10.6</v>
      </c>
      <c r="F58" s="2">
        <v>0.3034722222222222</v>
      </c>
      <c r="G58" s="3">
        <v>274</v>
      </c>
    </row>
    <row r="59" spans="1:7" x14ac:dyDescent="0.3">
      <c r="A59">
        <v>58</v>
      </c>
      <c r="B59" t="s">
        <v>73</v>
      </c>
      <c r="C59" s="18">
        <v>10.4</v>
      </c>
      <c r="D59">
        <v>2</v>
      </c>
      <c r="E59" s="18">
        <v>7.6</v>
      </c>
      <c r="F59" s="2">
        <v>0.42499999999999999</v>
      </c>
      <c r="G59" s="3">
        <v>70</v>
      </c>
    </row>
    <row r="60" spans="1:7" x14ac:dyDescent="0.3">
      <c r="A60">
        <v>59</v>
      </c>
      <c r="B60" t="s">
        <v>58</v>
      </c>
      <c r="C60" s="18">
        <v>10.3</v>
      </c>
      <c r="D60">
        <v>2</v>
      </c>
      <c r="E60" s="18">
        <v>5.3</v>
      </c>
      <c r="F60" s="2">
        <v>0.32569444444444445</v>
      </c>
      <c r="G60" s="3" t="s">
        <v>3</v>
      </c>
    </row>
    <row r="61" spans="1:7" x14ac:dyDescent="0.3">
      <c r="A61" s="16">
        <v>60</v>
      </c>
      <c r="B61" s="16" t="s">
        <v>176</v>
      </c>
      <c r="C61" s="19">
        <v>10.199999999999999</v>
      </c>
      <c r="D61" s="16">
        <v>1</v>
      </c>
      <c r="E61" s="19">
        <v>10.199999999999999</v>
      </c>
      <c r="F61" s="17">
        <v>0.27361111111111114</v>
      </c>
      <c r="G61" s="20">
        <v>57</v>
      </c>
    </row>
    <row r="62" spans="1:7" x14ac:dyDescent="0.3">
      <c r="A62" s="16">
        <v>61</v>
      </c>
      <c r="B62" s="16" t="s">
        <v>177</v>
      </c>
      <c r="C62" s="19">
        <v>10.1</v>
      </c>
      <c r="D62" s="16">
        <v>1</v>
      </c>
      <c r="E62" s="19">
        <v>10.1</v>
      </c>
      <c r="F62" s="17">
        <v>0.25624999999999998</v>
      </c>
      <c r="G62" s="20">
        <v>56</v>
      </c>
    </row>
    <row r="63" spans="1:7" x14ac:dyDescent="0.3">
      <c r="A63" s="16">
        <v>62</v>
      </c>
      <c r="B63" s="16" t="s">
        <v>178</v>
      </c>
      <c r="C63" s="19">
        <v>10.1</v>
      </c>
      <c r="D63" s="16">
        <v>1</v>
      </c>
      <c r="E63" s="19">
        <v>10.1</v>
      </c>
      <c r="F63" s="17">
        <v>0.25624999999999998</v>
      </c>
      <c r="G63" s="20">
        <v>56</v>
      </c>
    </row>
    <row r="64" spans="1:7" x14ac:dyDescent="0.3">
      <c r="A64">
        <v>63</v>
      </c>
      <c r="B64" t="s">
        <v>78</v>
      </c>
      <c r="C64" s="18">
        <v>10</v>
      </c>
      <c r="D64">
        <v>1</v>
      </c>
      <c r="E64" s="18">
        <v>10</v>
      </c>
      <c r="F64" s="2">
        <v>0.27777777777777779</v>
      </c>
      <c r="G64" s="3">
        <v>33</v>
      </c>
    </row>
    <row r="65" spans="1:7" x14ac:dyDescent="0.3">
      <c r="A65" s="16">
        <v>64</v>
      </c>
      <c r="B65" s="16" t="s">
        <v>179</v>
      </c>
      <c r="C65" s="19">
        <v>10</v>
      </c>
      <c r="D65" s="16">
        <v>1</v>
      </c>
      <c r="E65" s="19">
        <v>10</v>
      </c>
      <c r="F65" s="17">
        <v>0.27013888888888887</v>
      </c>
      <c r="G65" s="20">
        <v>61</v>
      </c>
    </row>
    <row r="66" spans="1:7" x14ac:dyDescent="0.3">
      <c r="A66">
        <v>65</v>
      </c>
      <c r="B66" t="s">
        <v>68</v>
      </c>
      <c r="C66" s="18">
        <v>9.6</v>
      </c>
      <c r="D66">
        <v>1</v>
      </c>
      <c r="E66" s="18">
        <v>9.6</v>
      </c>
      <c r="F66" s="2">
        <v>0.23749999999999999</v>
      </c>
      <c r="G66" s="3">
        <v>162</v>
      </c>
    </row>
    <row r="67" spans="1:7" x14ac:dyDescent="0.3">
      <c r="A67">
        <v>66</v>
      </c>
      <c r="B67" t="s">
        <v>64</v>
      </c>
      <c r="C67" s="18">
        <v>9.3000000000000007</v>
      </c>
      <c r="D67">
        <v>1</v>
      </c>
      <c r="E67" s="18">
        <v>9.3000000000000007</v>
      </c>
      <c r="F67" s="2">
        <v>0.28680555555555554</v>
      </c>
      <c r="G67" s="3">
        <v>121</v>
      </c>
    </row>
    <row r="68" spans="1:7" x14ac:dyDescent="0.3">
      <c r="A68">
        <v>67</v>
      </c>
      <c r="B68" t="s">
        <v>67</v>
      </c>
      <c r="C68" s="18">
        <v>7.2</v>
      </c>
      <c r="D68">
        <v>1</v>
      </c>
      <c r="E68" s="18">
        <v>7.2</v>
      </c>
      <c r="F68" s="2">
        <v>0.27638888888888891</v>
      </c>
      <c r="G68" s="3">
        <v>95</v>
      </c>
    </row>
    <row r="69" spans="1:7" x14ac:dyDescent="0.3">
      <c r="A69">
        <v>68</v>
      </c>
      <c r="B69" t="s">
        <v>66</v>
      </c>
      <c r="C69" s="18">
        <v>7.2</v>
      </c>
      <c r="D69">
        <v>1</v>
      </c>
      <c r="E69" s="18">
        <v>7.2</v>
      </c>
      <c r="F69" s="2">
        <v>0.32430555555555557</v>
      </c>
      <c r="G69" s="3">
        <v>107</v>
      </c>
    </row>
    <row r="70" spans="1:7" x14ac:dyDescent="0.3">
      <c r="A70">
        <v>69</v>
      </c>
      <c r="B70" t="s">
        <v>57</v>
      </c>
      <c r="C70" s="18">
        <v>7.1</v>
      </c>
      <c r="D70">
        <v>1</v>
      </c>
      <c r="E70" s="18">
        <v>7.1</v>
      </c>
      <c r="F70" s="2">
        <v>0.24444444444444444</v>
      </c>
      <c r="G70" s="3">
        <v>10</v>
      </c>
    </row>
    <row r="71" spans="1:7" x14ac:dyDescent="0.3">
      <c r="A71" s="16">
        <v>70</v>
      </c>
      <c r="B71" s="16" t="s">
        <v>180</v>
      </c>
      <c r="C71" s="19">
        <v>6.4</v>
      </c>
      <c r="D71" s="16">
        <v>1</v>
      </c>
      <c r="E71" s="19">
        <v>6.4</v>
      </c>
      <c r="F71" s="17">
        <v>1.0409722222222222</v>
      </c>
      <c r="G71" s="20">
        <v>263</v>
      </c>
    </row>
    <row r="72" spans="1:7" x14ac:dyDescent="0.3">
      <c r="A72" s="16">
        <v>71</v>
      </c>
      <c r="B72" s="16" t="s">
        <v>181</v>
      </c>
      <c r="C72" s="19">
        <v>4.3</v>
      </c>
      <c r="D72" s="16">
        <v>1</v>
      </c>
      <c r="E72" s="19">
        <v>4.3</v>
      </c>
      <c r="F72" s="17">
        <v>0.65138888888888891</v>
      </c>
      <c r="G72" s="20">
        <v>16</v>
      </c>
    </row>
    <row r="73" spans="1:7" x14ac:dyDescent="0.3">
      <c r="A73">
        <v>72</v>
      </c>
      <c r="B73" t="s">
        <v>81</v>
      </c>
      <c r="C73" s="18">
        <v>3.9</v>
      </c>
      <c r="D73">
        <v>3</v>
      </c>
      <c r="E73" s="18">
        <v>2.5</v>
      </c>
      <c r="F73" s="2">
        <v>0.7895833333333333</v>
      </c>
      <c r="G73" s="3" t="s">
        <v>3</v>
      </c>
    </row>
  </sheetData>
  <autoFilter ref="A1:H73" xr:uid="{5FB135ED-9C20-4B3C-B281-35872D6D2740}"/>
  <pageMargins left="0.7" right="0.7" top="0.75" bottom="0.75" header="0.3" footer="0.3"/>
  <headerFooter>
    <oddFooter>&amp;C_x000D_&amp;1#&amp;"Calibri"&amp;8&amp;K000000 Public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88085-5491-4AC1-8E2E-5AD0E39DD7B9}">
  <dimension ref="A1:G84"/>
  <sheetViews>
    <sheetView topLeftCell="A55" workbookViewId="0">
      <selection activeCell="F84" sqref="F84"/>
    </sheetView>
  </sheetViews>
  <sheetFormatPr defaultRowHeight="14.4" x14ac:dyDescent="0.3"/>
  <cols>
    <col min="2" max="2" width="8.88671875" customWidth="1"/>
  </cols>
  <sheetData>
    <row r="1" spans="1:7" x14ac:dyDescent="0.3">
      <c r="A1" s="1" t="s">
        <v>0</v>
      </c>
      <c r="B1" s="1" t="s">
        <v>1</v>
      </c>
      <c r="C1" s="1" t="s">
        <v>82</v>
      </c>
      <c r="D1" s="1" t="s">
        <v>2</v>
      </c>
      <c r="E1" s="1" t="s">
        <v>83</v>
      </c>
      <c r="F1" s="1" t="s">
        <v>84</v>
      </c>
      <c r="G1" s="1" t="s">
        <v>85</v>
      </c>
    </row>
    <row r="2" spans="1:7" x14ac:dyDescent="0.3">
      <c r="A2">
        <v>1</v>
      </c>
      <c r="B2" t="s">
        <v>23</v>
      </c>
      <c r="C2" s="18">
        <v>294.60000000000002</v>
      </c>
      <c r="D2">
        <v>6</v>
      </c>
      <c r="E2" s="18">
        <v>110.3</v>
      </c>
      <c r="F2" s="2">
        <v>0.48819444444444443</v>
      </c>
      <c r="G2" s="3">
        <v>8175</v>
      </c>
    </row>
    <row r="3" spans="1:7" x14ac:dyDescent="0.3">
      <c r="A3">
        <v>2</v>
      </c>
      <c r="B3" t="s">
        <v>5</v>
      </c>
      <c r="C3" s="18">
        <v>94.3</v>
      </c>
      <c r="D3">
        <v>5</v>
      </c>
      <c r="E3" s="18">
        <v>38.799999999999997</v>
      </c>
      <c r="F3" s="2">
        <v>0.29583333333333334</v>
      </c>
      <c r="G3" s="3">
        <v>3134</v>
      </c>
    </row>
    <row r="4" spans="1:7" x14ac:dyDescent="0.3">
      <c r="A4">
        <v>3</v>
      </c>
      <c r="B4" t="s">
        <v>13</v>
      </c>
      <c r="C4" s="18">
        <v>82</v>
      </c>
      <c r="D4">
        <v>11</v>
      </c>
      <c r="E4" s="18">
        <v>18.399999999999999</v>
      </c>
      <c r="F4" s="2">
        <v>0.2326388888888889</v>
      </c>
      <c r="G4" s="3">
        <v>891</v>
      </c>
    </row>
    <row r="5" spans="1:7" x14ac:dyDescent="0.3">
      <c r="A5">
        <v>4</v>
      </c>
      <c r="B5" t="s">
        <v>9</v>
      </c>
      <c r="C5" s="18">
        <v>75</v>
      </c>
      <c r="D5">
        <v>6</v>
      </c>
      <c r="E5" s="18">
        <v>22</v>
      </c>
      <c r="F5" s="2">
        <v>0.2638888888888889</v>
      </c>
      <c r="G5" s="3">
        <v>1216</v>
      </c>
    </row>
    <row r="6" spans="1:7" x14ac:dyDescent="0.3">
      <c r="A6">
        <v>5</v>
      </c>
      <c r="B6" t="s">
        <v>4</v>
      </c>
      <c r="C6" s="18">
        <v>69.8</v>
      </c>
      <c r="D6">
        <v>6</v>
      </c>
      <c r="E6" s="18">
        <v>37.799999999999997</v>
      </c>
      <c r="F6" s="2">
        <v>0.2986111111111111</v>
      </c>
      <c r="G6" s="3">
        <v>2336</v>
      </c>
    </row>
    <row r="7" spans="1:7" x14ac:dyDescent="0.3">
      <c r="A7">
        <v>6</v>
      </c>
      <c r="B7" t="s">
        <v>21</v>
      </c>
      <c r="C7" s="18">
        <v>65</v>
      </c>
      <c r="D7">
        <v>4</v>
      </c>
      <c r="E7" s="18">
        <v>26.5</v>
      </c>
      <c r="F7" s="2">
        <v>0.25486111111111109</v>
      </c>
      <c r="G7" s="3">
        <v>142</v>
      </c>
    </row>
    <row r="8" spans="1:7" x14ac:dyDescent="0.3">
      <c r="A8">
        <v>7</v>
      </c>
      <c r="B8" t="s">
        <v>24</v>
      </c>
      <c r="C8" s="18">
        <v>61.6</v>
      </c>
      <c r="D8">
        <v>4</v>
      </c>
      <c r="E8" s="18">
        <v>38.4</v>
      </c>
      <c r="F8" s="2">
        <v>0.35833333333333334</v>
      </c>
      <c r="G8" s="3">
        <v>2509</v>
      </c>
    </row>
    <row r="9" spans="1:7" x14ac:dyDescent="0.3">
      <c r="A9">
        <v>8</v>
      </c>
      <c r="B9" t="s">
        <v>8</v>
      </c>
      <c r="C9" s="18">
        <v>59.6</v>
      </c>
      <c r="D9">
        <v>7</v>
      </c>
      <c r="E9" s="18">
        <v>20</v>
      </c>
      <c r="F9" s="2">
        <v>0.2048611111111111</v>
      </c>
      <c r="G9" s="3">
        <v>181</v>
      </c>
    </row>
    <row r="10" spans="1:7" x14ac:dyDescent="0.3">
      <c r="A10">
        <v>9</v>
      </c>
      <c r="B10" t="s">
        <v>32</v>
      </c>
      <c r="C10" s="18">
        <v>53.5</v>
      </c>
      <c r="D10">
        <v>5</v>
      </c>
      <c r="E10" s="18">
        <v>17.399999999999999</v>
      </c>
      <c r="F10" s="2">
        <v>0.29930555555555555</v>
      </c>
      <c r="G10" s="3">
        <v>1256</v>
      </c>
    </row>
    <row r="11" spans="1:7" x14ac:dyDescent="0.3">
      <c r="A11">
        <v>10</v>
      </c>
      <c r="B11" t="s">
        <v>7</v>
      </c>
      <c r="C11" s="18">
        <v>52.6</v>
      </c>
      <c r="D11">
        <v>6</v>
      </c>
      <c r="E11" s="18">
        <v>25</v>
      </c>
      <c r="F11" s="2">
        <v>0.27291666666666664</v>
      </c>
      <c r="G11" s="3">
        <v>1658</v>
      </c>
    </row>
    <row r="12" spans="1:7" x14ac:dyDescent="0.3">
      <c r="A12">
        <v>11</v>
      </c>
      <c r="B12" t="s">
        <v>6</v>
      </c>
      <c r="C12" s="18">
        <v>52.2</v>
      </c>
      <c r="D12">
        <v>5</v>
      </c>
      <c r="E12" s="18">
        <v>12.9</v>
      </c>
      <c r="F12" s="2">
        <v>0.34166666666666667</v>
      </c>
      <c r="G12" s="3">
        <v>1774</v>
      </c>
    </row>
    <row r="13" spans="1:7" x14ac:dyDescent="0.3">
      <c r="A13">
        <v>12</v>
      </c>
      <c r="B13" t="s">
        <v>60</v>
      </c>
      <c r="C13" s="18">
        <v>52</v>
      </c>
      <c r="D13">
        <v>5</v>
      </c>
      <c r="E13" s="18">
        <v>26.3</v>
      </c>
      <c r="F13" s="2">
        <v>0.23541666666666666</v>
      </c>
      <c r="G13" s="3">
        <v>79</v>
      </c>
    </row>
    <row r="14" spans="1:7" x14ac:dyDescent="0.3">
      <c r="A14">
        <v>13</v>
      </c>
      <c r="B14" t="s">
        <v>22</v>
      </c>
      <c r="C14" s="18">
        <v>50.6</v>
      </c>
      <c r="D14">
        <v>2</v>
      </c>
      <c r="E14" s="18">
        <v>31</v>
      </c>
      <c r="F14" s="2">
        <v>0.2722222222222222</v>
      </c>
      <c r="G14" s="3">
        <v>32</v>
      </c>
    </row>
    <row r="15" spans="1:7" x14ac:dyDescent="0.3">
      <c r="A15">
        <v>14</v>
      </c>
      <c r="B15" t="s">
        <v>42</v>
      </c>
      <c r="C15" s="18">
        <v>46</v>
      </c>
      <c r="D15">
        <v>6</v>
      </c>
      <c r="E15" s="18">
        <v>14.5</v>
      </c>
      <c r="F15" s="2">
        <v>0.25486111111111109</v>
      </c>
      <c r="G15" s="3">
        <v>149</v>
      </c>
    </row>
    <row r="16" spans="1:7" x14ac:dyDescent="0.3">
      <c r="A16">
        <v>15</v>
      </c>
      <c r="B16" t="s">
        <v>52</v>
      </c>
      <c r="C16" s="18">
        <v>45.2</v>
      </c>
      <c r="D16">
        <v>4</v>
      </c>
      <c r="E16" s="18">
        <v>22</v>
      </c>
      <c r="F16" s="2">
        <v>0.25277777777777777</v>
      </c>
      <c r="G16" s="3">
        <v>224</v>
      </c>
    </row>
    <row r="17" spans="1:7" x14ac:dyDescent="0.3">
      <c r="A17">
        <v>16</v>
      </c>
      <c r="B17" t="s">
        <v>10</v>
      </c>
      <c r="C17" s="18">
        <v>44.5</v>
      </c>
      <c r="D17">
        <v>4</v>
      </c>
      <c r="E17" s="18">
        <v>18</v>
      </c>
      <c r="F17" s="2">
        <v>0.22708333333333333</v>
      </c>
      <c r="G17" s="3">
        <v>165</v>
      </c>
    </row>
    <row r="18" spans="1:7" x14ac:dyDescent="0.3">
      <c r="A18">
        <v>17</v>
      </c>
      <c r="B18" t="s">
        <v>15</v>
      </c>
      <c r="C18" s="18">
        <v>42</v>
      </c>
      <c r="D18">
        <v>3</v>
      </c>
      <c r="E18" s="18">
        <v>22</v>
      </c>
      <c r="F18" s="2">
        <v>0.29930555555555555</v>
      </c>
      <c r="G18" s="3">
        <v>1362</v>
      </c>
    </row>
    <row r="19" spans="1:7" x14ac:dyDescent="0.3">
      <c r="A19">
        <v>18</v>
      </c>
      <c r="B19" t="s">
        <v>27</v>
      </c>
      <c r="C19" s="18">
        <v>40.5</v>
      </c>
      <c r="D19">
        <v>3</v>
      </c>
      <c r="E19" s="18">
        <v>19</v>
      </c>
      <c r="F19" s="2">
        <v>0.34861111111111109</v>
      </c>
      <c r="G19" s="3">
        <v>1108</v>
      </c>
    </row>
    <row r="20" spans="1:7" x14ac:dyDescent="0.3">
      <c r="A20">
        <v>19</v>
      </c>
      <c r="B20" t="s">
        <v>14</v>
      </c>
      <c r="C20" s="18">
        <v>40</v>
      </c>
      <c r="D20">
        <v>3</v>
      </c>
      <c r="E20" s="18">
        <v>22</v>
      </c>
      <c r="F20" s="2">
        <v>0.23819444444444443</v>
      </c>
      <c r="G20" s="3">
        <v>244</v>
      </c>
    </row>
    <row r="21" spans="1:7" x14ac:dyDescent="0.3">
      <c r="A21">
        <v>20</v>
      </c>
      <c r="B21" t="s">
        <v>16</v>
      </c>
      <c r="C21" s="18">
        <v>38.5</v>
      </c>
      <c r="D21">
        <v>3</v>
      </c>
      <c r="E21" s="18">
        <v>19</v>
      </c>
      <c r="F21" s="2">
        <v>0.31111111111111112</v>
      </c>
      <c r="G21" s="3">
        <v>1171</v>
      </c>
    </row>
    <row r="22" spans="1:7" x14ac:dyDescent="0.3">
      <c r="A22">
        <v>21</v>
      </c>
      <c r="B22" t="s">
        <v>12</v>
      </c>
      <c r="C22" s="18">
        <v>38</v>
      </c>
      <c r="D22">
        <v>4</v>
      </c>
      <c r="E22" s="18">
        <v>15</v>
      </c>
      <c r="F22" s="2">
        <v>0.25833333333333336</v>
      </c>
      <c r="G22" s="3">
        <v>162</v>
      </c>
    </row>
    <row r="23" spans="1:7" x14ac:dyDescent="0.3">
      <c r="A23">
        <v>22</v>
      </c>
      <c r="B23" t="s">
        <v>47</v>
      </c>
      <c r="C23" s="18">
        <v>37.700000000000003</v>
      </c>
      <c r="D23">
        <v>13</v>
      </c>
      <c r="E23" s="18">
        <v>10.3</v>
      </c>
      <c r="F23" s="2">
        <v>0.65208333333333335</v>
      </c>
      <c r="G23" s="3">
        <v>125</v>
      </c>
    </row>
    <row r="24" spans="1:7" x14ac:dyDescent="0.3">
      <c r="A24">
        <v>23</v>
      </c>
      <c r="B24" t="s">
        <v>55</v>
      </c>
      <c r="C24" s="18">
        <v>36.4</v>
      </c>
      <c r="D24">
        <v>4</v>
      </c>
      <c r="E24" s="18">
        <v>15</v>
      </c>
      <c r="F24" s="2">
        <v>0.30972222222222223</v>
      </c>
      <c r="G24" s="3">
        <v>617</v>
      </c>
    </row>
    <row r="25" spans="1:7" x14ac:dyDescent="0.3">
      <c r="A25">
        <v>24</v>
      </c>
      <c r="B25" t="s">
        <v>44</v>
      </c>
      <c r="C25" s="18">
        <v>36.299999999999997</v>
      </c>
      <c r="D25">
        <v>3</v>
      </c>
      <c r="E25" s="18">
        <v>12.6</v>
      </c>
      <c r="F25" s="2">
        <v>0.31597222222222221</v>
      </c>
      <c r="G25" s="3">
        <v>687</v>
      </c>
    </row>
    <row r="26" spans="1:7" x14ac:dyDescent="0.3">
      <c r="A26">
        <v>25</v>
      </c>
      <c r="B26" t="s">
        <v>58</v>
      </c>
      <c r="C26" s="18">
        <v>33.799999999999997</v>
      </c>
      <c r="D26">
        <v>4</v>
      </c>
      <c r="E26" s="18">
        <v>12.1</v>
      </c>
      <c r="F26" s="2">
        <v>0.31180555555555556</v>
      </c>
      <c r="G26" s="3">
        <v>373</v>
      </c>
    </row>
    <row r="27" spans="1:7" x14ac:dyDescent="0.3">
      <c r="A27">
        <v>26</v>
      </c>
      <c r="B27" t="s">
        <v>61</v>
      </c>
      <c r="C27" s="18">
        <v>33.4</v>
      </c>
      <c r="D27">
        <v>4</v>
      </c>
      <c r="E27" s="18">
        <v>12.1</v>
      </c>
      <c r="F27" s="2">
        <v>0.32430555555555557</v>
      </c>
      <c r="G27" s="3">
        <v>424</v>
      </c>
    </row>
    <row r="28" spans="1:7" x14ac:dyDescent="0.3">
      <c r="A28">
        <v>27</v>
      </c>
      <c r="B28" t="s">
        <v>34</v>
      </c>
      <c r="C28" s="18">
        <v>32.700000000000003</v>
      </c>
      <c r="D28">
        <v>3</v>
      </c>
      <c r="E28" s="18">
        <v>13.4</v>
      </c>
      <c r="F28" s="2">
        <v>0.32083333333333336</v>
      </c>
      <c r="G28" s="3">
        <v>594</v>
      </c>
    </row>
    <row r="29" spans="1:7" x14ac:dyDescent="0.3">
      <c r="A29">
        <v>28</v>
      </c>
      <c r="B29" t="s">
        <v>51</v>
      </c>
      <c r="C29" s="18">
        <v>30.6</v>
      </c>
      <c r="D29">
        <v>4</v>
      </c>
      <c r="E29" s="18">
        <v>15.2</v>
      </c>
      <c r="F29" s="2">
        <v>0.27013888888888887</v>
      </c>
      <c r="G29" s="3">
        <v>135</v>
      </c>
    </row>
    <row r="30" spans="1:7" x14ac:dyDescent="0.3">
      <c r="A30">
        <v>29</v>
      </c>
      <c r="B30" t="s">
        <v>26</v>
      </c>
      <c r="C30" s="18">
        <v>30.3</v>
      </c>
      <c r="D30">
        <v>3</v>
      </c>
      <c r="E30" s="18">
        <v>10.1</v>
      </c>
      <c r="F30" s="2">
        <v>0.25347222222222221</v>
      </c>
      <c r="G30" s="3" t="s">
        <v>3</v>
      </c>
    </row>
    <row r="31" spans="1:7" x14ac:dyDescent="0.3">
      <c r="A31">
        <v>30</v>
      </c>
      <c r="B31" t="s">
        <v>53</v>
      </c>
      <c r="C31" s="18">
        <v>30</v>
      </c>
      <c r="D31">
        <v>1</v>
      </c>
      <c r="E31" s="18">
        <v>30</v>
      </c>
      <c r="F31" s="2">
        <v>0.22083333333333333</v>
      </c>
      <c r="G31" s="3">
        <v>16</v>
      </c>
    </row>
    <row r="32" spans="1:7" x14ac:dyDescent="0.3">
      <c r="A32">
        <v>31</v>
      </c>
      <c r="B32" t="s">
        <v>28</v>
      </c>
      <c r="C32" s="18">
        <v>29.8</v>
      </c>
      <c r="D32">
        <v>4</v>
      </c>
      <c r="E32" s="18">
        <v>13</v>
      </c>
      <c r="F32" s="2">
        <v>0.29305555555555557</v>
      </c>
      <c r="G32" s="3">
        <v>94</v>
      </c>
    </row>
    <row r="33" spans="1:7" x14ac:dyDescent="0.3">
      <c r="A33">
        <v>32</v>
      </c>
      <c r="B33" t="s">
        <v>20</v>
      </c>
      <c r="C33" s="18">
        <v>29.1</v>
      </c>
      <c r="D33">
        <v>3</v>
      </c>
      <c r="E33" s="18">
        <v>10.5</v>
      </c>
      <c r="F33" s="2">
        <v>0.24236111111111111</v>
      </c>
      <c r="G33" s="3">
        <v>245</v>
      </c>
    </row>
    <row r="34" spans="1:7" x14ac:dyDescent="0.3">
      <c r="A34">
        <v>33</v>
      </c>
      <c r="B34" t="s">
        <v>54</v>
      </c>
      <c r="C34" s="18">
        <v>28.4</v>
      </c>
      <c r="D34">
        <v>3</v>
      </c>
      <c r="E34" s="18">
        <v>12</v>
      </c>
      <c r="F34" s="2">
        <v>0.26041666666666669</v>
      </c>
      <c r="G34" s="3">
        <v>100</v>
      </c>
    </row>
    <row r="35" spans="1:7" x14ac:dyDescent="0.3">
      <c r="A35">
        <v>34</v>
      </c>
      <c r="B35" t="s">
        <v>19</v>
      </c>
      <c r="C35" s="18">
        <v>27.7</v>
      </c>
      <c r="D35">
        <v>3</v>
      </c>
      <c r="E35" s="18">
        <v>10.3</v>
      </c>
      <c r="F35" s="2">
        <v>0.22777777777777777</v>
      </c>
      <c r="G35" s="3">
        <v>392</v>
      </c>
    </row>
    <row r="36" spans="1:7" x14ac:dyDescent="0.3">
      <c r="A36">
        <v>35</v>
      </c>
      <c r="B36" t="s">
        <v>48</v>
      </c>
      <c r="C36" s="18">
        <v>25.8</v>
      </c>
      <c r="D36">
        <v>3</v>
      </c>
      <c r="E36" s="18">
        <v>10.199999999999999</v>
      </c>
      <c r="F36" s="2">
        <v>0.27291666666666664</v>
      </c>
      <c r="G36" s="3">
        <v>229</v>
      </c>
    </row>
    <row r="37" spans="1:7" x14ac:dyDescent="0.3">
      <c r="A37">
        <v>36</v>
      </c>
      <c r="B37" t="s">
        <v>40</v>
      </c>
      <c r="C37" s="18">
        <v>25.3</v>
      </c>
      <c r="D37">
        <v>3</v>
      </c>
      <c r="E37" s="18">
        <v>10</v>
      </c>
      <c r="F37" s="2">
        <v>0.26041666666666669</v>
      </c>
      <c r="G37" s="3">
        <v>263</v>
      </c>
    </row>
    <row r="38" spans="1:7" x14ac:dyDescent="0.3">
      <c r="A38">
        <v>37</v>
      </c>
      <c r="B38" t="s">
        <v>30</v>
      </c>
      <c r="C38" s="18">
        <v>25.2</v>
      </c>
      <c r="D38">
        <v>6</v>
      </c>
      <c r="E38" s="18">
        <v>9</v>
      </c>
      <c r="F38" s="2">
        <v>0.27430555555555558</v>
      </c>
      <c r="G38" s="3">
        <v>133</v>
      </c>
    </row>
    <row r="39" spans="1:7" x14ac:dyDescent="0.3">
      <c r="A39">
        <v>38</v>
      </c>
      <c r="B39" t="s">
        <v>25</v>
      </c>
      <c r="C39" s="18">
        <v>24.8</v>
      </c>
      <c r="D39">
        <v>2</v>
      </c>
      <c r="E39" s="18">
        <v>13.1</v>
      </c>
      <c r="F39" s="2">
        <v>0.3125</v>
      </c>
      <c r="G39" s="3">
        <v>611</v>
      </c>
    </row>
    <row r="40" spans="1:7" x14ac:dyDescent="0.3">
      <c r="A40" s="16">
        <v>39</v>
      </c>
      <c r="B40" s="16" t="s">
        <v>193</v>
      </c>
      <c r="C40" s="19">
        <v>23.9</v>
      </c>
      <c r="D40" s="16">
        <v>1</v>
      </c>
      <c r="E40" s="19">
        <v>23.9</v>
      </c>
      <c r="F40" s="17">
        <v>0.46388888888888891</v>
      </c>
      <c r="G40" s="20">
        <v>537</v>
      </c>
    </row>
    <row r="41" spans="1:7" x14ac:dyDescent="0.3">
      <c r="A41">
        <v>40</v>
      </c>
      <c r="B41" t="s">
        <v>50</v>
      </c>
      <c r="C41" s="18">
        <v>23.6</v>
      </c>
      <c r="D41">
        <v>2</v>
      </c>
      <c r="E41" s="18">
        <v>13.2</v>
      </c>
      <c r="F41" s="2">
        <v>0.25138888888888888</v>
      </c>
      <c r="G41" s="3">
        <v>72</v>
      </c>
    </row>
    <row r="42" spans="1:7" x14ac:dyDescent="0.3">
      <c r="A42">
        <v>41</v>
      </c>
      <c r="B42" t="s">
        <v>29</v>
      </c>
      <c r="C42" s="18">
        <v>22.6</v>
      </c>
      <c r="D42">
        <v>2</v>
      </c>
      <c r="E42" s="18">
        <v>12.6</v>
      </c>
      <c r="F42" s="2">
        <v>0.30069444444444443</v>
      </c>
      <c r="G42" s="3">
        <v>307</v>
      </c>
    </row>
    <row r="43" spans="1:7" x14ac:dyDescent="0.3">
      <c r="A43">
        <v>42</v>
      </c>
      <c r="B43" t="s">
        <v>36</v>
      </c>
      <c r="C43" s="18">
        <v>22.4</v>
      </c>
      <c r="D43">
        <v>2</v>
      </c>
      <c r="E43" s="18">
        <v>12.4</v>
      </c>
      <c r="F43" s="2">
        <v>0.31319444444444444</v>
      </c>
      <c r="G43" s="3">
        <v>196</v>
      </c>
    </row>
    <row r="44" spans="1:7" x14ac:dyDescent="0.3">
      <c r="A44">
        <v>43</v>
      </c>
      <c r="B44" t="s">
        <v>65</v>
      </c>
      <c r="C44" s="18">
        <v>21.7</v>
      </c>
      <c r="D44">
        <v>2</v>
      </c>
      <c r="E44" s="18">
        <v>11</v>
      </c>
      <c r="F44" s="2">
        <v>0.24791666666666667</v>
      </c>
      <c r="G44" s="3">
        <v>122</v>
      </c>
    </row>
    <row r="45" spans="1:7" x14ac:dyDescent="0.3">
      <c r="A45">
        <v>44</v>
      </c>
      <c r="B45" t="s">
        <v>174</v>
      </c>
      <c r="C45" s="18">
        <v>20.5</v>
      </c>
      <c r="D45">
        <v>2</v>
      </c>
      <c r="E45" s="18">
        <v>11.2</v>
      </c>
      <c r="F45" s="2">
        <v>0.53611111111111109</v>
      </c>
      <c r="G45" s="3">
        <v>416</v>
      </c>
    </row>
    <row r="46" spans="1:7" x14ac:dyDescent="0.3">
      <c r="A46">
        <v>45</v>
      </c>
      <c r="B46" t="s">
        <v>62</v>
      </c>
      <c r="C46" s="18">
        <v>20.100000000000001</v>
      </c>
      <c r="D46">
        <v>3</v>
      </c>
      <c r="E46" s="18">
        <v>12.1</v>
      </c>
      <c r="F46" s="2">
        <v>0.27916666666666667</v>
      </c>
      <c r="G46" s="3">
        <v>892</v>
      </c>
    </row>
    <row r="47" spans="1:7" x14ac:dyDescent="0.3">
      <c r="A47">
        <v>46</v>
      </c>
      <c r="B47" t="s">
        <v>178</v>
      </c>
      <c r="C47" s="18">
        <v>20</v>
      </c>
      <c r="D47">
        <v>2</v>
      </c>
      <c r="E47" s="18">
        <v>10</v>
      </c>
      <c r="F47" s="2">
        <v>0.26250000000000001</v>
      </c>
      <c r="G47" s="3">
        <v>241</v>
      </c>
    </row>
    <row r="48" spans="1:7" x14ac:dyDescent="0.3">
      <c r="A48">
        <v>47</v>
      </c>
      <c r="B48" t="s">
        <v>18</v>
      </c>
      <c r="C48" s="18">
        <v>19.899999999999999</v>
      </c>
      <c r="D48">
        <v>2</v>
      </c>
      <c r="E48" s="18">
        <v>10</v>
      </c>
      <c r="F48" s="2">
        <v>0.24097222222222223</v>
      </c>
      <c r="G48" s="3">
        <v>464</v>
      </c>
    </row>
    <row r="49" spans="1:7" x14ac:dyDescent="0.3">
      <c r="A49">
        <v>48</v>
      </c>
      <c r="B49" t="s">
        <v>45</v>
      </c>
      <c r="C49" s="18">
        <v>19.7</v>
      </c>
      <c r="D49">
        <v>2</v>
      </c>
      <c r="E49" s="18">
        <v>10</v>
      </c>
      <c r="F49" s="2">
        <v>0.36875000000000002</v>
      </c>
      <c r="G49" s="3">
        <v>116</v>
      </c>
    </row>
    <row r="50" spans="1:7" x14ac:dyDescent="0.3">
      <c r="A50" s="16">
        <v>49</v>
      </c>
      <c r="B50" s="16" t="s">
        <v>194</v>
      </c>
      <c r="C50" s="19">
        <v>19.100000000000001</v>
      </c>
      <c r="D50" s="16">
        <v>2</v>
      </c>
      <c r="E50" s="19">
        <v>11.2</v>
      </c>
      <c r="F50" s="17">
        <v>0.4909722222222222</v>
      </c>
      <c r="G50" s="20">
        <v>367</v>
      </c>
    </row>
    <row r="51" spans="1:7" x14ac:dyDescent="0.3">
      <c r="A51">
        <v>50</v>
      </c>
      <c r="B51" t="s">
        <v>180</v>
      </c>
      <c r="C51" s="18">
        <v>17.899999999999999</v>
      </c>
      <c r="D51">
        <v>1</v>
      </c>
      <c r="E51" s="18">
        <v>17.899999999999999</v>
      </c>
      <c r="F51" s="2">
        <v>1.0006944444444446</v>
      </c>
      <c r="G51" s="3">
        <v>466</v>
      </c>
    </row>
    <row r="52" spans="1:7" x14ac:dyDescent="0.3">
      <c r="A52">
        <v>51</v>
      </c>
      <c r="B52" t="s">
        <v>17</v>
      </c>
      <c r="C52" s="18">
        <v>17.8</v>
      </c>
      <c r="D52">
        <v>2</v>
      </c>
      <c r="E52" s="18">
        <v>10.6</v>
      </c>
      <c r="F52" s="2">
        <v>0.28333333333333333</v>
      </c>
      <c r="G52" s="3">
        <v>261</v>
      </c>
    </row>
    <row r="53" spans="1:7" x14ac:dyDescent="0.3">
      <c r="A53">
        <v>52</v>
      </c>
      <c r="B53" t="s">
        <v>31</v>
      </c>
      <c r="C53" s="18">
        <v>16.100000000000001</v>
      </c>
      <c r="D53">
        <v>2</v>
      </c>
      <c r="E53" s="18">
        <v>8.6999999999999993</v>
      </c>
      <c r="F53" s="2">
        <v>0.24791666666666667</v>
      </c>
      <c r="G53" s="3">
        <v>174</v>
      </c>
    </row>
    <row r="54" spans="1:7" x14ac:dyDescent="0.3">
      <c r="A54">
        <v>53</v>
      </c>
      <c r="B54" t="s">
        <v>70</v>
      </c>
      <c r="C54" s="18">
        <v>15.6</v>
      </c>
      <c r="D54">
        <v>2</v>
      </c>
      <c r="E54" s="18">
        <v>8.9</v>
      </c>
      <c r="F54" s="2">
        <v>0.27083333333333331</v>
      </c>
      <c r="G54" s="3">
        <v>99</v>
      </c>
    </row>
    <row r="55" spans="1:7" x14ac:dyDescent="0.3">
      <c r="A55">
        <v>54</v>
      </c>
      <c r="B55" t="s">
        <v>73</v>
      </c>
      <c r="C55" s="18">
        <v>15.2</v>
      </c>
      <c r="D55">
        <v>2</v>
      </c>
      <c r="E55" s="18">
        <v>8.1999999999999993</v>
      </c>
      <c r="F55" s="2">
        <v>0.32361111111111113</v>
      </c>
      <c r="G55" s="3">
        <v>93</v>
      </c>
    </row>
    <row r="56" spans="1:7" x14ac:dyDescent="0.3">
      <c r="A56">
        <v>55</v>
      </c>
      <c r="B56" t="s">
        <v>38</v>
      </c>
      <c r="C56" s="18">
        <v>15.2</v>
      </c>
      <c r="D56">
        <v>5</v>
      </c>
      <c r="E56" s="18">
        <v>5.8</v>
      </c>
      <c r="F56" s="2">
        <v>0.27847222222222223</v>
      </c>
      <c r="G56" s="3">
        <v>135</v>
      </c>
    </row>
    <row r="57" spans="1:7" x14ac:dyDescent="0.3">
      <c r="A57">
        <v>56</v>
      </c>
      <c r="B57" t="s">
        <v>35</v>
      </c>
      <c r="C57" s="18">
        <v>15</v>
      </c>
      <c r="D57">
        <v>2</v>
      </c>
      <c r="E57" s="18">
        <v>10</v>
      </c>
      <c r="F57" s="2">
        <v>0.23402777777777778</v>
      </c>
      <c r="G57" s="3">
        <v>176</v>
      </c>
    </row>
    <row r="58" spans="1:7" x14ac:dyDescent="0.3">
      <c r="A58" s="16">
        <v>57</v>
      </c>
      <c r="B58" s="16" t="s">
        <v>195</v>
      </c>
      <c r="C58" s="19">
        <v>13.5</v>
      </c>
      <c r="D58" s="16">
        <v>2</v>
      </c>
      <c r="E58" s="19">
        <v>7</v>
      </c>
      <c r="F58" s="17">
        <v>0.25347222222222221</v>
      </c>
      <c r="G58" s="20">
        <v>85</v>
      </c>
    </row>
    <row r="59" spans="1:7" x14ac:dyDescent="0.3">
      <c r="A59">
        <v>58</v>
      </c>
      <c r="B59" t="s">
        <v>76</v>
      </c>
      <c r="C59" s="18">
        <v>13</v>
      </c>
      <c r="D59">
        <v>2</v>
      </c>
      <c r="E59" s="18">
        <v>8</v>
      </c>
      <c r="F59" s="2">
        <v>0.24236111111111111</v>
      </c>
      <c r="G59" s="3">
        <v>116</v>
      </c>
    </row>
    <row r="60" spans="1:7" x14ac:dyDescent="0.3">
      <c r="A60">
        <v>59</v>
      </c>
      <c r="B60" t="s">
        <v>56</v>
      </c>
      <c r="C60" s="18">
        <v>12.7</v>
      </c>
      <c r="D60">
        <v>2</v>
      </c>
      <c r="E60" s="18">
        <v>6.3</v>
      </c>
      <c r="F60" s="2">
        <v>0.34166666666666667</v>
      </c>
      <c r="G60" s="3">
        <v>521</v>
      </c>
    </row>
    <row r="61" spans="1:7" x14ac:dyDescent="0.3">
      <c r="A61">
        <v>60</v>
      </c>
      <c r="B61" t="s">
        <v>39</v>
      </c>
      <c r="C61" s="18">
        <v>11.8</v>
      </c>
      <c r="D61">
        <v>1</v>
      </c>
      <c r="E61" s="18">
        <v>11.8</v>
      </c>
      <c r="F61" s="2">
        <v>0.32222222222222224</v>
      </c>
      <c r="G61" s="3">
        <v>345</v>
      </c>
    </row>
    <row r="62" spans="1:7" x14ac:dyDescent="0.3">
      <c r="A62">
        <v>61</v>
      </c>
      <c r="B62" t="s">
        <v>68</v>
      </c>
      <c r="C62" s="18">
        <v>10.9</v>
      </c>
      <c r="D62">
        <v>1</v>
      </c>
      <c r="E62" s="18">
        <v>10.9</v>
      </c>
      <c r="F62" s="2">
        <v>0.23541666666666666</v>
      </c>
      <c r="G62" s="3">
        <v>60</v>
      </c>
    </row>
    <row r="63" spans="1:7" x14ac:dyDescent="0.3">
      <c r="A63">
        <v>62</v>
      </c>
      <c r="B63" t="s">
        <v>33</v>
      </c>
      <c r="C63" s="18">
        <v>10.8</v>
      </c>
      <c r="D63">
        <v>4</v>
      </c>
      <c r="E63" s="18">
        <v>4.3</v>
      </c>
      <c r="F63" s="2">
        <v>0.37986111111111109</v>
      </c>
      <c r="G63" s="3" t="s">
        <v>3</v>
      </c>
    </row>
    <row r="64" spans="1:7" x14ac:dyDescent="0.3">
      <c r="A64">
        <v>63</v>
      </c>
      <c r="B64" t="s">
        <v>43</v>
      </c>
      <c r="C64" s="18">
        <v>10.6</v>
      </c>
      <c r="D64">
        <v>1</v>
      </c>
      <c r="E64" s="18">
        <v>10.6</v>
      </c>
      <c r="F64" s="2">
        <v>0.32847222222222222</v>
      </c>
      <c r="G64" s="3">
        <v>137</v>
      </c>
    </row>
    <row r="65" spans="1:7" x14ac:dyDescent="0.3">
      <c r="A65">
        <v>64</v>
      </c>
      <c r="B65" t="s">
        <v>41</v>
      </c>
      <c r="C65" s="18">
        <v>10.6</v>
      </c>
      <c r="D65">
        <v>1</v>
      </c>
      <c r="E65" s="18">
        <v>10.6</v>
      </c>
      <c r="F65" s="2">
        <v>0.2986111111111111</v>
      </c>
      <c r="G65" s="3">
        <v>131</v>
      </c>
    </row>
    <row r="66" spans="1:7" x14ac:dyDescent="0.3">
      <c r="A66">
        <v>65</v>
      </c>
      <c r="B66" t="s">
        <v>172</v>
      </c>
      <c r="C66" s="18">
        <v>10.3</v>
      </c>
      <c r="D66">
        <v>1</v>
      </c>
      <c r="E66" s="18">
        <v>10.3</v>
      </c>
      <c r="F66" s="2">
        <v>0.29375000000000001</v>
      </c>
      <c r="G66" s="3">
        <v>73</v>
      </c>
    </row>
    <row r="67" spans="1:7" x14ac:dyDescent="0.3">
      <c r="A67" s="16">
        <v>66</v>
      </c>
      <c r="B67" s="16" t="s">
        <v>196</v>
      </c>
      <c r="C67" s="19">
        <v>10.1</v>
      </c>
      <c r="D67" s="16">
        <v>1</v>
      </c>
      <c r="E67" s="19">
        <v>10.1</v>
      </c>
      <c r="F67" s="17">
        <v>0.34166666666666667</v>
      </c>
      <c r="G67" s="20">
        <v>119</v>
      </c>
    </row>
    <row r="68" spans="1:7" x14ac:dyDescent="0.3">
      <c r="A68">
        <v>67</v>
      </c>
      <c r="B68" t="s">
        <v>179</v>
      </c>
      <c r="C68" s="18">
        <v>10</v>
      </c>
      <c r="D68">
        <v>1</v>
      </c>
      <c r="E68" s="18">
        <v>10</v>
      </c>
      <c r="F68" s="2">
        <v>0.27986111111111112</v>
      </c>
      <c r="G68" s="3">
        <v>135</v>
      </c>
    </row>
    <row r="69" spans="1:7" x14ac:dyDescent="0.3">
      <c r="A69">
        <v>68</v>
      </c>
      <c r="B69" t="s">
        <v>66</v>
      </c>
      <c r="C69" s="18">
        <v>10</v>
      </c>
      <c r="D69">
        <v>1</v>
      </c>
      <c r="E69" s="18">
        <v>10</v>
      </c>
      <c r="F69" s="2">
        <v>0.3</v>
      </c>
      <c r="G69" s="3">
        <v>90</v>
      </c>
    </row>
    <row r="70" spans="1:7" x14ac:dyDescent="0.3">
      <c r="A70">
        <v>69</v>
      </c>
      <c r="B70" t="s">
        <v>69</v>
      </c>
      <c r="C70" s="18">
        <v>10</v>
      </c>
      <c r="D70">
        <v>1</v>
      </c>
      <c r="E70" s="18">
        <v>10</v>
      </c>
      <c r="F70" s="2">
        <v>0.26041666666666669</v>
      </c>
      <c r="G70" s="3">
        <v>103</v>
      </c>
    </row>
    <row r="71" spans="1:7" x14ac:dyDescent="0.3">
      <c r="A71">
        <v>70</v>
      </c>
      <c r="B71" t="s">
        <v>177</v>
      </c>
      <c r="C71" s="18">
        <v>10</v>
      </c>
      <c r="D71">
        <v>1</v>
      </c>
      <c r="E71" s="18">
        <v>10</v>
      </c>
      <c r="F71" s="2">
        <v>0.24652777777777779</v>
      </c>
      <c r="G71" s="3">
        <v>109</v>
      </c>
    </row>
    <row r="72" spans="1:7" x14ac:dyDescent="0.3">
      <c r="A72">
        <v>71</v>
      </c>
      <c r="B72" t="s">
        <v>181</v>
      </c>
      <c r="C72" s="18">
        <v>9.6</v>
      </c>
      <c r="D72">
        <v>2</v>
      </c>
      <c r="E72" s="18">
        <v>5.3</v>
      </c>
      <c r="F72" s="2">
        <v>0.47430555555555554</v>
      </c>
      <c r="G72" s="3">
        <v>39</v>
      </c>
    </row>
    <row r="73" spans="1:7" x14ac:dyDescent="0.3">
      <c r="A73">
        <v>72</v>
      </c>
      <c r="B73" t="s">
        <v>57</v>
      </c>
      <c r="C73" s="18">
        <v>8.6</v>
      </c>
      <c r="D73">
        <v>1</v>
      </c>
      <c r="E73" s="18">
        <v>8.6</v>
      </c>
      <c r="F73" s="2">
        <v>0.24097222222222223</v>
      </c>
      <c r="G73" s="3">
        <v>6</v>
      </c>
    </row>
    <row r="74" spans="1:7" x14ac:dyDescent="0.3">
      <c r="A74">
        <v>73</v>
      </c>
      <c r="B74" t="s">
        <v>78</v>
      </c>
      <c r="C74" s="18">
        <v>8.3000000000000007</v>
      </c>
      <c r="D74">
        <v>3</v>
      </c>
      <c r="E74" s="18">
        <v>5</v>
      </c>
      <c r="F74" s="2">
        <v>0.25138888888888888</v>
      </c>
      <c r="G74" s="3">
        <v>39</v>
      </c>
    </row>
    <row r="75" spans="1:7" x14ac:dyDescent="0.3">
      <c r="A75">
        <v>74</v>
      </c>
      <c r="B75" t="s">
        <v>72</v>
      </c>
      <c r="C75" s="18">
        <v>8</v>
      </c>
      <c r="D75">
        <v>1</v>
      </c>
      <c r="E75" s="18">
        <v>8</v>
      </c>
      <c r="F75" s="2">
        <v>0.24513888888888888</v>
      </c>
      <c r="G75" s="3">
        <v>55</v>
      </c>
    </row>
    <row r="76" spans="1:7" x14ac:dyDescent="0.3">
      <c r="A76">
        <v>75</v>
      </c>
      <c r="B76" t="s">
        <v>77</v>
      </c>
      <c r="C76" s="18">
        <v>8</v>
      </c>
      <c r="D76">
        <v>1</v>
      </c>
      <c r="E76" s="18">
        <v>8</v>
      </c>
      <c r="F76" s="2">
        <v>0.26527777777777778</v>
      </c>
      <c r="G76" s="3">
        <v>122</v>
      </c>
    </row>
    <row r="77" spans="1:7" x14ac:dyDescent="0.3">
      <c r="A77">
        <v>76</v>
      </c>
      <c r="B77" t="s">
        <v>49</v>
      </c>
      <c r="C77" s="18">
        <v>6.4</v>
      </c>
      <c r="D77">
        <v>3</v>
      </c>
      <c r="E77" s="18">
        <v>3.1</v>
      </c>
      <c r="F77" s="2">
        <v>0.24374999999999999</v>
      </c>
      <c r="G77" s="3">
        <v>25</v>
      </c>
    </row>
    <row r="78" spans="1:7" x14ac:dyDescent="0.3">
      <c r="A78">
        <v>77</v>
      </c>
      <c r="B78" t="s">
        <v>81</v>
      </c>
      <c r="C78" s="18">
        <v>5.8</v>
      </c>
      <c r="D78">
        <v>3</v>
      </c>
      <c r="E78" s="18">
        <v>2.1</v>
      </c>
      <c r="F78" s="2">
        <v>0.44583333333333336</v>
      </c>
      <c r="G78" s="3">
        <v>5</v>
      </c>
    </row>
    <row r="79" spans="1:7" x14ac:dyDescent="0.3">
      <c r="A79">
        <v>78</v>
      </c>
      <c r="B79" t="s">
        <v>75</v>
      </c>
      <c r="C79" s="18">
        <v>5.3</v>
      </c>
      <c r="D79">
        <v>1</v>
      </c>
      <c r="E79" s="18">
        <v>5.3</v>
      </c>
      <c r="F79" s="2">
        <v>0.27083333333333331</v>
      </c>
      <c r="G79" s="3">
        <v>36</v>
      </c>
    </row>
    <row r="80" spans="1:7" x14ac:dyDescent="0.3">
      <c r="A80">
        <v>79</v>
      </c>
      <c r="B80" t="s">
        <v>79</v>
      </c>
      <c r="C80" s="18">
        <v>5.3</v>
      </c>
      <c r="D80">
        <v>1</v>
      </c>
      <c r="E80" s="18">
        <v>5.3</v>
      </c>
      <c r="F80" s="2">
        <v>0.34305555555555556</v>
      </c>
      <c r="G80" s="3">
        <v>75</v>
      </c>
    </row>
    <row r="81" spans="1:7" x14ac:dyDescent="0.3">
      <c r="A81">
        <v>80</v>
      </c>
      <c r="B81" t="s">
        <v>67</v>
      </c>
      <c r="C81" s="18">
        <v>5</v>
      </c>
      <c r="D81">
        <v>1</v>
      </c>
      <c r="E81" s="18">
        <v>5</v>
      </c>
      <c r="F81" s="2">
        <v>0.21388888888888888</v>
      </c>
      <c r="G81" s="3">
        <v>7</v>
      </c>
    </row>
    <row r="82" spans="1:7" x14ac:dyDescent="0.3">
      <c r="A82">
        <v>81</v>
      </c>
      <c r="B82" t="s">
        <v>63</v>
      </c>
      <c r="C82" s="18">
        <v>5</v>
      </c>
      <c r="D82">
        <v>1</v>
      </c>
      <c r="E82" s="18">
        <v>5</v>
      </c>
      <c r="F82" s="2">
        <v>0.26944444444444443</v>
      </c>
      <c r="G82" s="3">
        <v>14</v>
      </c>
    </row>
    <row r="83" spans="1:7" x14ac:dyDescent="0.3">
      <c r="A83" s="16">
        <v>82</v>
      </c>
      <c r="B83" s="16" t="s">
        <v>197</v>
      </c>
      <c r="C83" s="19">
        <v>2.5</v>
      </c>
      <c r="D83" s="16">
        <v>2</v>
      </c>
      <c r="E83" s="19">
        <v>1.6</v>
      </c>
      <c r="F83" s="17">
        <v>0.25208333333333333</v>
      </c>
      <c r="G83" s="20" t="s">
        <v>3</v>
      </c>
    </row>
    <row r="84" spans="1:7" x14ac:dyDescent="0.3">
      <c r="A84" s="16">
        <v>83</v>
      </c>
      <c r="B84" s="16" t="s">
        <v>198</v>
      </c>
      <c r="C84" s="19">
        <v>1.7</v>
      </c>
      <c r="D84" s="16">
        <v>1</v>
      </c>
      <c r="E84" s="19">
        <v>1.7</v>
      </c>
      <c r="F84" s="17">
        <v>0.30694444444444446</v>
      </c>
      <c r="G84" s="20" t="s">
        <v>3</v>
      </c>
    </row>
  </sheetData>
  <autoFilter ref="A1:H84" xr:uid="{70E88085-5491-4AC1-8E2E-5AD0E39DD7B9}"/>
  <pageMargins left="0.7" right="0.7" top="0.75" bottom="0.75" header="0.3" footer="0.3"/>
  <headerFooter>
    <oddFooter>&amp;C_x000D_&amp;1#&amp;"Calibri"&amp;8&amp;K000000 Public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95D91-4508-4A56-A8BC-3377E7F0086C}">
  <dimension ref="A1:G76"/>
  <sheetViews>
    <sheetView topLeftCell="A47" workbookViewId="0">
      <selection activeCell="F76" sqref="F76"/>
    </sheetView>
  </sheetViews>
  <sheetFormatPr defaultRowHeight="14.4" x14ac:dyDescent="0.3"/>
  <cols>
    <col min="2" max="2" width="8.88671875" customWidth="1"/>
  </cols>
  <sheetData>
    <row r="1" spans="1:7" x14ac:dyDescent="0.3">
      <c r="A1" s="1" t="s">
        <v>0</v>
      </c>
      <c r="B1" s="1" t="s">
        <v>1</v>
      </c>
      <c r="C1" s="1" t="s">
        <v>82</v>
      </c>
      <c r="D1" s="1" t="s">
        <v>2</v>
      </c>
      <c r="E1" s="1" t="s">
        <v>83</v>
      </c>
      <c r="F1" s="1" t="s">
        <v>84</v>
      </c>
      <c r="G1" s="1" t="s">
        <v>85</v>
      </c>
    </row>
    <row r="2" spans="1:7" x14ac:dyDescent="0.3">
      <c r="A2">
        <v>1</v>
      </c>
      <c r="B2" t="s">
        <v>4</v>
      </c>
      <c r="C2" s="18">
        <v>125</v>
      </c>
      <c r="D2">
        <v>8</v>
      </c>
      <c r="E2" s="18">
        <v>21.3</v>
      </c>
      <c r="F2" s="2">
        <v>0.23680555555555555</v>
      </c>
      <c r="G2" s="3">
        <v>1174</v>
      </c>
    </row>
    <row r="3" spans="1:7" x14ac:dyDescent="0.3">
      <c r="A3">
        <v>2</v>
      </c>
      <c r="B3" t="s">
        <v>13</v>
      </c>
      <c r="C3" s="18">
        <v>84.3</v>
      </c>
      <c r="D3">
        <v>7</v>
      </c>
      <c r="E3" s="18">
        <v>21.3</v>
      </c>
      <c r="F3" s="2">
        <v>0.26041666666666669</v>
      </c>
      <c r="G3" s="3">
        <v>2139</v>
      </c>
    </row>
    <row r="4" spans="1:7" x14ac:dyDescent="0.3">
      <c r="A4">
        <v>3</v>
      </c>
      <c r="B4" t="s">
        <v>9</v>
      </c>
      <c r="C4" s="18">
        <v>77</v>
      </c>
      <c r="D4">
        <v>5</v>
      </c>
      <c r="E4" s="18">
        <v>42.5</v>
      </c>
      <c r="F4" s="2">
        <v>0.25486111111111109</v>
      </c>
      <c r="G4" s="3">
        <v>654</v>
      </c>
    </row>
    <row r="5" spans="1:7" x14ac:dyDescent="0.3">
      <c r="A5">
        <v>4</v>
      </c>
      <c r="B5" t="s">
        <v>32</v>
      </c>
      <c r="C5" s="18">
        <v>64.2</v>
      </c>
      <c r="D5">
        <v>6</v>
      </c>
      <c r="E5" s="18">
        <v>18.3</v>
      </c>
      <c r="F5" s="2">
        <v>0.30277777777777776</v>
      </c>
      <c r="G5" s="3">
        <v>1558</v>
      </c>
    </row>
    <row r="6" spans="1:7" x14ac:dyDescent="0.3">
      <c r="A6">
        <v>5</v>
      </c>
      <c r="B6" t="s">
        <v>34</v>
      </c>
      <c r="C6" s="18">
        <v>62.5</v>
      </c>
      <c r="D6">
        <v>5</v>
      </c>
      <c r="E6" s="18">
        <v>17.899999999999999</v>
      </c>
      <c r="F6" s="2">
        <v>0.3659722222222222</v>
      </c>
      <c r="G6" s="3">
        <v>1557</v>
      </c>
    </row>
    <row r="7" spans="1:7" x14ac:dyDescent="0.3">
      <c r="A7">
        <v>6</v>
      </c>
      <c r="B7" t="s">
        <v>5</v>
      </c>
      <c r="C7" s="18">
        <v>57.6</v>
      </c>
      <c r="D7">
        <v>3</v>
      </c>
      <c r="E7" s="18">
        <v>29.3</v>
      </c>
      <c r="F7" s="2">
        <v>0.23680555555555555</v>
      </c>
      <c r="G7" s="3">
        <v>1701</v>
      </c>
    </row>
    <row r="8" spans="1:7" x14ac:dyDescent="0.3">
      <c r="A8">
        <v>7</v>
      </c>
      <c r="B8" t="s">
        <v>16</v>
      </c>
      <c r="C8" s="18">
        <v>56.7</v>
      </c>
      <c r="D8">
        <v>4</v>
      </c>
      <c r="E8" s="18">
        <v>25.7</v>
      </c>
      <c r="F8" s="2">
        <v>0.31944444444444442</v>
      </c>
      <c r="G8" s="3">
        <v>2120</v>
      </c>
    </row>
    <row r="9" spans="1:7" x14ac:dyDescent="0.3">
      <c r="A9">
        <v>8</v>
      </c>
      <c r="B9" t="s">
        <v>10</v>
      </c>
      <c r="C9" s="18">
        <v>56.2</v>
      </c>
      <c r="D9">
        <v>5</v>
      </c>
      <c r="E9" s="18">
        <v>21.1</v>
      </c>
      <c r="F9" s="2">
        <v>0.21111111111111111</v>
      </c>
      <c r="G9" s="3">
        <v>304</v>
      </c>
    </row>
    <row r="10" spans="1:7" x14ac:dyDescent="0.3">
      <c r="A10">
        <v>9</v>
      </c>
      <c r="B10" t="s">
        <v>8</v>
      </c>
      <c r="C10" s="18">
        <v>54.1</v>
      </c>
      <c r="D10">
        <v>7</v>
      </c>
      <c r="E10" s="18">
        <v>16</v>
      </c>
      <c r="F10" s="2">
        <v>0.19375000000000001</v>
      </c>
      <c r="G10" s="3">
        <v>321</v>
      </c>
    </row>
    <row r="11" spans="1:7" x14ac:dyDescent="0.3">
      <c r="A11">
        <v>10</v>
      </c>
      <c r="B11" t="s">
        <v>24</v>
      </c>
      <c r="C11" s="18">
        <v>53.2</v>
      </c>
      <c r="D11">
        <v>2</v>
      </c>
      <c r="E11" s="18">
        <v>43</v>
      </c>
      <c r="F11" s="2">
        <v>0.32291666666666669</v>
      </c>
      <c r="G11" s="3">
        <v>1000</v>
      </c>
    </row>
    <row r="12" spans="1:7" x14ac:dyDescent="0.3">
      <c r="A12">
        <v>11</v>
      </c>
      <c r="B12" t="s">
        <v>52</v>
      </c>
      <c r="C12" s="18">
        <v>50.7</v>
      </c>
      <c r="D12">
        <v>4</v>
      </c>
      <c r="E12" s="18">
        <v>26.4</v>
      </c>
      <c r="F12" s="2">
        <v>0.25347222222222221</v>
      </c>
      <c r="G12" s="3">
        <v>294</v>
      </c>
    </row>
    <row r="13" spans="1:7" x14ac:dyDescent="0.3">
      <c r="A13">
        <v>12</v>
      </c>
      <c r="B13" t="s">
        <v>18</v>
      </c>
      <c r="C13" s="18">
        <v>46.4</v>
      </c>
      <c r="D13">
        <v>3</v>
      </c>
      <c r="E13" s="18">
        <v>23.1</v>
      </c>
      <c r="F13" s="2">
        <v>0.31180555555555556</v>
      </c>
      <c r="G13" s="3">
        <v>1573</v>
      </c>
    </row>
    <row r="14" spans="1:7" x14ac:dyDescent="0.3">
      <c r="A14">
        <v>13</v>
      </c>
      <c r="B14" t="s">
        <v>7</v>
      </c>
      <c r="C14" s="18">
        <v>42.2</v>
      </c>
      <c r="D14">
        <v>2</v>
      </c>
      <c r="E14" s="18">
        <v>42.1</v>
      </c>
      <c r="F14" s="2">
        <v>0.34375</v>
      </c>
      <c r="G14" s="3">
        <v>2944</v>
      </c>
    </row>
    <row r="15" spans="1:7" x14ac:dyDescent="0.3">
      <c r="A15">
        <v>14</v>
      </c>
      <c r="B15" t="s">
        <v>42</v>
      </c>
      <c r="C15" s="18">
        <v>40.700000000000003</v>
      </c>
      <c r="D15">
        <v>4</v>
      </c>
      <c r="E15" s="18">
        <v>18.8</v>
      </c>
      <c r="F15" s="2">
        <v>0.24513888888888888</v>
      </c>
      <c r="G15" s="3">
        <v>226</v>
      </c>
    </row>
    <row r="16" spans="1:7" x14ac:dyDescent="0.3">
      <c r="A16">
        <v>15</v>
      </c>
      <c r="B16" t="s">
        <v>56</v>
      </c>
      <c r="C16" s="18">
        <v>39.9</v>
      </c>
      <c r="D16">
        <v>4</v>
      </c>
      <c r="E16" s="18">
        <v>15.3</v>
      </c>
      <c r="F16" s="2">
        <v>0.36805555555555558</v>
      </c>
      <c r="G16" s="3">
        <v>1466</v>
      </c>
    </row>
    <row r="17" spans="1:7" x14ac:dyDescent="0.3">
      <c r="A17">
        <v>16</v>
      </c>
      <c r="B17" t="s">
        <v>50</v>
      </c>
      <c r="C17" s="18">
        <v>39.5</v>
      </c>
      <c r="D17">
        <v>3</v>
      </c>
      <c r="E17" s="18">
        <v>16</v>
      </c>
      <c r="F17" s="2">
        <v>0.24374999999999999</v>
      </c>
      <c r="G17" s="3">
        <v>58</v>
      </c>
    </row>
    <row r="18" spans="1:7" x14ac:dyDescent="0.3">
      <c r="A18">
        <v>17</v>
      </c>
      <c r="B18" t="s">
        <v>6</v>
      </c>
      <c r="C18" s="18">
        <v>37.9</v>
      </c>
      <c r="D18">
        <v>4</v>
      </c>
      <c r="E18" s="18">
        <v>10.4</v>
      </c>
      <c r="F18" s="2">
        <v>0.28819444444444442</v>
      </c>
      <c r="G18" s="3">
        <v>403</v>
      </c>
    </row>
    <row r="19" spans="1:7" x14ac:dyDescent="0.3">
      <c r="A19">
        <v>18</v>
      </c>
      <c r="B19" t="s">
        <v>14</v>
      </c>
      <c r="C19" s="18">
        <v>36</v>
      </c>
      <c r="D19">
        <v>3</v>
      </c>
      <c r="E19" s="18">
        <v>15</v>
      </c>
      <c r="F19" s="2">
        <v>0.24305555555555555</v>
      </c>
      <c r="G19" s="3">
        <v>275</v>
      </c>
    </row>
    <row r="20" spans="1:7" x14ac:dyDescent="0.3">
      <c r="A20">
        <v>19</v>
      </c>
      <c r="B20" t="s">
        <v>28</v>
      </c>
      <c r="C20" s="18">
        <v>35.9</v>
      </c>
      <c r="D20">
        <v>3</v>
      </c>
      <c r="E20" s="18">
        <v>20</v>
      </c>
      <c r="F20" s="2">
        <v>0.2722222222222222</v>
      </c>
      <c r="G20" s="3">
        <v>115</v>
      </c>
    </row>
    <row r="21" spans="1:7" x14ac:dyDescent="0.3">
      <c r="A21">
        <v>20</v>
      </c>
      <c r="B21" t="s">
        <v>45</v>
      </c>
      <c r="C21" s="18">
        <v>34.9</v>
      </c>
      <c r="D21">
        <v>3</v>
      </c>
      <c r="E21" s="18">
        <v>12.4</v>
      </c>
      <c r="F21" s="2">
        <v>0.36666666666666664</v>
      </c>
      <c r="G21" s="3">
        <v>206</v>
      </c>
    </row>
    <row r="22" spans="1:7" x14ac:dyDescent="0.3">
      <c r="A22">
        <v>21</v>
      </c>
      <c r="B22" t="s">
        <v>51</v>
      </c>
      <c r="C22" s="18">
        <v>33.1</v>
      </c>
      <c r="D22">
        <v>3</v>
      </c>
      <c r="E22" s="18">
        <v>16.2</v>
      </c>
      <c r="F22" s="2">
        <v>0.26041666666666669</v>
      </c>
      <c r="G22" s="3">
        <v>292</v>
      </c>
    </row>
    <row r="23" spans="1:7" x14ac:dyDescent="0.3">
      <c r="A23">
        <v>22</v>
      </c>
      <c r="B23" t="s">
        <v>44</v>
      </c>
      <c r="C23" s="18">
        <v>32.299999999999997</v>
      </c>
      <c r="D23">
        <v>3</v>
      </c>
      <c r="E23" s="18">
        <v>12</v>
      </c>
      <c r="F23" s="2">
        <v>0.30208333333333331</v>
      </c>
      <c r="G23" s="3">
        <v>446</v>
      </c>
    </row>
    <row r="24" spans="1:7" x14ac:dyDescent="0.3">
      <c r="A24">
        <v>23</v>
      </c>
      <c r="B24" t="s">
        <v>58</v>
      </c>
      <c r="C24" s="18">
        <v>31.4</v>
      </c>
      <c r="D24">
        <v>4</v>
      </c>
      <c r="E24" s="18">
        <v>13</v>
      </c>
      <c r="F24" s="2">
        <v>0.28541666666666665</v>
      </c>
      <c r="G24" s="3">
        <v>249</v>
      </c>
    </row>
    <row r="25" spans="1:7" x14ac:dyDescent="0.3">
      <c r="A25">
        <v>24</v>
      </c>
      <c r="B25" t="s">
        <v>30</v>
      </c>
      <c r="C25" s="18">
        <v>30.5</v>
      </c>
      <c r="D25">
        <v>6</v>
      </c>
      <c r="E25" s="18">
        <v>10</v>
      </c>
      <c r="F25" s="2">
        <v>0.25694444444444442</v>
      </c>
      <c r="G25" s="3">
        <v>170</v>
      </c>
    </row>
    <row r="26" spans="1:7" x14ac:dyDescent="0.3">
      <c r="A26">
        <v>25</v>
      </c>
      <c r="B26" t="s">
        <v>22</v>
      </c>
      <c r="C26" s="18">
        <v>30</v>
      </c>
      <c r="D26">
        <v>2</v>
      </c>
      <c r="E26" s="18">
        <v>20.5</v>
      </c>
      <c r="F26" s="2">
        <v>0.27291666666666664</v>
      </c>
      <c r="G26" s="3">
        <v>134</v>
      </c>
    </row>
    <row r="27" spans="1:7" x14ac:dyDescent="0.3">
      <c r="A27">
        <v>26</v>
      </c>
      <c r="B27" t="s">
        <v>21</v>
      </c>
      <c r="C27" s="18">
        <v>29.1</v>
      </c>
      <c r="D27">
        <v>2</v>
      </c>
      <c r="E27" s="18">
        <v>20.5</v>
      </c>
      <c r="F27" s="2">
        <v>0.2722222222222222</v>
      </c>
      <c r="G27" s="3">
        <v>62</v>
      </c>
    </row>
    <row r="28" spans="1:7" x14ac:dyDescent="0.3">
      <c r="A28">
        <v>27</v>
      </c>
      <c r="B28" t="s">
        <v>15</v>
      </c>
      <c r="C28" s="18">
        <v>28.9</v>
      </c>
      <c r="D28">
        <v>1</v>
      </c>
      <c r="E28" s="18">
        <v>28.9</v>
      </c>
      <c r="F28" s="2">
        <v>0.33888888888888891</v>
      </c>
      <c r="G28" s="3">
        <v>1780</v>
      </c>
    </row>
    <row r="29" spans="1:7" x14ac:dyDescent="0.3">
      <c r="A29">
        <v>28</v>
      </c>
      <c r="B29" t="s">
        <v>47</v>
      </c>
      <c r="C29" s="18">
        <v>26.9</v>
      </c>
      <c r="D29">
        <v>11</v>
      </c>
      <c r="E29" s="18">
        <v>10.8</v>
      </c>
      <c r="F29" s="2">
        <v>0.71597222222222223</v>
      </c>
      <c r="G29" s="3" t="s">
        <v>3</v>
      </c>
    </row>
    <row r="30" spans="1:7" x14ac:dyDescent="0.3">
      <c r="A30">
        <v>29</v>
      </c>
      <c r="B30" t="s">
        <v>20</v>
      </c>
      <c r="C30" s="18">
        <v>26.5</v>
      </c>
      <c r="D30">
        <v>3</v>
      </c>
      <c r="E30" s="18">
        <v>10.5</v>
      </c>
      <c r="F30" s="2">
        <v>0.24374999999999999</v>
      </c>
      <c r="G30" s="3">
        <v>361</v>
      </c>
    </row>
    <row r="31" spans="1:7" x14ac:dyDescent="0.3">
      <c r="A31">
        <v>30</v>
      </c>
      <c r="B31" t="s">
        <v>60</v>
      </c>
      <c r="C31" s="18">
        <v>26.3</v>
      </c>
      <c r="D31">
        <v>3</v>
      </c>
      <c r="E31" s="18">
        <v>14.1</v>
      </c>
      <c r="F31" s="2">
        <v>0.24305555555555555</v>
      </c>
      <c r="G31" s="3">
        <v>121</v>
      </c>
    </row>
    <row r="32" spans="1:7" x14ac:dyDescent="0.3">
      <c r="A32">
        <v>31</v>
      </c>
      <c r="B32" t="s">
        <v>19</v>
      </c>
      <c r="C32" s="18">
        <v>26</v>
      </c>
      <c r="D32">
        <v>3</v>
      </c>
      <c r="E32" s="18">
        <v>15.5</v>
      </c>
      <c r="F32" s="2">
        <v>0.21666666666666667</v>
      </c>
      <c r="G32" s="3">
        <v>142</v>
      </c>
    </row>
    <row r="33" spans="1:7" x14ac:dyDescent="0.3">
      <c r="A33">
        <v>32</v>
      </c>
      <c r="B33" t="s">
        <v>35</v>
      </c>
      <c r="C33" s="18">
        <v>26</v>
      </c>
      <c r="D33">
        <v>3</v>
      </c>
      <c r="E33" s="18">
        <v>10</v>
      </c>
      <c r="F33" s="2">
        <v>0.21666666666666667</v>
      </c>
      <c r="G33" s="3">
        <v>268</v>
      </c>
    </row>
    <row r="34" spans="1:7" x14ac:dyDescent="0.3">
      <c r="A34">
        <v>33</v>
      </c>
      <c r="B34" t="s">
        <v>25</v>
      </c>
      <c r="C34" s="18">
        <v>25.8</v>
      </c>
      <c r="D34">
        <v>2</v>
      </c>
      <c r="E34" s="18">
        <v>15.1</v>
      </c>
      <c r="F34" s="2">
        <v>0.35902777777777778</v>
      </c>
      <c r="G34" s="3">
        <v>1167</v>
      </c>
    </row>
    <row r="35" spans="1:7" x14ac:dyDescent="0.3">
      <c r="A35">
        <v>34</v>
      </c>
      <c r="B35" t="s">
        <v>38</v>
      </c>
      <c r="C35" s="18">
        <v>25.6</v>
      </c>
      <c r="D35">
        <v>6</v>
      </c>
      <c r="E35" s="18">
        <v>12.1</v>
      </c>
      <c r="F35" s="2">
        <v>0.2673611111111111</v>
      </c>
      <c r="G35" s="3">
        <v>277</v>
      </c>
    </row>
    <row r="36" spans="1:7" x14ac:dyDescent="0.3">
      <c r="A36">
        <v>35</v>
      </c>
      <c r="B36" t="s">
        <v>23</v>
      </c>
      <c r="C36" s="18">
        <v>25.3</v>
      </c>
      <c r="D36">
        <v>2</v>
      </c>
      <c r="E36" s="18">
        <v>13.2</v>
      </c>
      <c r="F36" s="2">
        <v>0.27083333333333331</v>
      </c>
      <c r="G36" s="3">
        <v>329</v>
      </c>
    </row>
    <row r="37" spans="1:7" x14ac:dyDescent="0.3">
      <c r="A37">
        <v>36</v>
      </c>
      <c r="B37" t="s">
        <v>40</v>
      </c>
      <c r="C37" s="18">
        <v>25.1</v>
      </c>
      <c r="D37">
        <v>2</v>
      </c>
      <c r="E37" s="18">
        <v>15</v>
      </c>
      <c r="F37" s="2">
        <v>0.26458333333333334</v>
      </c>
      <c r="G37" s="3">
        <v>88</v>
      </c>
    </row>
    <row r="38" spans="1:7" x14ac:dyDescent="0.3">
      <c r="A38">
        <v>37</v>
      </c>
      <c r="B38" t="s">
        <v>46</v>
      </c>
      <c r="C38" s="18">
        <v>24</v>
      </c>
      <c r="D38">
        <v>3</v>
      </c>
      <c r="E38" s="18">
        <v>10</v>
      </c>
      <c r="F38" s="2">
        <v>0.23333333333333334</v>
      </c>
      <c r="G38" s="3" t="s">
        <v>3</v>
      </c>
    </row>
    <row r="39" spans="1:7" x14ac:dyDescent="0.3">
      <c r="A39">
        <v>38</v>
      </c>
      <c r="B39" t="s">
        <v>65</v>
      </c>
      <c r="C39" s="18">
        <v>22.3</v>
      </c>
      <c r="D39">
        <v>3</v>
      </c>
      <c r="E39" s="18">
        <v>10</v>
      </c>
      <c r="F39" s="2">
        <v>0.23680555555555555</v>
      </c>
      <c r="G39" s="3">
        <v>152</v>
      </c>
    </row>
    <row r="40" spans="1:7" x14ac:dyDescent="0.3">
      <c r="A40">
        <v>39</v>
      </c>
      <c r="B40" t="s">
        <v>29</v>
      </c>
      <c r="C40" s="18">
        <v>20.7</v>
      </c>
      <c r="D40">
        <v>3</v>
      </c>
      <c r="E40" s="18">
        <v>10.199999999999999</v>
      </c>
      <c r="F40" s="2">
        <v>0.32847222222222222</v>
      </c>
      <c r="G40" s="3">
        <v>434</v>
      </c>
    </row>
    <row r="41" spans="1:7" x14ac:dyDescent="0.3">
      <c r="A41">
        <v>40</v>
      </c>
      <c r="B41" t="s">
        <v>26</v>
      </c>
      <c r="C41" s="18">
        <v>20.2</v>
      </c>
      <c r="D41">
        <v>2</v>
      </c>
      <c r="E41" s="18">
        <v>10.1</v>
      </c>
      <c r="F41" s="2">
        <v>0.24791666666666667</v>
      </c>
      <c r="G41" s="3" t="s">
        <v>3</v>
      </c>
    </row>
    <row r="42" spans="1:7" x14ac:dyDescent="0.3">
      <c r="A42">
        <v>41</v>
      </c>
      <c r="B42" t="s">
        <v>33</v>
      </c>
      <c r="C42" s="18">
        <v>17.3</v>
      </c>
      <c r="D42">
        <v>3</v>
      </c>
      <c r="E42" s="18">
        <v>8.6</v>
      </c>
      <c r="F42" s="2">
        <v>0.2951388888888889</v>
      </c>
      <c r="G42" s="3" t="s">
        <v>3</v>
      </c>
    </row>
    <row r="43" spans="1:7" x14ac:dyDescent="0.3">
      <c r="A43">
        <v>42</v>
      </c>
      <c r="B43" t="s">
        <v>54</v>
      </c>
      <c r="C43" s="18">
        <v>16.8</v>
      </c>
      <c r="D43">
        <v>2</v>
      </c>
      <c r="E43" s="18">
        <v>8.8000000000000007</v>
      </c>
      <c r="F43" s="2">
        <v>0.24583333333333332</v>
      </c>
      <c r="G43" s="3">
        <v>25</v>
      </c>
    </row>
    <row r="44" spans="1:7" x14ac:dyDescent="0.3">
      <c r="A44">
        <v>43</v>
      </c>
      <c r="B44" t="s">
        <v>36</v>
      </c>
      <c r="C44" s="18">
        <v>16</v>
      </c>
      <c r="D44">
        <v>1</v>
      </c>
      <c r="E44" s="18">
        <v>16</v>
      </c>
      <c r="F44" s="2">
        <v>0.38680555555555557</v>
      </c>
      <c r="G44" s="3">
        <v>472</v>
      </c>
    </row>
    <row r="45" spans="1:7" x14ac:dyDescent="0.3">
      <c r="A45">
        <v>44</v>
      </c>
      <c r="B45" t="s">
        <v>61</v>
      </c>
      <c r="C45" s="18">
        <v>16</v>
      </c>
      <c r="D45">
        <v>1</v>
      </c>
      <c r="E45" s="18">
        <v>16</v>
      </c>
      <c r="F45" s="2">
        <v>0.38680555555555557</v>
      </c>
      <c r="G45" s="3">
        <v>472</v>
      </c>
    </row>
    <row r="46" spans="1:7" x14ac:dyDescent="0.3">
      <c r="A46">
        <v>45</v>
      </c>
      <c r="B46" t="s">
        <v>17</v>
      </c>
      <c r="C46" s="18">
        <v>15.5</v>
      </c>
      <c r="D46">
        <v>4</v>
      </c>
      <c r="E46" s="18">
        <v>8</v>
      </c>
      <c r="F46" s="2">
        <v>0.31597222222222221</v>
      </c>
      <c r="G46" s="3">
        <v>182</v>
      </c>
    </row>
    <row r="47" spans="1:7" x14ac:dyDescent="0.3">
      <c r="A47">
        <v>46</v>
      </c>
      <c r="B47" t="s">
        <v>172</v>
      </c>
      <c r="C47" s="18">
        <v>15.5</v>
      </c>
      <c r="D47">
        <v>1</v>
      </c>
      <c r="E47" s="18">
        <v>15.5</v>
      </c>
      <c r="F47" s="2">
        <v>0.32708333333333334</v>
      </c>
      <c r="G47" s="3">
        <v>526</v>
      </c>
    </row>
    <row r="48" spans="1:7" x14ac:dyDescent="0.3">
      <c r="A48">
        <v>47</v>
      </c>
      <c r="B48" t="s">
        <v>48</v>
      </c>
      <c r="C48" s="18">
        <v>15.4</v>
      </c>
      <c r="D48">
        <v>1</v>
      </c>
      <c r="E48" s="18">
        <v>15.4</v>
      </c>
      <c r="F48" s="2">
        <v>0.29652777777777778</v>
      </c>
      <c r="G48" s="3">
        <v>42</v>
      </c>
    </row>
    <row r="49" spans="1:7" x14ac:dyDescent="0.3">
      <c r="A49">
        <v>48</v>
      </c>
      <c r="B49" t="s">
        <v>49</v>
      </c>
      <c r="C49" s="18">
        <v>15.3</v>
      </c>
      <c r="D49">
        <v>2</v>
      </c>
      <c r="E49" s="18">
        <v>8</v>
      </c>
      <c r="F49" s="2">
        <v>0.22708333333333333</v>
      </c>
      <c r="G49" s="3">
        <v>57</v>
      </c>
    </row>
    <row r="50" spans="1:7" x14ac:dyDescent="0.3">
      <c r="A50">
        <v>49</v>
      </c>
      <c r="B50" t="s">
        <v>70</v>
      </c>
      <c r="C50" s="18">
        <v>15.3</v>
      </c>
      <c r="D50">
        <v>1</v>
      </c>
      <c r="E50" s="18">
        <v>15.3</v>
      </c>
      <c r="F50" s="2">
        <v>0.29791666666666666</v>
      </c>
      <c r="G50" s="3">
        <v>42</v>
      </c>
    </row>
    <row r="51" spans="1:7" x14ac:dyDescent="0.3">
      <c r="A51">
        <v>50</v>
      </c>
      <c r="B51" t="s">
        <v>62</v>
      </c>
      <c r="C51" s="18">
        <v>15.1</v>
      </c>
      <c r="D51">
        <v>1</v>
      </c>
      <c r="E51" s="18">
        <v>15.1</v>
      </c>
      <c r="F51" s="2">
        <v>0.30069444444444443</v>
      </c>
      <c r="G51" s="3">
        <v>23</v>
      </c>
    </row>
    <row r="52" spans="1:7" x14ac:dyDescent="0.3">
      <c r="A52">
        <v>51</v>
      </c>
      <c r="B52" t="s">
        <v>195</v>
      </c>
      <c r="C52" s="18">
        <v>14.7</v>
      </c>
      <c r="D52">
        <v>2</v>
      </c>
      <c r="E52" s="18">
        <v>7.6</v>
      </c>
      <c r="F52" s="2">
        <v>0.25555555555555554</v>
      </c>
      <c r="G52" s="3">
        <v>88</v>
      </c>
    </row>
    <row r="53" spans="1:7" x14ac:dyDescent="0.3">
      <c r="A53">
        <v>52</v>
      </c>
      <c r="B53" t="s">
        <v>39</v>
      </c>
      <c r="C53" s="18">
        <v>14.5</v>
      </c>
      <c r="D53">
        <v>1</v>
      </c>
      <c r="E53" s="18">
        <v>14.5</v>
      </c>
      <c r="F53" s="2">
        <v>0.42152777777777778</v>
      </c>
      <c r="G53" s="3">
        <v>641</v>
      </c>
    </row>
    <row r="54" spans="1:7" x14ac:dyDescent="0.3">
      <c r="A54">
        <v>53</v>
      </c>
      <c r="B54" t="s">
        <v>173</v>
      </c>
      <c r="C54" s="18">
        <v>13.4</v>
      </c>
      <c r="D54">
        <v>1</v>
      </c>
      <c r="E54" s="18">
        <v>13.4</v>
      </c>
      <c r="F54" s="2">
        <v>0.3659722222222222</v>
      </c>
      <c r="G54" s="3">
        <v>338</v>
      </c>
    </row>
    <row r="55" spans="1:7" x14ac:dyDescent="0.3">
      <c r="A55">
        <v>54</v>
      </c>
      <c r="B55" t="s">
        <v>63</v>
      </c>
      <c r="C55" s="18">
        <v>12</v>
      </c>
      <c r="D55">
        <v>2</v>
      </c>
      <c r="E55" s="18">
        <v>7</v>
      </c>
      <c r="F55" s="2">
        <v>0.26874999999999999</v>
      </c>
      <c r="G55" s="3">
        <v>49</v>
      </c>
    </row>
    <row r="56" spans="1:7" x14ac:dyDescent="0.3">
      <c r="A56">
        <v>55</v>
      </c>
      <c r="B56" t="s">
        <v>175</v>
      </c>
      <c r="C56" s="18">
        <v>11.1</v>
      </c>
      <c r="D56">
        <v>1</v>
      </c>
      <c r="E56" s="18">
        <v>11.1</v>
      </c>
      <c r="F56" s="2">
        <v>0.25</v>
      </c>
      <c r="G56" s="3">
        <v>26</v>
      </c>
    </row>
    <row r="57" spans="1:7" x14ac:dyDescent="0.3">
      <c r="A57">
        <v>56</v>
      </c>
      <c r="B57" t="s">
        <v>12</v>
      </c>
      <c r="C57" s="18">
        <v>10.6</v>
      </c>
      <c r="D57">
        <v>1</v>
      </c>
      <c r="E57" s="18">
        <v>10.6</v>
      </c>
      <c r="F57" s="2">
        <v>0.2902777777777778</v>
      </c>
      <c r="G57" s="3">
        <v>126</v>
      </c>
    </row>
    <row r="58" spans="1:7" x14ac:dyDescent="0.3">
      <c r="A58">
        <v>57</v>
      </c>
      <c r="B58" t="s">
        <v>69</v>
      </c>
      <c r="C58" s="18">
        <v>10.3</v>
      </c>
      <c r="D58">
        <v>1</v>
      </c>
      <c r="E58" s="18">
        <v>10.3</v>
      </c>
      <c r="F58" s="2">
        <v>0.33333333333333331</v>
      </c>
      <c r="G58" s="3">
        <v>351</v>
      </c>
    </row>
    <row r="59" spans="1:7" x14ac:dyDescent="0.3">
      <c r="A59">
        <v>58</v>
      </c>
      <c r="B59" t="s">
        <v>27</v>
      </c>
      <c r="C59" s="18">
        <v>10.199999999999999</v>
      </c>
      <c r="D59">
        <v>1</v>
      </c>
      <c r="E59" s="18">
        <v>10.199999999999999</v>
      </c>
      <c r="F59" s="2">
        <v>0.34166666666666667</v>
      </c>
      <c r="G59" s="3">
        <v>296</v>
      </c>
    </row>
    <row r="60" spans="1:7" x14ac:dyDescent="0.3">
      <c r="A60">
        <v>59</v>
      </c>
      <c r="B60" t="s">
        <v>53</v>
      </c>
      <c r="C60" s="18">
        <v>10.1</v>
      </c>
      <c r="D60">
        <v>1</v>
      </c>
      <c r="E60" s="18">
        <v>10.1</v>
      </c>
      <c r="F60" s="2">
        <v>0.19722222222222222</v>
      </c>
      <c r="G60" s="3">
        <v>34</v>
      </c>
    </row>
    <row r="61" spans="1:7" x14ac:dyDescent="0.3">
      <c r="A61">
        <v>60</v>
      </c>
      <c r="B61" t="s">
        <v>178</v>
      </c>
      <c r="C61" s="18">
        <v>10.1</v>
      </c>
      <c r="D61">
        <v>1</v>
      </c>
      <c r="E61" s="18">
        <v>10.1</v>
      </c>
      <c r="F61" s="2">
        <v>0.26666666666666666</v>
      </c>
      <c r="G61" s="3">
        <v>99</v>
      </c>
    </row>
    <row r="62" spans="1:7" x14ac:dyDescent="0.3">
      <c r="A62">
        <v>61</v>
      </c>
      <c r="B62" t="s">
        <v>73</v>
      </c>
      <c r="C62" s="18">
        <v>10</v>
      </c>
      <c r="D62">
        <v>1</v>
      </c>
      <c r="E62" s="18">
        <v>10</v>
      </c>
      <c r="F62" s="2">
        <v>0.24861111111111112</v>
      </c>
      <c r="G62" s="3">
        <v>53</v>
      </c>
    </row>
    <row r="63" spans="1:7" x14ac:dyDescent="0.3">
      <c r="A63">
        <v>62</v>
      </c>
      <c r="B63" t="s">
        <v>68</v>
      </c>
      <c r="C63" s="18">
        <v>10</v>
      </c>
      <c r="D63">
        <v>1</v>
      </c>
      <c r="E63" s="18">
        <v>10</v>
      </c>
      <c r="F63" s="2">
        <v>0.24166666666666667</v>
      </c>
      <c r="G63" s="3">
        <v>29</v>
      </c>
    </row>
    <row r="64" spans="1:7" x14ac:dyDescent="0.3">
      <c r="A64">
        <v>63</v>
      </c>
      <c r="B64" t="s">
        <v>179</v>
      </c>
      <c r="C64" s="18">
        <v>9.4</v>
      </c>
      <c r="D64">
        <v>1</v>
      </c>
      <c r="E64" s="18">
        <v>9.4</v>
      </c>
      <c r="F64" s="2">
        <v>0.27013888888888887</v>
      </c>
      <c r="G64" s="3">
        <v>95</v>
      </c>
    </row>
    <row r="65" spans="1:7" x14ac:dyDescent="0.3">
      <c r="A65">
        <v>64</v>
      </c>
      <c r="B65" t="s">
        <v>43</v>
      </c>
      <c r="C65" s="18">
        <v>9.3000000000000007</v>
      </c>
      <c r="D65">
        <v>1</v>
      </c>
      <c r="E65" s="18">
        <v>9.3000000000000007</v>
      </c>
      <c r="F65" s="2">
        <v>0.34583333333333333</v>
      </c>
      <c r="G65" s="3">
        <v>149</v>
      </c>
    </row>
    <row r="66" spans="1:7" x14ac:dyDescent="0.3">
      <c r="A66">
        <v>65</v>
      </c>
      <c r="B66" t="s">
        <v>41</v>
      </c>
      <c r="C66" s="18">
        <v>9.1</v>
      </c>
      <c r="D66">
        <v>1</v>
      </c>
      <c r="E66" s="18">
        <v>9.1</v>
      </c>
      <c r="F66" s="2">
        <v>0.32083333333333336</v>
      </c>
      <c r="G66" s="3">
        <v>145</v>
      </c>
    </row>
    <row r="67" spans="1:7" x14ac:dyDescent="0.3">
      <c r="A67">
        <v>66</v>
      </c>
      <c r="B67" t="s">
        <v>31</v>
      </c>
      <c r="C67" s="18">
        <v>9</v>
      </c>
      <c r="D67">
        <v>1</v>
      </c>
      <c r="E67" s="18">
        <v>9</v>
      </c>
      <c r="F67" s="2">
        <v>0.25416666666666665</v>
      </c>
      <c r="G67" s="3">
        <v>156</v>
      </c>
    </row>
    <row r="68" spans="1:7" x14ac:dyDescent="0.3">
      <c r="A68">
        <v>67</v>
      </c>
      <c r="B68" t="s">
        <v>78</v>
      </c>
      <c r="C68" s="18">
        <v>8.6</v>
      </c>
      <c r="D68">
        <v>1</v>
      </c>
      <c r="E68" s="18">
        <v>8.6</v>
      </c>
      <c r="F68" s="2">
        <v>0.24097222222222223</v>
      </c>
      <c r="G68" s="3" t="s">
        <v>3</v>
      </c>
    </row>
    <row r="69" spans="1:7" x14ac:dyDescent="0.3">
      <c r="A69" s="16">
        <v>68</v>
      </c>
      <c r="B69" s="16" t="s">
        <v>210</v>
      </c>
      <c r="C69" s="19">
        <v>8</v>
      </c>
      <c r="D69" s="16">
        <v>1</v>
      </c>
      <c r="E69" s="19">
        <v>8</v>
      </c>
      <c r="F69" s="17">
        <v>0.23125000000000001</v>
      </c>
      <c r="G69" s="20" t="s">
        <v>3</v>
      </c>
    </row>
    <row r="70" spans="1:7" x14ac:dyDescent="0.3">
      <c r="A70">
        <v>69</v>
      </c>
      <c r="B70" t="s">
        <v>174</v>
      </c>
      <c r="C70" s="18">
        <v>7.5</v>
      </c>
      <c r="D70">
        <v>2</v>
      </c>
      <c r="E70" s="18">
        <v>5.9</v>
      </c>
      <c r="F70" s="2">
        <v>0.51041666666666663</v>
      </c>
      <c r="G70" s="3">
        <v>98</v>
      </c>
    </row>
    <row r="71" spans="1:7" x14ac:dyDescent="0.3">
      <c r="A71">
        <v>70</v>
      </c>
      <c r="B71" t="s">
        <v>55</v>
      </c>
      <c r="C71" s="18">
        <v>6</v>
      </c>
      <c r="D71">
        <v>1</v>
      </c>
      <c r="E71" s="18">
        <v>6</v>
      </c>
      <c r="F71" s="2">
        <v>0.29444444444444445</v>
      </c>
      <c r="G71" s="3">
        <v>23</v>
      </c>
    </row>
    <row r="72" spans="1:7" x14ac:dyDescent="0.3">
      <c r="A72">
        <v>71</v>
      </c>
      <c r="B72" t="s">
        <v>81</v>
      </c>
      <c r="C72" s="18">
        <v>5</v>
      </c>
      <c r="D72">
        <v>3</v>
      </c>
      <c r="E72" s="18">
        <v>1.8</v>
      </c>
      <c r="F72" s="2">
        <v>0.8520833333333333</v>
      </c>
      <c r="G72" s="3" t="s">
        <v>3</v>
      </c>
    </row>
    <row r="73" spans="1:7" x14ac:dyDescent="0.3">
      <c r="A73">
        <v>72</v>
      </c>
      <c r="B73" t="s">
        <v>37</v>
      </c>
      <c r="C73" s="18">
        <v>5</v>
      </c>
      <c r="D73">
        <v>1</v>
      </c>
      <c r="E73" s="18">
        <v>5</v>
      </c>
      <c r="F73" s="2">
        <v>0.26319444444444445</v>
      </c>
      <c r="G73" s="3">
        <v>83</v>
      </c>
    </row>
    <row r="74" spans="1:7" x14ac:dyDescent="0.3">
      <c r="A74">
        <v>73</v>
      </c>
      <c r="B74" t="s">
        <v>72</v>
      </c>
      <c r="C74" s="18">
        <v>5</v>
      </c>
      <c r="D74">
        <v>1</v>
      </c>
      <c r="E74" s="18">
        <v>5</v>
      </c>
      <c r="F74" s="2">
        <v>0.24652777777777779</v>
      </c>
      <c r="G74" s="3">
        <v>35</v>
      </c>
    </row>
    <row r="75" spans="1:7" x14ac:dyDescent="0.3">
      <c r="A75">
        <v>74</v>
      </c>
      <c r="B75" t="s">
        <v>181</v>
      </c>
      <c r="C75" s="18">
        <v>4.0999999999999996</v>
      </c>
      <c r="D75">
        <v>1</v>
      </c>
      <c r="E75" s="18">
        <v>4.0999999999999996</v>
      </c>
      <c r="F75" s="2">
        <v>0.38333333333333336</v>
      </c>
      <c r="G75" s="3">
        <v>11</v>
      </c>
    </row>
    <row r="76" spans="1:7" x14ac:dyDescent="0.3">
      <c r="A76">
        <v>75</v>
      </c>
      <c r="B76" t="s">
        <v>180</v>
      </c>
      <c r="C76" s="18">
        <v>3.5</v>
      </c>
      <c r="D76">
        <v>1</v>
      </c>
      <c r="E76" s="18">
        <v>3.5</v>
      </c>
      <c r="F76" s="2">
        <v>0.19930555555555557</v>
      </c>
      <c r="G76" s="3" t="s">
        <v>3</v>
      </c>
    </row>
  </sheetData>
  <autoFilter ref="A1:H76" xr:uid="{BE195D91-4508-4A56-A8BC-3377E7F0086C}"/>
  <pageMargins left="0.7" right="0.7" top="0.75" bottom="0.75" header="0.3" footer="0.3"/>
  <headerFooter>
    <oddFooter>&amp;C_x000D_&amp;1#&amp;"Calibri"&amp;8&amp;K000000 Public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2AE4A-FED1-4108-A175-63B62F125EDD}">
  <dimension ref="A1:G78"/>
  <sheetViews>
    <sheetView topLeftCell="A49" workbookViewId="0">
      <selection activeCell="F78" sqref="F78"/>
    </sheetView>
  </sheetViews>
  <sheetFormatPr defaultRowHeight="14.4" x14ac:dyDescent="0.3"/>
  <cols>
    <col min="2" max="2" width="8.88671875" customWidth="1"/>
  </cols>
  <sheetData>
    <row r="1" spans="1:7" x14ac:dyDescent="0.3">
      <c r="A1" s="1" t="s">
        <v>0</v>
      </c>
      <c r="B1" s="1" t="s">
        <v>1</v>
      </c>
      <c r="C1" s="1" t="s">
        <v>82</v>
      </c>
      <c r="D1" s="1" t="s">
        <v>2</v>
      </c>
      <c r="E1" s="1" t="s">
        <v>83</v>
      </c>
      <c r="F1" s="1" t="s">
        <v>84</v>
      </c>
      <c r="G1" s="1" t="s">
        <v>85</v>
      </c>
    </row>
    <row r="2" spans="1:7" x14ac:dyDescent="0.3">
      <c r="A2">
        <v>1</v>
      </c>
      <c r="B2" t="s">
        <v>4</v>
      </c>
      <c r="C2" s="18">
        <v>106</v>
      </c>
      <c r="D2">
        <v>7</v>
      </c>
      <c r="E2" s="18">
        <v>22.3</v>
      </c>
      <c r="F2" s="2">
        <v>0.26319444444444445</v>
      </c>
      <c r="G2" s="3">
        <v>2159</v>
      </c>
    </row>
    <row r="3" spans="1:7" x14ac:dyDescent="0.3">
      <c r="A3">
        <v>2</v>
      </c>
      <c r="B3" t="s">
        <v>13</v>
      </c>
      <c r="C3" s="18">
        <v>81.3</v>
      </c>
      <c r="D3">
        <v>7</v>
      </c>
      <c r="E3" s="18">
        <v>23.5</v>
      </c>
      <c r="F3" s="2">
        <v>0.23819444444444443</v>
      </c>
      <c r="G3" s="3">
        <v>1743</v>
      </c>
    </row>
    <row r="4" spans="1:7" x14ac:dyDescent="0.3">
      <c r="A4">
        <v>3</v>
      </c>
      <c r="B4" t="s">
        <v>56</v>
      </c>
      <c r="C4" s="18">
        <v>77.099999999999994</v>
      </c>
      <c r="D4">
        <v>6</v>
      </c>
      <c r="E4" s="18">
        <v>20.100000000000001</v>
      </c>
      <c r="F4" s="2">
        <v>0.34652777777777777</v>
      </c>
      <c r="G4" s="3">
        <v>2415</v>
      </c>
    </row>
    <row r="5" spans="1:7" x14ac:dyDescent="0.3">
      <c r="A5">
        <v>4</v>
      </c>
      <c r="B5" t="s">
        <v>12</v>
      </c>
      <c r="C5" s="18">
        <v>61</v>
      </c>
      <c r="D5">
        <v>7</v>
      </c>
      <c r="E5" s="18">
        <v>21.2</v>
      </c>
      <c r="F5" s="2">
        <v>0.28402777777777777</v>
      </c>
      <c r="G5" s="3">
        <v>433</v>
      </c>
    </row>
    <row r="6" spans="1:7" x14ac:dyDescent="0.3">
      <c r="A6">
        <v>5</v>
      </c>
      <c r="B6" t="s">
        <v>34</v>
      </c>
      <c r="C6" s="18">
        <v>56.6</v>
      </c>
      <c r="D6">
        <v>5</v>
      </c>
      <c r="E6" s="18">
        <v>16.3</v>
      </c>
      <c r="F6" s="2">
        <v>0.32083333333333336</v>
      </c>
      <c r="G6" s="3">
        <v>1077</v>
      </c>
    </row>
    <row r="7" spans="1:7" x14ac:dyDescent="0.3">
      <c r="A7">
        <v>6</v>
      </c>
      <c r="B7" t="s">
        <v>14</v>
      </c>
      <c r="C7" s="18">
        <v>56</v>
      </c>
      <c r="D7">
        <v>3</v>
      </c>
      <c r="E7" s="18">
        <v>25</v>
      </c>
      <c r="F7" s="2">
        <v>0.25277777777777777</v>
      </c>
      <c r="G7" s="3">
        <v>268</v>
      </c>
    </row>
    <row r="8" spans="1:7" x14ac:dyDescent="0.3">
      <c r="A8">
        <v>7</v>
      </c>
      <c r="B8" t="s">
        <v>10</v>
      </c>
      <c r="C8" s="18">
        <v>52.4</v>
      </c>
      <c r="D8">
        <v>5</v>
      </c>
      <c r="E8" s="18">
        <v>15</v>
      </c>
      <c r="F8" s="2">
        <v>0.21666666666666667</v>
      </c>
      <c r="G8" s="3">
        <v>280</v>
      </c>
    </row>
    <row r="9" spans="1:7" x14ac:dyDescent="0.3">
      <c r="A9">
        <v>8</v>
      </c>
      <c r="B9" t="s">
        <v>5</v>
      </c>
      <c r="C9" s="18">
        <v>51.5</v>
      </c>
      <c r="D9">
        <v>3</v>
      </c>
      <c r="E9" s="18">
        <v>21.3</v>
      </c>
      <c r="F9" s="2">
        <v>0.2638888888888889</v>
      </c>
      <c r="G9" s="3">
        <v>751</v>
      </c>
    </row>
    <row r="10" spans="1:7" x14ac:dyDescent="0.3">
      <c r="A10">
        <v>9</v>
      </c>
      <c r="B10" t="s">
        <v>50</v>
      </c>
      <c r="C10" s="18">
        <v>50</v>
      </c>
      <c r="D10">
        <v>4</v>
      </c>
      <c r="E10" s="18">
        <v>21.2</v>
      </c>
      <c r="F10" s="2">
        <v>0.23958333333333334</v>
      </c>
      <c r="G10" s="3">
        <v>94</v>
      </c>
    </row>
    <row r="11" spans="1:7" x14ac:dyDescent="0.3">
      <c r="A11">
        <v>10</v>
      </c>
      <c r="B11" t="s">
        <v>60</v>
      </c>
      <c r="C11" s="18">
        <v>48.6</v>
      </c>
      <c r="D11">
        <v>4</v>
      </c>
      <c r="E11" s="18">
        <v>21.2</v>
      </c>
      <c r="F11" s="2">
        <v>0.22291666666666668</v>
      </c>
      <c r="G11" s="3">
        <v>243</v>
      </c>
    </row>
    <row r="12" spans="1:7" x14ac:dyDescent="0.3">
      <c r="A12">
        <v>11</v>
      </c>
      <c r="B12" t="s">
        <v>32</v>
      </c>
      <c r="C12" s="18">
        <v>47.5</v>
      </c>
      <c r="D12">
        <v>7</v>
      </c>
      <c r="E12" s="18">
        <v>15.1</v>
      </c>
      <c r="F12" s="2">
        <v>0.32569444444444445</v>
      </c>
      <c r="G12" s="3">
        <v>1136</v>
      </c>
    </row>
    <row r="13" spans="1:7" x14ac:dyDescent="0.3">
      <c r="A13">
        <v>12</v>
      </c>
      <c r="B13" t="s">
        <v>41</v>
      </c>
      <c r="C13" s="18">
        <v>45.5</v>
      </c>
      <c r="D13">
        <v>3</v>
      </c>
      <c r="E13" s="18">
        <v>21.5</v>
      </c>
      <c r="F13" s="2">
        <v>0.30416666666666664</v>
      </c>
      <c r="G13" s="3">
        <v>584</v>
      </c>
    </row>
    <row r="14" spans="1:7" x14ac:dyDescent="0.3">
      <c r="A14">
        <v>13</v>
      </c>
      <c r="B14" t="s">
        <v>42</v>
      </c>
      <c r="C14" s="18">
        <v>45.5</v>
      </c>
      <c r="D14">
        <v>5</v>
      </c>
      <c r="E14" s="18">
        <v>21.3</v>
      </c>
      <c r="F14" s="2">
        <v>0.25069444444444444</v>
      </c>
      <c r="G14" s="3">
        <v>256</v>
      </c>
    </row>
    <row r="15" spans="1:7" x14ac:dyDescent="0.3">
      <c r="A15">
        <v>14</v>
      </c>
      <c r="B15" t="s">
        <v>43</v>
      </c>
      <c r="C15" s="18">
        <v>45</v>
      </c>
      <c r="D15">
        <v>3</v>
      </c>
      <c r="E15" s="18">
        <v>21.4</v>
      </c>
      <c r="F15" s="2">
        <v>0.33958333333333335</v>
      </c>
      <c r="G15" s="3">
        <v>664</v>
      </c>
    </row>
    <row r="16" spans="1:7" x14ac:dyDescent="0.3">
      <c r="A16">
        <v>15</v>
      </c>
      <c r="B16" t="s">
        <v>9</v>
      </c>
      <c r="C16" s="18">
        <v>44.8</v>
      </c>
      <c r="D16">
        <v>5</v>
      </c>
      <c r="E16" s="18">
        <v>16</v>
      </c>
      <c r="F16" s="2">
        <v>0.2638888888888889</v>
      </c>
      <c r="G16" s="3">
        <v>518</v>
      </c>
    </row>
    <row r="17" spans="1:7" x14ac:dyDescent="0.3">
      <c r="A17">
        <v>16</v>
      </c>
      <c r="B17" t="s">
        <v>47</v>
      </c>
      <c r="C17" s="18">
        <v>44.1</v>
      </c>
      <c r="D17">
        <v>16</v>
      </c>
      <c r="E17" s="18">
        <v>9.6999999999999993</v>
      </c>
      <c r="F17" s="2">
        <v>0.66041666666666665</v>
      </c>
      <c r="G17" s="3">
        <v>46</v>
      </c>
    </row>
    <row r="18" spans="1:7" x14ac:dyDescent="0.3">
      <c r="A18">
        <v>17</v>
      </c>
      <c r="B18" t="s">
        <v>8</v>
      </c>
      <c r="C18" s="18">
        <v>43.1</v>
      </c>
      <c r="D18">
        <v>4</v>
      </c>
      <c r="E18" s="18">
        <v>16.2</v>
      </c>
      <c r="F18" s="2">
        <v>0.21180555555555555</v>
      </c>
      <c r="G18" s="3">
        <v>142</v>
      </c>
    </row>
    <row r="19" spans="1:7" x14ac:dyDescent="0.3">
      <c r="A19">
        <v>18</v>
      </c>
      <c r="B19" t="s">
        <v>24</v>
      </c>
      <c r="C19" s="18">
        <v>42.9</v>
      </c>
      <c r="D19">
        <v>3</v>
      </c>
      <c r="E19" s="18">
        <v>17.600000000000001</v>
      </c>
      <c r="F19" s="2">
        <v>0.37013888888888891</v>
      </c>
      <c r="G19" s="3">
        <v>1854</v>
      </c>
    </row>
    <row r="20" spans="1:7" x14ac:dyDescent="0.3">
      <c r="A20">
        <v>19</v>
      </c>
      <c r="B20" t="s">
        <v>15</v>
      </c>
      <c r="C20" s="18">
        <v>42.9</v>
      </c>
      <c r="D20">
        <v>3</v>
      </c>
      <c r="E20" s="18">
        <v>17.399999999999999</v>
      </c>
      <c r="F20" s="2">
        <v>0.3347222222222222</v>
      </c>
      <c r="G20" s="3">
        <v>2017</v>
      </c>
    </row>
    <row r="21" spans="1:7" x14ac:dyDescent="0.3">
      <c r="A21">
        <v>20</v>
      </c>
      <c r="B21" t="s">
        <v>27</v>
      </c>
      <c r="C21" s="18">
        <v>42</v>
      </c>
      <c r="D21">
        <v>3</v>
      </c>
      <c r="E21" s="18">
        <v>16.899999999999999</v>
      </c>
      <c r="F21" s="2">
        <v>0.50208333333333333</v>
      </c>
      <c r="G21" s="3">
        <v>1660</v>
      </c>
    </row>
    <row r="22" spans="1:7" x14ac:dyDescent="0.3">
      <c r="A22">
        <v>21</v>
      </c>
      <c r="B22" t="s">
        <v>25</v>
      </c>
      <c r="C22" s="18">
        <v>41.8</v>
      </c>
      <c r="D22">
        <v>3</v>
      </c>
      <c r="E22" s="18">
        <v>18.100000000000001</v>
      </c>
      <c r="F22" s="2">
        <v>0.35069444444444442</v>
      </c>
      <c r="G22" s="3">
        <v>1581</v>
      </c>
    </row>
    <row r="23" spans="1:7" x14ac:dyDescent="0.3">
      <c r="A23">
        <v>22</v>
      </c>
      <c r="B23" t="s">
        <v>22</v>
      </c>
      <c r="C23" s="18">
        <v>41.6</v>
      </c>
      <c r="D23">
        <v>3</v>
      </c>
      <c r="E23" s="18">
        <v>18</v>
      </c>
      <c r="F23" s="2">
        <v>0.26458333333333334</v>
      </c>
      <c r="G23" s="20">
        <v>501</v>
      </c>
    </row>
    <row r="24" spans="1:7" x14ac:dyDescent="0.3">
      <c r="A24">
        <v>23</v>
      </c>
      <c r="B24" t="s">
        <v>65</v>
      </c>
      <c r="C24" s="18">
        <v>41.5</v>
      </c>
      <c r="D24">
        <v>3</v>
      </c>
      <c r="E24" s="18">
        <v>21.3</v>
      </c>
      <c r="F24" s="2">
        <v>0.23958333333333334</v>
      </c>
      <c r="G24" s="3">
        <v>255</v>
      </c>
    </row>
    <row r="25" spans="1:7" x14ac:dyDescent="0.3">
      <c r="A25">
        <v>24</v>
      </c>
      <c r="B25" t="s">
        <v>17</v>
      </c>
      <c r="C25" s="18">
        <v>40.799999999999997</v>
      </c>
      <c r="D25">
        <v>3</v>
      </c>
      <c r="E25" s="18">
        <v>21.1</v>
      </c>
      <c r="F25" s="2">
        <v>0.2902777777777778</v>
      </c>
      <c r="G25" s="3">
        <v>607</v>
      </c>
    </row>
    <row r="26" spans="1:7" x14ac:dyDescent="0.3">
      <c r="A26">
        <v>25</v>
      </c>
      <c r="B26" t="s">
        <v>6</v>
      </c>
      <c r="C26" s="18">
        <v>39.799999999999997</v>
      </c>
      <c r="D26">
        <v>3</v>
      </c>
      <c r="E26" s="18">
        <v>17.2</v>
      </c>
      <c r="F26" s="2">
        <v>0.38958333333333334</v>
      </c>
      <c r="G26" s="3">
        <v>1998</v>
      </c>
    </row>
    <row r="27" spans="1:7" x14ac:dyDescent="0.3">
      <c r="A27">
        <v>26</v>
      </c>
      <c r="B27" t="s">
        <v>28</v>
      </c>
      <c r="C27" s="18">
        <v>37.700000000000003</v>
      </c>
      <c r="D27">
        <v>3</v>
      </c>
      <c r="E27" s="18">
        <v>21.1</v>
      </c>
      <c r="F27" s="2">
        <v>0.25208333333333333</v>
      </c>
      <c r="G27" s="3">
        <v>192</v>
      </c>
    </row>
    <row r="28" spans="1:7" x14ac:dyDescent="0.3">
      <c r="A28">
        <v>27</v>
      </c>
      <c r="B28" t="s">
        <v>51</v>
      </c>
      <c r="C28" s="18">
        <v>37.299999999999997</v>
      </c>
      <c r="D28">
        <v>3</v>
      </c>
      <c r="E28" s="18">
        <v>21.2</v>
      </c>
      <c r="F28" s="2">
        <v>0.22708333333333333</v>
      </c>
      <c r="G28" s="3">
        <v>137</v>
      </c>
    </row>
    <row r="29" spans="1:7" x14ac:dyDescent="0.3">
      <c r="A29">
        <v>28</v>
      </c>
      <c r="B29" t="s">
        <v>53</v>
      </c>
      <c r="C29" s="18">
        <v>34.799999999999997</v>
      </c>
      <c r="D29">
        <v>3</v>
      </c>
      <c r="E29" s="18">
        <v>21.2</v>
      </c>
      <c r="F29" s="2">
        <v>0.2076388888888889</v>
      </c>
      <c r="G29" s="3">
        <v>270</v>
      </c>
    </row>
    <row r="30" spans="1:7" x14ac:dyDescent="0.3">
      <c r="A30">
        <v>29</v>
      </c>
      <c r="B30" t="s">
        <v>49</v>
      </c>
      <c r="C30" s="18">
        <v>34.1</v>
      </c>
      <c r="D30">
        <v>3</v>
      </c>
      <c r="E30" s="18">
        <v>16</v>
      </c>
      <c r="F30" s="2">
        <v>0.23472222222222222</v>
      </c>
      <c r="G30" s="3">
        <v>262</v>
      </c>
    </row>
    <row r="31" spans="1:7" x14ac:dyDescent="0.3">
      <c r="A31">
        <v>30</v>
      </c>
      <c r="B31" t="s">
        <v>38</v>
      </c>
      <c r="C31" s="18">
        <v>33.6</v>
      </c>
      <c r="D31">
        <v>5</v>
      </c>
      <c r="E31" s="18">
        <v>17</v>
      </c>
      <c r="F31" s="2">
        <v>0.33819444444444446</v>
      </c>
      <c r="G31" s="3">
        <v>273</v>
      </c>
    </row>
    <row r="32" spans="1:7" x14ac:dyDescent="0.3">
      <c r="A32">
        <v>31</v>
      </c>
      <c r="B32" t="s">
        <v>172</v>
      </c>
      <c r="C32" s="18">
        <v>32.5</v>
      </c>
      <c r="D32">
        <v>2</v>
      </c>
      <c r="E32" s="18">
        <v>17</v>
      </c>
      <c r="F32" s="2">
        <v>0.375</v>
      </c>
      <c r="G32" s="3">
        <v>1360</v>
      </c>
    </row>
    <row r="33" spans="1:7" x14ac:dyDescent="0.3">
      <c r="A33">
        <v>32</v>
      </c>
      <c r="B33" t="s">
        <v>52</v>
      </c>
      <c r="C33" s="18">
        <v>32.5</v>
      </c>
      <c r="D33">
        <v>3</v>
      </c>
      <c r="E33" s="18">
        <v>21.3</v>
      </c>
      <c r="F33" s="2">
        <v>0.22777777777777777</v>
      </c>
      <c r="G33" s="3">
        <v>155</v>
      </c>
    </row>
    <row r="34" spans="1:7" x14ac:dyDescent="0.3">
      <c r="A34">
        <v>33</v>
      </c>
      <c r="B34" t="s">
        <v>45</v>
      </c>
      <c r="C34" s="18">
        <v>32.299999999999997</v>
      </c>
      <c r="D34">
        <v>3</v>
      </c>
      <c r="E34" s="18">
        <v>11.3</v>
      </c>
      <c r="F34" s="2">
        <v>0.37569444444444444</v>
      </c>
      <c r="G34" s="3">
        <v>180</v>
      </c>
    </row>
    <row r="35" spans="1:7" x14ac:dyDescent="0.3">
      <c r="A35">
        <v>34</v>
      </c>
      <c r="B35" t="s">
        <v>30</v>
      </c>
      <c r="C35" s="18">
        <v>30.8</v>
      </c>
      <c r="D35">
        <v>7</v>
      </c>
      <c r="E35" s="18">
        <v>10</v>
      </c>
      <c r="F35" s="2">
        <v>0.27291666666666664</v>
      </c>
      <c r="G35" s="3">
        <v>285</v>
      </c>
    </row>
    <row r="36" spans="1:7" x14ac:dyDescent="0.3">
      <c r="A36">
        <v>35</v>
      </c>
      <c r="B36" t="s">
        <v>16</v>
      </c>
      <c r="C36" s="18">
        <v>30.7</v>
      </c>
      <c r="D36">
        <v>3</v>
      </c>
      <c r="E36" s="18">
        <v>10.5</v>
      </c>
      <c r="F36" s="2">
        <v>0.23194444444444445</v>
      </c>
      <c r="G36" s="3">
        <v>115</v>
      </c>
    </row>
    <row r="37" spans="1:7" x14ac:dyDescent="0.3">
      <c r="A37">
        <v>36</v>
      </c>
      <c r="B37" t="s">
        <v>29</v>
      </c>
      <c r="C37" s="18">
        <v>30.1</v>
      </c>
      <c r="D37">
        <v>2</v>
      </c>
      <c r="E37" s="18">
        <v>17.3</v>
      </c>
      <c r="F37" s="2">
        <v>0.4548611111111111</v>
      </c>
      <c r="G37" s="3">
        <v>1018</v>
      </c>
    </row>
    <row r="38" spans="1:7" x14ac:dyDescent="0.3">
      <c r="A38">
        <v>37</v>
      </c>
      <c r="B38" t="s">
        <v>39</v>
      </c>
      <c r="C38" s="18">
        <v>29.9</v>
      </c>
      <c r="D38">
        <v>2</v>
      </c>
      <c r="E38" s="18">
        <v>16.3</v>
      </c>
      <c r="F38" s="2">
        <v>0.49027777777777776</v>
      </c>
      <c r="G38" s="3">
        <v>1193</v>
      </c>
    </row>
    <row r="39" spans="1:7" x14ac:dyDescent="0.3">
      <c r="A39">
        <v>38</v>
      </c>
      <c r="B39" t="s">
        <v>61</v>
      </c>
      <c r="C39" s="18">
        <v>29.5</v>
      </c>
      <c r="D39">
        <v>3</v>
      </c>
      <c r="E39" s="18">
        <v>16.8</v>
      </c>
      <c r="F39" s="2">
        <v>0.38680555555555557</v>
      </c>
      <c r="G39" s="3">
        <v>864</v>
      </c>
    </row>
    <row r="40" spans="1:7" x14ac:dyDescent="0.3">
      <c r="A40">
        <v>39</v>
      </c>
      <c r="B40" t="s">
        <v>21</v>
      </c>
      <c r="C40" s="18">
        <v>29.4</v>
      </c>
      <c r="D40">
        <v>2</v>
      </c>
      <c r="E40" s="18">
        <v>18.100000000000001</v>
      </c>
      <c r="F40" s="2">
        <v>0.25416666666666665</v>
      </c>
      <c r="G40" s="3">
        <v>127</v>
      </c>
    </row>
    <row r="41" spans="1:7" x14ac:dyDescent="0.3">
      <c r="A41">
        <v>40</v>
      </c>
      <c r="B41" t="s">
        <v>44</v>
      </c>
      <c r="C41" s="18">
        <v>29.3</v>
      </c>
      <c r="D41">
        <v>2</v>
      </c>
      <c r="E41" s="18">
        <v>16.5</v>
      </c>
      <c r="F41" s="2">
        <v>0.3972222222222222</v>
      </c>
      <c r="G41" s="3">
        <v>1091</v>
      </c>
    </row>
    <row r="42" spans="1:7" x14ac:dyDescent="0.3">
      <c r="A42">
        <v>41</v>
      </c>
      <c r="B42" t="s">
        <v>62</v>
      </c>
      <c r="C42" s="18">
        <v>27.7</v>
      </c>
      <c r="D42">
        <v>2</v>
      </c>
      <c r="E42" s="18">
        <v>15</v>
      </c>
      <c r="F42" s="2">
        <v>0.2951388888888889</v>
      </c>
      <c r="G42" s="3">
        <v>253</v>
      </c>
    </row>
    <row r="43" spans="1:7" x14ac:dyDescent="0.3">
      <c r="A43">
        <v>42</v>
      </c>
      <c r="B43" t="s">
        <v>58</v>
      </c>
      <c r="C43" s="18">
        <v>26.9</v>
      </c>
      <c r="D43">
        <v>2</v>
      </c>
      <c r="E43" s="18">
        <v>14.9</v>
      </c>
      <c r="F43" s="2">
        <v>0.28819444444444442</v>
      </c>
      <c r="G43" s="3">
        <v>169</v>
      </c>
    </row>
    <row r="44" spans="1:7" x14ac:dyDescent="0.3">
      <c r="A44">
        <v>43</v>
      </c>
      <c r="B44" t="s">
        <v>40</v>
      </c>
      <c r="C44" s="18">
        <v>26.8</v>
      </c>
      <c r="D44">
        <v>3</v>
      </c>
      <c r="E44" s="18">
        <v>13</v>
      </c>
      <c r="F44" s="2">
        <v>0.26805555555555555</v>
      </c>
      <c r="G44" s="3">
        <v>196</v>
      </c>
    </row>
    <row r="45" spans="1:7" x14ac:dyDescent="0.3">
      <c r="A45">
        <v>44</v>
      </c>
      <c r="B45" t="s">
        <v>31</v>
      </c>
      <c r="C45" s="18">
        <v>24.2</v>
      </c>
      <c r="D45">
        <v>2</v>
      </c>
      <c r="E45" s="18">
        <v>12.7</v>
      </c>
      <c r="F45" s="2">
        <v>0.23402777777777778</v>
      </c>
      <c r="G45" s="3">
        <v>307</v>
      </c>
    </row>
    <row r="46" spans="1:7" x14ac:dyDescent="0.3">
      <c r="A46">
        <v>45</v>
      </c>
      <c r="B46" t="s">
        <v>221</v>
      </c>
      <c r="C46" s="18">
        <v>24</v>
      </c>
      <c r="D46">
        <v>2</v>
      </c>
      <c r="E46" s="18">
        <v>13.9</v>
      </c>
      <c r="F46" s="2">
        <v>0.26250000000000001</v>
      </c>
      <c r="G46" s="3">
        <v>300</v>
      </c>
    </row>
    <row r="47" spans="1:7" x14ac:dyDescent="0.3">
      <c r="A47">
        <v>46</v>
      </c>
      <c r="B47" t="s">
        <v>36</v>
      </c>
      <c r="C47" s="18">
        <v>23.6</v>
      </c>
      <c r="D47">
        <v>2</v>
      </c>
      <c r="E47" s="18">
        <v>13.7</v>
      </c>
      <c r="F47" s="2">
        <v>0.44583333333333336</v>
      </c>
      <c r="G47" s="3">
        <v>413</v>
      </c>
    </row>
    <row r="48" spans="1:7" x14ac:dyDescent="0.3">
      <c r="A48">
        <v>47</v>
      </c>
      <c r="B48" t="s">
        <v>37</v>
      </c>
      <c r="C48" s="18">
        <v>23.6</v>
      </c>
      <c r="D48">
        <v>2</v>
      </c>
      <c r="E48" s="18">
        <v>17.399999999999999</v>
      </c>
      <c r="F48" s="2">
        <v>0.35486111111111113</v>
      </c>
      <c r="G48" s="3">
        <v>820</v>
      </c>
    </row>
    <row r="49" spans="1:7" x14ac:dyDescent="0.3">
      <c r="A49">
        <v>48</v>
      </c>
      <c r="B49" t="s">
        <v>23</v>
      </c>
      <c r="C49" s="18">
        <v>23.3</v>
      </c>
      <c r="D49">
        <v>2</v>
      </c>
      <c r="E49" s="18">
        <v>13.1</v>
      </c>
      <c r="F49" s="2">
        <v>0.32083333333333336</v>
      </c>
      <c r="G49" s="3">
        <v>595</v>
      </c>
    </row>
    <row r="50" spans="1:7" x14ac:dyDescent="0.3">
      <c r="A50">
        <v>49</v>
      </c>
      <c r="B50" t="s">
        <v>48</v>
      </c>
      <c r="C50" s="18">
        <v>21.2</v>
      </c>
      <c r="D50">
        <v>1</v>
      </c>
      <c r="E50" s="18">
        <v>21.2</v>
      </c>
      <c r="F50" s="2">
        <v>0.29722222222222222</v>
      </c>
      <c r="G50" s="3">
        <v>96</v>
      </c>
    </row>
    <row r="51" spans="1:7" x14ac:dyDescent="0.3">
      <c r="A51">
        <v>50</v>
      </c>
      <c r="B51" t="s">
        <v>70</v>
      </c>
      <c r="C51" s="18">
        <v>21.2</v>
      </c>
      <c r="D51">
        <v>1</v>
      </c>
      <c r="E51" s="18">
        <v>21.2</v>
      </c>
      <c r="F51" s="2">
        <v>0.29791666666666666</v>
      </c>
      <c r="G51" s="3">
        <v>96</v>
      </c>
    </row>
    <row r="52" spans="1:7" x14ac:dyDescent="0.3">
      <c r="A52">
        <v>51</v>
      </c>
      <c r="B52" t="s">
        <v>68</v>
      </c>
      <c r="C52" s="18">
        <v>21</v>
      </c>
      <c r="D52">
        <v>2</v>
      </c>
      <c r="E52" s="18">
        <v>10.7</v>
      </c>
      <c r="F52" s="2">
        <v>0.31041666666666667</v>
      </c>
      <c r="G52" s="3">
        <v>557</v>
      </c>
    </row>
    <row r="53" spans="1:7" x14ac:dyDescent="0.3">
      <c r="A53">
        <v>52</v>
      </c>
      <c r="B53" t="s">
        <v>33</v>
      </c>
      <c r="C53" s="18">
        <v>19.399999999999999</v>
      </c>
      <c r="D53">
        <v>5</v>
      </c>
      <c r="E53" s="18">
        <v>8</v>
      </c>
      <c r="F53" s="2">
        <v>0.30694444444444446</v>
      </c>
      <c r="G53" s="3">
        <v>80</v>
      </c>
    </row>
    <row r="54" spans="1:7" x14ac:dyDescent="0.3">
      <c r="A54">
        <v>53</v>
      </c>
      <c r="B54" t="s">
        <v>26</v>
      </c>
      <c r="C54" s="18">
        <v>18.2</v>
      </c>
      <c r="D54">
        <v>2</v>
      </c>
      <c r="E54" s="18">
        <v>10</v>
      </c>
      <c r="F54" s="2">
        <v>0.24583333333333332</v>
      </c>
      <c r="G54" s="3" t="s">
        <v>3</v>
      </c>
    </row>
    <row r="55" spans="1:7" x14ac:dyDescent="0.3">
      <c r="A55">
        <v>54</v>
      </c>
      <c r="B55" t="s">
        <v>7</v>
      </c>
      <c r="C55" s="18">
        <v>18.100000000000001</v>
      </c>
      <c r="D55">
        <v>1</v>
      </c>
      <c r="E55" s="18">
        <v>18.100000000000001</v>
      </c>
      <c r="F55" s="2">
        <v>0.35</v>
      </c>
      <c r="G55" s="3">
        <v>1084</v>
      </c>
    </row>
    <row r="56" spans="1:7" x14ac:dyDescent="0.3">
      <c r="A56">
        <v>55</v>
      </c>
      <c r="B56" t="s">
        <v>35</v>
      </c>
      <c r="C56" s="18">
        <v>18</v>
      </c>
      <c r="D56">
        <v>2</v>
      </c>
      <c r="E56" s="18">
        <v>10</v>
      </c>
      <c r="F56" s="2">
        <v>0.20833333333333334</v>
      </c>
      <c r="G56" s="3">
        <v>204</v>
      </c>
    </row>
    <row r="57" spans="1:7" x14ac:dyDescent="0.3">
      <c r="A57">
        <v>56</v>
      </c>
      <c r="B57" t="s">
        <v>18</v>
      </c>
      <c r="C57" s="18">
        <v>17.7</v>
      </c>
      <c r="D57">
        <v>1</v>
      </c>
      <c r="E57" s="18">
        <v>17.7</v>
      </c>
      <c r="F57" s="2">
        <v>0.3576388888888889</v>
      </c>
      <c r="G57" s="3">
        <v>751</v>
      </c>
    </row>
    <row r="58" spans="1:7" x14ac:dyDescent="0.3">
      <c r="A58">
        <v>57</v>
      </c>
      <c r="B58" t="s">
        <v>55</v>
      </c>
      <c r="C58" s="18">
        <v>17.3</v>
      </c>
      <c r="D58">
        <v>2</v>
      </c>
      <c r="E58" s="18">
        <v>9.6</v>
      </c>
      <c r="F58" s="2">
        <v>0.27569444444444446</v>
      </c>
      <c r="G58" s="3">
        <v>179</v>
      </c>
    </row>
    <row r="59" spans="1:7" x14ac:dyDescent="0.3">
      <c r="A59">
        <v>58</v>
      </c>
      <c r="B59" t="s">
        <v>54</v>
      </c>
      <c r="C59" s="18">
        <v>17.100000000000001</v>
      </c>
      <c r="D59">
        <v>2</v>
      </c>
      <c r="E59" s="18">
        <v>9.1999999999999993</v>
      </c>
      <c r="F59" s="2">
        <v>0.25555555555555554</v>
      </c>
      <c r="G59" s="3">
        <v>88</v>
      </c>
    </row>
    <row r="60" spans="1:7" x14ac:dyDescent="0.3">
      <c r="A60">
        <v>59</v>
      </c>
      <c r="B60" t="s">
        <v>69</v>
      </c>
      <c r="C60" s="18">
        <v>17</v>
      </c>
      <c r="D60">
        <v>1</v>
      </c>
      <c r="E60" s="18">
        <v>17</v>
      </c>
      <c r="F60" s="2">
        <v>0.40069444444444446</v>
      </c>
      <c r="G60" s="3">
        <v>868</v>
      </c>
    </row>
    <row r="61" spans="1:7" x14ac:dyDescent="0.3">
      <c r="A61">
        <v>60</v>
      </c>
      <c r="B61" t="s">
        <v>11</v>
      </c>
      <c r="C61" s="18">
        <v>13</v>
      </c>
      <c r="D61">
        <v>1</v>
      </c>
      <c r="E61" s="18">
        <v>13</v>
      </c>
      <c r="F61" s="2">
        <v>0.21875</v>
      </c>
      <c r="G61" s="3" t="s">
        <v>3</v>
      </c>
    </row>
    <row r="62" spans="1:7" x14ac:dyDescent="0.3">
      <c r="A62">
        <v>61</v>
      </c>
      <c r="B62" t="s">
        <v>20</v>
      </c>
      <c r="C62" s="18">
        <v>11.3</v>
      </c>
      <c r="D62">
        <v>1</v>
      </c>
      <c r="E62" s="18">
        <v>11.3</v>
      </c>
      <c r="F62" s="2">
        <v>0.25694444444444442</v>
      </c>
      <c r="G62" s="3">
        <v>105</v>
      </c>
    </row>
    <row r="63" spans="1:7" x14ac:dyDescent="0.3">
      <c r="A63">
        <v>62</v>
      </c>
      <c r="B63" t="s">
        <v>176</v>
      </c>
      <c r="C63" s="18">
        <v>10.9</v>
      </c>
      <c r="D63">
        <v>1</v>
      </c>
      <c r="E63" s="18">
        <v>10.9</v>
      </c>
      <c r="F63" s="2">
        <v>0.28541666666666665</v>
      </c>
      <c r="G63" s="3">
        <v>120</v>
      </c>
    </row>
    <row r="64" spans="1:7" x14ac:dyDescent="0.3">
      <c r="A64">
        <v>63</v>
      </c>
      <c r="B64" t="s">
        <v>179</v>
      </c>
      <c r="C64" s="18">
        <v>10.4</v>
      </c>
      <c r="D64">
        <v>1</v>
      </c>
      <c r="E64" s="18">
        <v>10.4</v>
      </c>
      <c r="F64" s="2">
        <v>0.28263888888888888</v>
      </c>
      <c r="G64" s="3">
        <v>125</v>
      </c>
    </row>
    <row r="65" spans="1:7" x14ac:dyDescent="0.3">
      <c r="A65">
        <v>64</v>
      </c>
      <c r="B65" t="s">
        <v>64</v>
      </c>
      <c r="C65" s="18">
        <v>10.4</v>
      </c>
      <c r="D65">
        <v>1</v>
      </c>
      <c r="E65" s="18">
        <v>10.4</v>
      </c>
      <c r="F65" s="2">
        <v>0.30555555555555558</v>
      </c>
      <c r="G65" s="3">
        <v>192</v>
      </c>
    </row>
    <row r="66" spans="1:7" x14ac:dyDescent="0.3">
      <c r="A66">
        <v>65</v>
      </c>
      <c r="B66" t="s">
        <v>178</v>
      </c>
      <c r="C66" s="18">
        <v>10.4</v>
      </c>
      <c r="D66">
        <v>1</v>
      </c>
      <c r="E66" s="18">
        <v>10.4</v>
      </c>
      <c r="F66" s="2">
        <v>0.27291666666666664</v>
      </c>
      <c r="G66" s="3">
        <v>117</v>
      </c>
    </row>
    <row r="67" spans="1:7" x14ac:dyDescent="0.3">
      <c r="A67">
        <v>66</v>
      </c>
      <c r="B67" t="s">
        <v>66</v>
      </c>
      <c r="C67" s="18">
        <v>10.199999999999999</v>
      </c>
      <c r="D67">
        <v>1</v>
      </c>
      <c r="E67" s="18">
        <v>10.199999999999999</v>
      </c>
      <c r="F67" s="2">
        <v>0.32013888888888886</v>
      </c>
      <c r="G67" s="3">
        <v>190</v>
      </c>
    </row>
    <row r="68" spans="1:7" x14ac:dyDescent="0.3">
      <c r="A68">
        <v>67</v>
      </c>
      <c r="B68" t="s">
        <v>76</v>
      </c>
      <c r="C68" s="18">
        <v>10.1</v>
      </c>
      <c r="D68">
        <v>1</v>
      </c>
      <c r="E68" s="18">
        <v>10.1</v>
      </c>
      <c r="F68" s="2">
        <v>0.27430555555555558</v>
      </c>
      <c r="G68" s="3">
        <v>16</v>
      </c>
    </row>
    <row r="69" spans="1:7" x14ac:dyDescent="0.3">
      <c r="A69">
        <v>68</v>
      </c>
      <c r="B69" t="s">
        <v>213</v>
      </c>
      <c r="C69" s="18">
        <v>10</v>
      </c>
      <c r="D69">
        <v>1</v>
      </c>
      <c r="E69" s="18">
        <v>10</v>
      </c>
      <c r="F69" s="2">
        <v>0.47708333333333336</v>
      </c>
      <c r="G69" s="3">
        <v>571</v>
      </c>
    </row>
    <row r="70" spans="1:7" x14ac:dyDescent="0.3">
      <c r="A70">
        <v>69</v>
      </c>
      <c r="B70" t="s">
        <v>181</v>
      </c>
      <c r="C70" s="18">
        <v>9.1</v>
      </c>
      <c r="D70">
        <v>2</v>
      </c>
      <c r="E70" s="18">
        <v>6.3</v>
      </c>
      <c r="F70" s="2">
        <v>0.46111111111111114</v>
      </c>
      <c r="G70" s="3">
        <v>71</v>
      </c>
    </row>
    <row r="71" spans="1:7" x14ac:dyDescent="0.3">
      <c r="A71">
        <v>70</v>
      </c>
      <c r="B71" t="s">
        <v>72</v>
      </c>
      <c r="C71" s="18">
        <v>8.6999999999999993</v>
      </c>
      <c r="D71">
        <v>1</v>
      </c>
      <c r="E71" s="18">
        <v>8.6999999999999993</v>
      </c>
      <c r="F71" s="2">
        <v>0.24791666666666667</v>
      </c>
      <c r="G71" s="3">
        <v>64</v>
      </c>
    </row>
    <row r="72" spans="1:7" x14ac:dyDescent="0.3">
      <c r="A72">
        <v>71</v>
      </c>
      <c r="B72" t="s">
        <v>67</v>
      </c>
      <c r="C72" s="18">
        <v>8.6</v>
      </c>
      <c r="D72">
        <v>1</v>
      </c>
      <c r="E72" s="18">
        <v>8.6</v>
      </c>
      <c r="F72" s="2">
        <v>0.22361111111111112</v>
      </c>
      <c r="G72" s="3">
        <v>86</v>
      </c>
    </row>
    <row r="73" spans="1:7" x14ac:dyDescent="0.3">
      <c r="A73">
        <v>72</v>
      </c>
      <c r="B73" t="s">
        <v>210</v>
      </c>
      <c r="C73" s="18">
        <v>8.1</v>
      </c>
      <c r="D73">
        <v>1</v>
      </c>
      <c r="E73" s="18">
        <v>8.1</v>
      </c>
      <c r="F73" s="2">
        <v>0.23333333333333334</v>
      </c>
      <c r="G73" s="3">
        <v>307</v>
      </c>
    </row>
    <row r="74" spans="1:7" x14ac:dyDescent="0.3">
      <c r="A74">
        <v>73</v>
      </c>
      <c r="B74" t="s">
        <v>57</v>
      </c>
      <c r="C74" s="18">
        <v>7.4</v>
      </c>
      <c r="D74">
        <v>1</v>
      </c>
      <c r="E74" s="18">
        <v>7.4</v>
      </c>
      <c r="F74" s="2">
        <v>0.26041666666666669</v>
      </c>
      <c r="G74" s="3">
        <v>26</v>
      </c>
    </row>
    <row r="75" spans="1:7" x14ac:dyDescent="0.3">
      <c r="A75">
        <v>74</v>
      </c>
      <c r="B75" t="s">
        <v>174</v>
      </c>
      <c r="C75" s="18">
        <v>6.3</v>
      </c>
      <c r="D75">
        <v>1</v>
      </c>
      <c r="E75" s="18">
        <v>6.3</v>
      </c>
      <c r="F75" s="2">
        <v>0.5625</v>
      </c>
      <c r="G75" s="3">
        <v>140</v>
      </c>
    </row>
    <row r="76" spans="1:7" x14ac:dyDescent="0.3">
      <c r="A76">
        <v>75</v>
      </c>
      <c r="B76" t="s">
        <v>75</v>
      </c>
      <c r="C76" s="18">
        <v>5.6</v>
      </c>
      <c r="D76">
        <v>1</v>
      </c>
      <c r="E76" s="18">
        <v>5.6</v>
      </c>
      <c r="F76" s="2">
        <v>0.26111111111111113</v>
      </c>
      <c r="G76" s="3">
        <v>39</v>
      </c>
    </row>
    <row r="77" spans="1:7" x14ac:dyDescent="0.3">
      <c r="A77">
        <v>76</v>
      </c>
      <c r="B77" t="s">
        <v>81</v>
      </c>
      <c r="C77" s="18">
        <v>3.9</v>
      </c>
      <c r="D77">
        <v>2</v>
      </c>
      <c r="E77" s="18">
        <v>2.2999999999999998</v>
      </c>
      <c r="F77" s="2">
        <v>0.59166666666666667</v>
      </c>
      <c r="G77" s="3" t="s">
        <v>3</v>
      </c>
    </row>
    <row r="78" spans="1:7" x14ac:dyDescent="0.3">
      <c r="A78">
        <v>77</v>
      </c>
      <c r="B78" t="s">
        <v>214</v>
      </c>
      <c r="C78" s="18">
        <v>0.4</v>
      </c>
      <c r="D78">
        <v>1</v>
      </c>
      <c r="E78" s="18">
        <v>0.4</v>
      </c>
      <c r="F78" s="2">
        <v>2.7708333333333335</v>
      </c>
      <c r="G78" s="3" t="s">
        <v>3</v>
      </c>
    </row>
  </sheetData>
  <autoFilter ref="A1:H78" xr:uid="{D7DE90D2-E864-4B93-AD52-54E442BD8DD9}"/>
  <pageMargins left="0.7" right="0.7" top="0.75" bottom="0.75" header="0.3" footer="0.3"/>
  <headerFooter>
    <oddFooter>&amp;C_x000D_&amp;1#&amp;"Calibri"&amp;8&amp;K000000 Public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E90D2-E864-4B93-AD52-54E442BD8DD9}">
  <dimension ref="A1:G78"/>
  <sheetViews>
    <sheetView topLeftCell="A36" workbookViewId="0">
      <selection activeCell="F65" sqref="F65"/>
    </sheetView>
  </sheetViews>
  <sheetFormatPr defaultRowHeight="14.4" x14ac:dyDescent="0.3"/>
  <cols>
    <col min="2" max="2" width="8.88671875" customWidth="1"/>
  </cols>
  <sheetData>
    <row r="1" spans="1:7" x14ac:dyDescent="0.3">
      <c r="A1" s="1" t="s">
        <v>0</v>
      </c>
      <c r="B1" s="1" t="s">
        <v>1</v>
      </c>
      <c r="C1" s="1" t="s">
        <v>82</v>
      </c>
      <c r="D1" s="1" t="s">
        <v>2</v>
      </c>
      <c r="E1" s="1" t="s">
        <v>83</v>
      </c>
      <c r="F1" s="1" t="s">
        <v>84</v>
      </c>
      <c r="G1" s="1" t="s">
        <v>85</v>
      </c>
    </row>
    <row r="2" spans="1:7" x14ac:dyDescent="0.3">
      <c r="A2">
        <v>1</v>
      </c>
      <c r="B2" t="s">
        <v>4</v>
      </c>
      <c r="C2" s="18">
        <v>120.8</v>
      </c>
      <c r="D2" s="3">
        <v>7</v>
      </c>
      <c r="E2" s="18">
        <v>31.2</v>
      </c>
      <c r="F2" s="2">
        <v>0.22569444444444445</v>
      </c>
      <c r="G2" s="3">
        <v>950</v>
      </c>
    </row>
    <row r="3" spans="1:7" x14ac:dyDescent="0.3">
      <c r="A3">
        <v>2</v>
      </c>
      <c r="B3" t="s">
        <v>13</v>
      </c>
      <c r="C3" s="18">
        <v>87.2</v>
      </c>
      <c r="D3" s="3">
        <v>6</v>
      </c>
      <c r="E3" s="18">
        <v>25.1</v>
      </c>
      <c r="F3" s="2">
        <v>0.23749999999999999</v>
      </c>
      <c r="G3" s="3">
        <v>1737</v>
      </c>
    </row>
    <row r="4" spans="1:7" x14ac:dyDescent="0.3">
      <c r="A4">
        <v>3</v>
      </c>
      <c r="B4" t="s">
        <v>9</v>
      </c>
      <c r="C4" s="18">
        <v>70.2</v>
      </c>
      <c r="D4" s="3">
        <v>7</v>
      </c>
      <c r="E4" s="18">
        <v>23.5</v>
      </c>
      <c r="F4" s="2">
        <v>0.25972222222222224</v>
      </c>
      <c r="G4" s="3">
        <v>816</v>
      </c>
    </row>
    <row r="5" spans="1:7" x14ac:dyDescent="0.3">
      <c r="A5">
        <v>4</v>
      </c>
      <c r="B5" t="s">
        <v>10</v>
      </c>
      <c r="C5" s="18">
        <v>62.5</v>
      </c>
      <c r="D5" s="3">
        <v>3</v>
      </c>
      <c r="E5" s="18">
        <v>42.4</v>
      </c>
      <c r="F5" s="2">
        <v>0.21597222222222223</v>
      </c>
      <c r="G5" s="3">
        <v>362</v>
      </c>
    </row>
    <row r="6" spans="1:7" x14ac:dyDescent="0.3">
      <c r="A6">
        <v>5</v>
      </c>
      <c r="B6" t="s">
        <v>22</v>
      </c>
      <c r="C6" s="19">
        <v>61.6</v>
      </c>
      <c r="D6" s="3">
        <v>3</v>
      </c>
      <c r="E6" s="19">
        <v>42.4</v>
      </c>
      <c r="F6" s="17">
        <v>0.2951388888888889</v>
      </c>
      <c r="G6" s="20">
        <v>441</v>
      </c>
    </row>
    <row r="7" spans="1:7" x14ac:dyDescent="0.3">
      <c r="A7">
        <v>6</v>
      </c>
      <c r="B7" t="s">
        <v>60</v>
      </c>
      <c r="C7" s="18">
        <v>52.3</v>
      </c>
      <c r="D7" s="3">
        <v>2</v>
      </c>
      <c r="E7" s="18">
        <v>42.3</v>
      </c>
      <c r="F7" s="2">
        <v>0.24027777777777778</v>
      </c>
      <c r="G7" s="3">
        <v>371</v>
      </c>
    </row>
    <row r="8" spans="1:7" x14ac:dyDescent="0.3">
      <c r="A8">
        <v>7</v>
      </c>
      <c r="B8" t="s">
        <v>34</v>
      </c>
      <c r="C8" s="18">
        <v>45.9</v>
      </c>
      <c r="D8" s="3">
        <v>4</v>
      </c>
      <c r="E8" s="18">
        <v>17</v>
      </c>
      <c r="F8" s="2">
        <v>0.29930555555555555</v>
      </c>
      <c r="G8" s="3">
        <v>804</v>
      </c>
    </row>
    <row r="9" spans="1:7" x14ac:dyDescent="0.3">
      <c r="A9">
        <v>8</v>
      </c>
      <c r="B9" t="s">
        <v>44</v>
      </c>
      <c r="C9" s="18">
        <v>44.4</v>
      </c>
      <c r="D9" s="3">
        <v>3</v>
      </c>
      <c r="E9" s="18">
        <v>18.5</v>
      </c>
      <c r="F9" s="2">
        <v>0.24652777777777779</v>
      </c>
      <c r="G9" s="3">
        <v>538</v>
      </c>
    </row>
    <row r="10" spans="1:7" x14ac:dyDescent="0.3">
      <c r="A10">
        <v>9</v>
      </c>
      <c r="B10" t="s">
        <v>32</v>
      </c>
      <c r="C10" s="18">
        <v>40.6</v>
      </c>
      <c r="D10" s="3">
        <v>6</v>
      </c>
      <c r="E10" s="18">
        <v>10</v>
      </c>
      <c r="F10" s="2">
        <v>0.31111111111111112</v>
      </c>
      <c r="G10" s="3">
        <v>1107</v>
      </c>
    </row>
    <row r="11" spans="1:7" x14ac:dyDescent="0.3">
      <c r="A11">
        <v>10</v>
      </c>
      <c r="B11" t="s">
        <v>51</v>
      </c>
      <c r="C11" s="18">
        <v>39.799999999999997</v>
      </c>
      <c r="D11" s="3">
        <v>4</v>
      </c>
      <c r="E11" s="18">
        <v>21</v>
      </c>
      <c r="F11" s="2">
        <v>0.25486111111111109</v>
      </c>
      <c r="G11" s="3">
        <v>280</v>
      </c>
    </row>
    <row r="12" spans="1:7" x14ac:dyDescent="0.3">
      <c r="A12">
        <v>11</v>
      </c>
      <c r="B12" t="s">
        <v>5</v>
      </c>
      <c r="C12" s="18">
        <v>38.700000000000003</v>
      </c>
      <c r="D12" s="3">
        <v>2</v>
      </c>
      <c r="E12" s="18">
        <v>27.5</v>
      </c>
      <c r="F12" s="2">
        <v>0.27013888888888887</v>
      </c>
      <c r="G12" s="3">
        <v>1019</v>
      </c>
    </row>
    <row r="13" spans="1:7" x14ac:dyDescent="0.3">
      <c r="A13">
        <v>12</v>
      </c>
      <c r="B13" t="s">
        <v>42</v>
      </c>
      <c r="C13" s="18">
        <v>38.1</v>
      </c>
      <c r="D13" s="3">
        <v>4</v>
      </c>
      <c r="E13" s="18">
        <v>14.3</v>
      </c>
      <c r="F13" s="2">
        <v>0.23819444444444443</v>
      </c>
      <c r="G13" s="3">
        <v>156</v>
      </c>
    </row>
    <row r="14" spans="1:7" x14ac:dyDescent="0.3">
      <c r="A14">
        <v>13</v>
      </c>
      <c r="B14" t="s">
        <v>47</v>
      </c>
      <c r="C14" s="18">
        <v>35.799999999999997</v>
      </c>
      <c r="D14" s="3">
        <v>12</v>
      </c>
      <c r="E14" s="18">
        <v>10.6</v>
      </c>
      <c r="F14" s="2">
        <v>0.59236111111111112</v>
      </c>
      <c r="G14" s="3" t="s">
        <v>3</v>
      </c>
    </row>
    <row r="15" spans="1:7" x14ac:dyDescent="0.3">
      <c r="A15">
        <v>14</v>
      </c>
      <c r="B15" t="s">
        <v>12</v>
      </c>
      <c r="C15" s="18">
        <v>33.4</v>
      </c>
      <c r="D15" s="3">
        <v>3</v>
      </c>
      <c r="E15" s="18">
        <v>21.4</v>
      </c>
      <c r="F15" s="2">
        <v>0.27430555555555558</v>
      </c>
      <c r="G15" s="3">
        <v>154</v>
      </c>
    </row>
    <row r="16" spans="1:7" x14ac:dyDescent="0.3">
      <c r="A16">
        <v>15</v>
      </c>
      <c r="B16" t="s">
        <v>15</v>
      </c>
      <c r="C16" s="18">
        <v>32.799999999999997</v>
      </c>
      <c r="D16" s="3">
        <v>2</v>
      </c>
      <c r="E16" s="18">
        <v>22.8</v>
      </c>
      <c r="F16" s="2">
        <v>0.32847222222222222</v>
      </c>
      <c r="G16" s="3">
        <v>1615</v>
      </c>
    </row>
    <row r="17" spans="1:7" x14ac:dyDescent="0.3">
      <c r="A17">
        <v>16</v>
      </c>
      <c r="B17" t="s">
        <v>6</v>
      </c>
      <c r="C17" s="18">
        <v>31.7</v>
      </c>
      <c r="D17" s="3">
        <v>3</v>
      </c>
      <c r="E17" s="18">
        <v>10.9</v>
      </c>
      <c r="F17" s="2">
        <v>0.29583333333333334</v>
      </c>
      <c r="G17" s="3">
        <v>873</v>
      </c>
    </row>
    <row r="18" spans="1:7" x14ac:dyDescent="0.3">
      <c r="A18">
        <v>17</v>
      </c>
      <c r="B18" t="s">
        <v>45</v>
      </c>
      <c r="C18" s="18">
        <v>30.5</v>
      </c>
      <c r="D18" s="3">
        <v>3</v>
      </c>
      <c r="E18" s="18">
        <v>10.3</v>
      </c>
      <c r="F18" s="2">
        <v>0.36388888888888887</v>
      </c>
      <c r="G18" s="3">
        <v>238</v>
      </c>
    </row>
    <row r="19" spans="1:7" x14ac:dyDescent="0.3">
      <c r="A19">
        <v>18</v>
      </c>
      <c r="B19" t="s">
        <v>23</v>
      </c>
      <c r="C19" s="18">
        <v>30.2</v>
      </c>
      <c r="D19" s="3">
        <v>2</v>
      </c>
      <c r="E19" s="18">
        <v>20</v>
      </c>
      <c r="F19" s="2">
        <v>0.31944444444444442</v>
      </c>
      <c r="G19" s="3">
        <v>800</v>
      </c>
    </row>
    <row r="20" spans="1:7" x14ac:dyDescent="0.3">
      <c r="A20">
        <v>19</v>
      </c>
      <c r="B20" t="s">
        <v>30</v>
      </c>
      <c r="C20" s="18">
        <v>29.4</v>
      </c>
      <c r="D20" s="3">
        <v>8</v>
      </c>
      <c r="E20" s="18">
        <v>11.2</v>
      </c>
      <c r="F20" s="2">
        <v>0.27430555555555558</v>
      </c>
      <c r="G20" s="3">
        <v>589</v>
      </c>
    </row>
    <row r="21" spans="1:7" x14ac:dyDescent="0.3">
      <c r="A21">
        <v>20</v>
      </c>
      <c r="B21" t="s">
        <v>172</v>
      </c>
      <c r="C21" s="18">
        <v>28.1</v>
      </c>
      <c r="D21" s="3">
        <v>2</v>
      </c>
      <c r="E21" s="18">
        <v>15</v>
      </c>
      <c r="F21" s="2">
        <v>0.3263888888888889</v>
      </c>
      <c r="G21" s="3">
        <v>792</v>
      </c>
    </row>
    <row r="22" spans="1:7" x14ac:dyDescent="0.3">
      <c r="A22">
        <v>21</v>
      </c>
      <c r="B22" t="s">
        <v>26</v>
      </c>
      <c r="C22" s="18">
        <v>27.1</v>
      </c>
      <c r="D22" s="3">
        <v>3</v>
      </c>
      <c r="E22" s="18">
        <v>15</v>
      </c>
      <c r="F22" s="2">
        <v>0.24444444444444444</v>
      </c>
      <c r="G22" s="3">
        <v>38</v>
      </c>
    </row>
    <row r="23" spans="1:7" x14ac:dyDescent="0.3">
      <c r="A23">
        <v>22</v>
      </c>
      <c r="B23" t="s">
        <v>8</v>
      </c>
      <c r="C23" s="18">
        <v>26.5</v>
      </c>
      <c r="D23" s="3">
        <v>2</v>
      </c>
      <c r="E23" s="18">
        <v>21.3</v>
      </c>
      <c r="F23" s="2">
        <v>0.17777777777777778</v>
      </c>
      <c r="G23" s="3">
        <v>181</v>
      </c>
    </row>
    <row r="24" spans="1:7" x14ac:dyDescent="0.3">
      <c r="A24">
        <v>23</v>
      </c>
      <c r="B24" t="s">
        <v>14</v>
      </c>
      <c r="C24" s="18">
        <v>26</v>
      </c>
      <c r="D24" s="3">
        <v>2</v>
      </c>
      <c r="E24" s="18">
        <v>14</v>
      </c>
      <c r="F24" s="2">
        <v>0.24861111111111112</v>
      </c>
      <c r="G24" s="3">
        <v>269</v>
      </c>
    </row>
    <row r="25" spans="1:7" x14ac:dyDescent="0.3">
      <c r="A25">
        <v>24</v>
      </c>
      <c r="B25" t="s">
        <v>65</v>
      </c>
      <c r="C25" s="18">
        <v>24.3</v>
      </c>
      <c r="D25" s="3">
        <v>4</v>
      </c>
      <c r="E25" s="18">
        <v>12.4</v>
      </c>
      <c r="F25" s="2">
        <v>0.28125</v>
      </c>
      <c r="G25" s="3">
        <v>128</v>
      </c>
    </row>
    <row r="26" spans="1:7" x14ac:dyDescent="0.3">
      <c r="A26">
        <v>25</v>
      </c>
      <c r="B26" t="s">
        <v>28</v>
      </c>
      <c r="C26" s="18">
        <v>23.3</v>
      </c>
      <c r="D26" s="3">
        <v>2</v>
      </c>
      <c r="E26" s="18">
        <v>16</v>
      </c>
      <c r="F26" s="2">
        <v>0.25486111111111109</v>
      </c>
      <c r="G26" s="3">
        <v>116</v>
      </c>
    </row>
    <row r="27" spans="1:7" x14ac:dyDescent="0.3">
      <c r="A27">
        <v>26</v>
      </c>
      <c r="B27" t="s">
        <v>7</v>
      </c>
      <c r="C27" s="18">
        <v>23</v>
      </c>
      <c r="D27" s="3">
        <v>3</v>
      </c>
      <c r="E27" s="18">
        <v>23</v>
      </c>
      <c r="F27" s="2">
        <v>0.35486111111111113</v>
      </c>
      <c r="G27" s="3">
        <v>1377</v>
      </c>
    </row>
    <row r="28" spans="1:7" x14ac:dyDescent="0.3">
      <c r="A28">
        <v>27</v>
      </c>
      <c r="B28" t="s">
        <v>49</v>
      </c>
      <c r="C28" s="18">
        <v>22.8</v>
      </c>
      <c r="D28" s="3">
        <v>3</v>
      </c>
      <c r="E28" s="18">
        <v>12</v>
      </c>
      <c r="F28" s="2">
        <v>0.23680555555555555</v>
      </c>
      <c r="G28" s="3">
        <v>155</v>
      </c>
    </row>
    <row r="29" spans="1:7" x14ac:dyDescent="0.3">
      <c r="A29">
        <v>28</v>
      </c>
      <c r="B29" t="s">
        <v>68</v>
      </c>
      <c r="C29" s="18">
        <v>22.3</v>
      </c>
      <c r="D29" s="3">
        <v>2</v>
      </c>
      <c r="E29" s="18">
        <v>11.2</v>
      </c>
      <c r="F29" s="2">
        <v>0.23819444444444443</v>
      </c>
      <c r="G29" s="3">
        <v>203</v>
      </c>
    </row>
    <row r="30" spans="1:7" x14ac:dyDescent="0.3">
      <c r="A30">
        <v>29</v>
      </c>
      <c r="B30" t="s">
        <v>67</v>
      </c>
      <c r="C30" s="18">
        <v>20.7</v>
      </c>
      <c r="D30" s="3">
        <v>2</v>
      </c>
      <c r="E30" s="18">
        <v>10.7</v>
      </c>
      <c r="F30" s="2">
        <v>0.2986111111111111</v>
      </c>
      <c r="G30" s="3">
        <v>194</v>
      </c>
    </row>
    <row r="31" spans="1:7" x14ac:dyDescent="0.3">
      <c r="A31">
        <v>30</v>
      </c>
      <c r="B31" t="s">
        <v>24</v>
      </c>
      <c r="C31" s="18">
        <v>20.6</v>
      </c>
      <c r="D31" s="3">
        <v>2</v>
      </c>
      <c r="E31" s="18">
        <v>10.3</v>
      </c>
      <c r="F31" s="2">
        <v>0.2951388888888889</v>
      </c>
      <c r="G31" s="3">
        <v>480</v>
      </c>
    </row>
    <row r="32" spans="1:7" x14ac:dyDescent="0.3">
      <c r="A32">
        <v>31</v>
      </c>
      <c r="B32" t="s">
        <v>27</v>
      </c>
      <c r="C32" s="18">
        <v>20.399999999999999</v>
      </c>
      <c r="D32" s="3">
        <v>2</v>
      </c>
      <c r="E32" s="18">
        <v>10.3</v>
      </c>
      <c r="F32" s="2">
        <v>0.3576388888888889</v>
      </c>
      <c r="G32" s="3">
        <v>410</v>
      </c>
    </row>
    <row r="33" spans="1:7" x14ac:dyDescent="0.3">
      <c r="A33">
        <v>32</v>
      </c>
      <c r="B33" t="s">
        <v>54</v>
      </c>
      <c r="C33" s="18">
        <v>20.2</v>
      </c>
      <c r="D33" s="3">
        <v>2</v>
      </c>
      <c r="E33" s="18">
        <v>10.5</v>
      </c>
      <c r="F33" s="2">
        <v>0.26527777777777778</v>
      </c>
      <c r="G33" s="3">
        <v>187</v>
      </c>
    </row>
    <row r="34" spans="1:7" x14ac:dyDescent="0.3">
      <c r="A34">
        <v>33</v>
      </c>
      <c r="B34" t="s">
        <v>20</v>
      </c>
      <c r="C34" s="18">
        <v>16.8</v>
      </c>
      <c r="D34" s="3">
        <v>2</v>
      </c>
      <c r="E34" s="18">
        <v>15</v>
      </c>
      <c r="F34" s="2">
        <v>0.22847222222222222</v>
      </c>
      <c r="G34" s="3">
        <v>235</v>
      </c>
    </row>
    <row r="35" spans="1:7" x14ac:dyDescent="0.3">
      <c r="A35">
        <v>34</v>
      </c>
      <c r="B35" t="s">
        <v>36</v>
      </c>
      <c r="C35" s="18">
        <v>15.7</v>
      </c>
      <c r="D35" s="3">
        <v>2</v>
      </c>
      <c r="E35" s="18">
        <v>10.1</v>
      </c>
      <c r="F35" s="2">
        <v>0.34166666666666667</v>
      </c>
      <c r="G35" s="3">
        <v>302</v>
      </c>
    </row>
    <row r="36" spans="1:7" x14ac:dyDescent="0.3">
      <c r="A36">
        <v>35</v>
      </c>
      <c r="B36" t="s">
        <v>175</v>
      </c>
      <c r="C36" s="18">
        <v>15.5</v>
      </c>
      <c r="D36" s="3">
        <v>1</v>
      </c>
      <c r="E36" s="18">
        <v>15.5</v>
      </c>
      <c r="F36" s="2">
        <v>0.29930555555555555</v>
      </c>
      <c r="G36" s="3">
        <v>175</v>
      </c>
    </row>
    <row r="37" spans="1:7" x14ac:dyDescent="0.3">
      <c r="A37">
        <v>36</v>
      </c>
      <c r="B37" t="s">
        <v>50</v>
      </c>
      <c r="C37" s="18">
        <v>14.4</v>
      </c>
      <c r="D37" s="3">
        <v>1</v>
      </c>
      <c r="E37" s="18">
        <v>14.4</v>
      </c>
      <c r="F37" s="2">
        <v>0.24930555555555556</v>
      </c>
      <c r="G37" s="3" t="s">
        <v>3</v>
      </c>
    </row>
    <row r="38" spans="1:7" x14ac:dyDescent="0.3">
      <c r="A38">
        <v>37</v>
      </c>
      <c r="B38" t="s">
        <v>62</v>
      </c>
      <c r="C38" s="18">
        <v>14</v>
      </c>
      <c r="D38" s="3">
        <v>2</v>
      </c>
      <c r="E38" s="18">
        <v>11.7</v>
      </c>
      <c r="F38" s="2">
        <v>0.25624999999999998</v>
      </c>
      <c r="G38" s="3">
        <v>880</v>
      </c>
    </row>
    <row r="39" spans="1:7" x14ac:dyDescent="0.3">
      <c r="A39" s="16">
        <v>38</v>
      </c>
      <c r="B39" s="16" t="s">
        <v>219</v>
      </c>
      <c r="C39" s="19">
        <v>12.8</v>
      </c>
      <c r="D39" s="20">
        <v>2</v>
      </c>
      <c r="E39" s="19">
        <v>6.8</v>
      </c>
      <c r="F39" s="17">
        <v>0.41180555555555554</v>
      </c>
      <c r="G39" s="20">
        <v>65</v>
      </c>
    </row>
    <row r="40" spans="1:7" x14ac:dyDescent="0.3">
      <c r="A40">
        <v>39</v>
      </c>
      <c r="B40" t="s">
        <v>70</v>
      </c>
      <c r="C40" s="18">
        <v>11.6</v>
      </c>
      <c r="D40" s="3">
        <v>2</v>
      </c>
      <c r="E40" s="18">
        <v>10.199999999999999</v>
      </c>
      <c r="F40" s="2">
        <v>0.29305555555555557</v>
      </c>
      <c r="G40" s="3">
        <v>87</v>
      </c>
    </row>
    <row r="41" spans="1:7" x14ac:dyDescent="0.3">
      <c r="A41">
        <v>40</v>
      </c>
      <c r="B41" t="s">
        <v>64</v>
      </c>
      <c r="C41" s="18">
        <v>10.8</v>
      </c>
      <c r="D41" s="3">
        <v>1</v>
      </c>
      <c r="E41" s="18">
        <v>10.8</v>
      </c>
      <c r="F41" s="2">
        <v>0.27013888888888887</v>
      </c>
      <c r="G41" s="3">
        <v>113</v>
      </c>
    </row>
    <row r="42" spans="1:7" x14ac:dyDescent="0.3">
      <c r="A42">
        <v>41</v>
      </c>
      <c r="B42" t="s">
        <v>59</v>
      </c>
      <c r="C42" s="18">
        <v>10.7</v>
      </c>
      <c r="D42" s="3">
        <v>2</v>
      </c>
      <c r="E42" s="18">
        <v>7.2</v>
      </c>
      <c r="F42" s="2">
        <v>0.34861111111111109</v>
      </c>
      <c r="G42" s="3">
        <v>71</v>
      </c>
    </row>
    <row r="43" spans="1:7" x14ac:dyDescent="0.3">
      <c r="A43">
        <v>42</v>
      </c>
      <c r="B43" t="s">
        <v>56</v>
      </c>
      <c r="C43" s="18">
        <v>10.7</v>
      </c>
      <c r="D43" s="3">
        <v>1</v>
      </c>
      <c r="E43" s="18">
        <v>10.7</v>
      </c>
      <c r="F43" s="2">
        <v>0.33263888888888887</v>
      </c>
      <c r="G43" s="3">
        <v>312</v>
      </c>
    </row>
    <row r="44" spans="1:7" x14ac:dyDescent="0.3">
      <c r="A44">
        <v>43</v>
      </c>
      <c r="B44" t="s">
        <v>58</v>
      </c>
      <c r="C44" s="18">
        <v>10.4</v>
      </c>
      <c r="D44" s="3">
        <v>1</v>
      </c>
      <c r="E44" s="18">
        <v>10.4</v>
      </c>
      <c r="F44" s="2">
        <v>0.42916666666666664</v>
      </c>
      <c r="G44" s="3">
        <v>274</v>
      </c>
    </row>
    <row r="45" spans="1:7" x14ac:dyDescent="0.3">
      <c r="A45">
        <v>44</v>
      </c>
      <c r="B45" t="s">
        <v>69</v>
      </c>
      <c r="C45" s="18">
        <v>10.4</v>
      </c>
      <c r="D45" s="3">
        <v>1</v>
      </c>
      <c r="E45" s="18">
        <v>10.4</v>
      </c>
      <c r="F45" s="2">
        <v>0.31319444444444444</v>
      </c>
      <c r="G45" s="3">
        <v>306</v>
      </c>
    </row>
    <row r="46" spans="1:7" x14ac:dyDescent="0.3">
      <c r="A46">
        <v>45</v>
      </c>
      <c r="B46" t="s">
        <v>41</v>
      </c>
      <c r="C46" s="18">
        <v>10.3</v>
      </c>
      <c r="D46" s="3">
        <v>1</v>
      </c>
      <c r="E46" s="18">
        <v>10.3</v>
      </c>
      <c r="F46" s="2">
        <v>0.34027777777777779</v>
      </c>
      <c r="G46" s="3">
        <v>301</v>
      </c>
    </row>
    <row r="47" spans="1:7" x14ac:dyDescent="0.3">
      <c r="A47">
        <v>46</v>
      </c>
      <c r="B47" t="s">
        <v>29</v>
      </c>
      <c r="C47" s="18">
        <v>10.3</v>
      </c>
      <c r="D47" s="3">
        <v>1</v>
      </c>
      <c r="E47" s="18">
        <v>10.3</v>
      </c>
      <c r="F47" s="2">
        <v>0.3888888888888889</v>
      </c>
      <c r="G47" s="3">
        <v>297</v>
      </c>
    </row>
    <row r="48" spans="1:7" x14ac:dyDescent="0.3">
      <c r="A48">
        <v>47</v>
      </c>
      <c r="B48" t="s">
        <v>43</v>
      </c>
      <c r="C48" s="18">
        <v>10.3</v>
      </c>
      <c r="D48" s="3">
        <v>1</v>
      </c>
      <c r="E48" s="18">
        <v>10.3</v>
      </c>
      <c r="F48" s="2">
        <v>0.42638888888888887</v>
      </c>
      <c r="G48" s="3">
        <v>307</v>
      </c>
    </row>
    <row r="49" spans="1:7" x14ac:dyDescent="0.3">
      <c r="A49">
        <v>48</v>
      </c>
      <c r="B49" t="s">
        <v>61</v>
      </c>
      <c r="C49" s="18">
        <v>10.199999999999999</v>
      </c>
      <c r="D49" s="3">
        <v>1</v>
      </c>
      <c r="E49" s="18">
        <v>10.199999999999999</v>
      </c>
      <c r="F49" s="2">
        <v>0.3347222222222222</v>
      </c>
      <c r="G49" s="3">
        <v>235</v>
      </c>
    </row>
    <row r="50" spans="1:7" x14ac:dyDescent="0.3">
      <c r="A50">
        <v>49</v>
      </c>
      <c r="B50" t="s">
        <v>48</v>
      </c>
      <c r="C50" s="18">
        <v>10.199999999999999</v>
      </c>
      <c r="D50" s="3">
        <v>1</v>
      </c>
      <c r="E50" s="18">
        <v>10.199999999999999</v>
      </c>
      <c r="F50" s="2">
        <v>0.31597222222222221</v>
      </c>
      <c r="G50" s="3">
        <v>86</v>
      </c>
    </row>
    <row r="51" spans="1:7" x14ac:dyDescent="0.3">
      <c r="A51">
        <v>50</v>
      </c>
      <c r="B51" t="s">
        <v>46</v>
      </c>
      <c r="C51" s="18">
        <v>10.199999999999999</v>
      </c>
      <c r="D51" s="3">
        <v>1</v>
      </c>
      <c r="E51" s="18">
        <v>10.199999999999999</v>
      </c>
      <c r="F51" s="2">
        <v>0.3659722222222222</v>
      </c>
      <c r="G51" s="3">
        <v>298</v>
      </c>
    </row>
    <row r="52" spans="1:7" x14ac:dyDescent="0.3">
      <c r="A52">
        <v>51</v>
      </c>
      <c r="B52" t="s">
        <v>178</v>
      </c>
      <c r="C52" s="18">
        <v>10</v>
      </c>
      <c r="D52" s="3">
        <v>1</v>
      </c>
      <c r="E52" s="18">
        <v>10</v>
      </c>
      <c r="F52" s="2">
        <v>0.27777777777777779</v>
      </c>
      <c r="G52" s="3">
        <v>135</v>
      </c>
    </row>
    <row r="53" spans="1:7" x14ac:dyDescent="0.3">
      <c r="A53">
        <v>52</v>
      </c>
      <c r="B53" t="s">
        <v>39</v>
      </c>
      <c r="C53" s="18">
        <v>10</v>
      </c>
      <c r="D53" s="3">
        <v>1</v>
      </c>
      <c r="E53" s="18">
        <v>10</v>
      </c>
      <c r="F53" s="2">
        <v>0.36388888888888887</v>
      </c>
      <c r="G53" s="3">
        <v>310</v>
      </c>
    </row>
    <row r="54" spans="1:7" x14ac:dyDescent="0.3">
      <c r="A54">
        <v>53</v>
      </c>
      <c r="B54" t="s">
        <v>25</v>
      </c>
      <c r="C54" s="18">
        <v>10</v>
      </c>
      <c r="D54" s="3">
        <v>1</v>
      </c>
      <c r="E54" s="18">
        <v>10</v>
      </c>
      <c r="F54" s="2">
        <v>0.28402777777777777</v>
      </c>
      <c r="G54" s="3">
        <v>243</v>
      </c>
    </row>
    <row r="55" spans="1:7" x14ac:dyDescent="0.3">
      <c r="A55">
        <v>54</v>
      </c>
      <c r="B55" t="s">
        <v>17</v>
      </c>
      <c r="C55" s="18">
        <v>10</v>
      </c>
      <c r="D55" s="3">
        <v>1</v>
      </c>
      <c r="E55" s="18">
        <v>10</v>
      </c>
      <c r="F55" s="2">
        <v>0.25208333333333333</v>
      </c>
      <c r="G55" s="3">
        <v>73</v>
      </c>
    </row>
    <row r="56" spans="1:7" x14ac:dyDescent="0.3">
      <c r="A56">
        <v>55</v>
      </c>
      <c r="B56" t="s">
        <v>176</v>
      </c>
      <c r="C56" s="18">
        <v>10</v>
      </c>
      <c r="D56" s="3">
        <v>1</v>
      </c>
      <c r="E56" s="18">
        <v>10</v>
      </c>
      <c r="F56" s="2">
        <v>0.34236111111111112</v>
      </c>
      <c r="G56" s="3">
        <v>139</v>
      </c>
    </row>
    <row r="57" spans="1:7" x14ac:dyDescent="0.3">
      <c r="A57">
        <v>56</v>
      </c>
      <c r="B57" t="s">
        <v>73</v>
      </c>
      <c r="C57" s="18">
        <v>10</v>
      </c>
      <c r="D57" s="3">
        <v>1</v>
      </c>
      <c r="E57" s="18">
        <v>10</v>
      </c>
      <c r="F57" s="2">
        <v>0.26250000000000001</v>
      </c>
      <c r="G57" s="3">
        <v>53</v>
      </c>
    </row>
    <row r="58" spans="1:7" x14ac:dyDescent="0.3">
      <c r="A58">
        <v>57</v>
      </c>
      <c r="B58" t="s">
        <v>52</v>
      </c>
      <c r="C58" s="18">
        <v>9.6999999999999993</v>
      </c>
      <c r="D58" s="3">
        <v>1</v>
      </c>
      <c r="E58" s="18">
        <v>9.6999999999999993</v>
      </c>
      <c r="F58" s="2">
        <v>0.27708333333333335</v>
      </c>
      <c r="G58" s="3">
        <v>135</v>
      </c>
    </row>
    <row r="59" spans="1:7" x14ac:dyDescent="0.3">
      <c r="A59">
        <v>58</v>
      </c>
      <c r="B59" t="s">
        <v>21</v>
      </c>
      <c r="C59" s="18">
        <v>9.1999999999999993</v>
      </c>
      <c r="D59" s="3">
        <v>1</v>
      </c>
      <c r="E59" s="18">
        <v>9.1999999999999993</v>
      </c>
      <c r="F59" s="2">
        <v>0.25277777777777777</v>
      </c>
      <c r="G59" s="3">
        <v>21</v>
      </c>
    </row>
    <row r="60" spans="1:7" x14ac:dyDescent="0.3">
      <c r="A60">
        <v>59</v>
      </c>
      <c r="B60" t="s">
        <v>35</v>
      </c>
      <c r="C60" s="18">
        <v>8</v>
      </c>
      <c r="D60" s="3">
        <v>1</v>
      </c>
      <c r="E60" s="18">
        <v>8</v>
      </c>
      <c r="F60" s="2">
        <v>0.2013888888888889</v>
      </c>
      <c r="G60" s="3">
        <v>88</v>
      </c>
    </row>
    <row r="61" spans="1:7" x14ac:dyDescent="0.3">
      <c r="A61">
        <v>60</v>
      </c>
      <c r="B61" t="s">
        <v>33</v>
      </c>
      <c r="C61" s="18">
        <v>6.9</v>
      </c>
      <c r="D61" s="3">
        <v>3</v>
      </c>
      <c r="E61" s="18">
        <v>3</v>
      </c>
      <c r="F61" s="2">
        <v>0.40972222222222221</v>
      </c>
      <c r="G61" s="3" t="s">
        <v>3</v>
      </c>
    </row>
    <row r="62" spans="1:7" x14ac:dyDescent="0.3">
      <c r="A62">
        <v>61</v>
      </c>
      <c r="B62" t="s">
        <v>77</v>
      </c>
      <c r="C62" s="18">
        <v>6.3</v>
      </c>
      <c r="D62" s="3">
        <v>1</v>
      </c>
      <c r="E62" s="18">
        <v>6.3</v>
      </c>
      <c r="F62" s="2">
        <v>0.26111111111111113</v>
      </c>
      <c r="G62" s="3">
        <v>139</v>
      </c>
    </row>
    <row r="63" spans="1:7" x14ac:dyDescent="0.3">
      <c r="A63" s="16">
        <v>62</v>
      </c>
      <c r="B63" s="16" t="s">
        <v>220</v>
      </c>
      <c r="C63" s="19">
        <v>4</v>
      </c>
      <c r="D63" s="20">
        <v>1</v>
      </c>
      <c r="E63" s="19">
        <v>4</v>
      </c>
      <c r="F63" s="17">
        <v>0.27500000000000002</v>
      </c>
      <c r="G63" s="20">
        <v>69</v>
      </c>
    </row>
    <row r="64" spans="1:7" x14ac:dyDescent="0.3">
      <c r="A64">
        <v>63</v>
      </c>
      <c r="B64" t="s">
        <v>81</v>
      </c>
      <c r="C64" s="18">
        <v>3</v>
      </c>
      <c r="D64" s="3">
        <v>2</v>
      </c>
      <c r="E64" s="18">
        <v>1.9</v>
      </c>
      <c r="F64" s="2">
        <v>0.48402777777777778</v>
      </c>
      <c r="G64" s="3" t="s">
        <v>3</v>
      </c>
    </row>
    <row r="65" spans="1:7" x14ac:dyDescent="0.3">
      <c r="A65">
        <v>64</v>
      </c>
      <c r="B65" t="s">
        <v>40</v>
      </c>
      <c r="C65" s="18">
        <v>2.7</v>
      </c>
      <c r="D65" s="3">
        <v>1</v>
      </c>
      <c r="E65" s="18">
        <v>2.7</v>
      </c>
      <c r="F65" s="2">
        <v>0.2590277777777778</v>
      </c>
      <c r="G65" s="3">
        <v>37</v>
      </c>
    </row>
    <row r="66" spans="1:7" x14ac:dyDescent="0.3">
      <c r="F66" s="2"/>
      <c r="G66" s="3"/>
    </row>
    <row r="67" spans="1:7" x14ac:dyDescent="0.3">
      <c r="F67" s="2"/>
      <c r="G67" s="3"/>
    </row>
    <row r="68" spans="1:7" x14ac:dyDescent="0.3">
      <c r="F68" s="2"/>
      <c r="G68" s="3"/>
    </row>
    <row r="69" spans="1:7" x14ac:dyDescent="0.3">
      <c r="F69" s="2"/>
      <c r="G69" s="3"/>
    </row>
    <row r="70" spans="1:7" x14ac:dyDescent="0.3">
      <c r="F70" s="2"/>
      <c r="G70" s="3"/>
    </row>
    <row r="71" spans="1:7" x14ac:dyDescent="0.3">
      <c r="F71" s="2"/>
      <c r="G71" s="3"/>
    </row>
    <row r="72" spans="1:7" x14ac:dyDescent="0.3">
      <c r="F72" s="2"/>
      <c r="G72" s="3"/>
    </row>
    <row r="73" spans="1:7" x14ac:dyDescent="0.3">
      <c r="F73" s="2"/>
      <c r="G73" s="3"/>
    </row>
    <row r="74" spans="1:7" x14ac:dyDescent="0.3">
      <c r="F74" s="2"/>
      <c r="G74" s="3"/>
    </row>
    <row r="75" spans="1:7" x14ac:dyDescent="0.3">
      <c r="F75" s="2"/>
      <c r="G75" s="3"/>
    </row>
    <row r="76" spans="1:7" x14ac:dyDescent="0.3">
      <c r="F76" s="2"/>
      <c r="G76" s="3"/>
    </row>
    <row r="77" spans="1:7" x14ac:dyDescent="0.3">
      <c r="F77" s="2"/>
      <c r="G77" s="3"/>
    </row>
    <row r="78" spans="1:7" x14ac:dyDescent="0.3">
      <c r="F78" s="2"/>
      <c r="G78" s="3"/>
    </row>
  </sheetData>
  <autoFilter ref="A1:I65" xr:uid="{D7DE90D2-E864-4B93-AD52-54E442BD8DD9}"/>
  <pageMargins left="0.7" right="0.7" top="0.75" bottom="0.75" header="0.3" footer="0.3"/>
  <headerFooter>
    <oddFooter>&amp;C_x000D_&amp;1#&amp;"Calibri"&amp;8&amp;K000000 Public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A7B1E-BA27-4F82-A89F-26C38A7C8A4B}">
  <dimension ref="A1:G72"/>
  <sheetViews>
    <sheetView topLeftCell="A43" workbookViewId="0">
      <selection activeCell="E72" sqref="E72"/>
    </sheetView>
  </sheetViews>
  <sheetFormatPr defaultRowHeight="14.4" x14ac:dyDescent="0.3"/>
  <cols>
    <col min="2" max="2" width="8.88671875" customWidth="1"/>
  </cols>
  <sheetData>
    <row r="1" spans="1:7" x14ac:dyDescent="0.3">
      <c r="A1" s="1" t="s">
        <v>0</v>
      </c>
      <c r="B1" s="1" t="s">
        <v>1</v>
      </c>
      <c r="C1" s="1" t="s">
        <v>82</v>
      </c>
      <c r="D1" s="1" t="s">
        <v>2</v>
      </c>
      <c r="E1" s="1" t="s">
        <v>83</v>
      </c>
      <c r="F1" s="1" t="s">
        <v>84</v>
      </c>
      <c r="G1" s="1" t="s">
        <v>85</v>
      </c>
    </row>
    <row r="2" spans="1:7" x14ac:dyDescent="0.3">
      <c r="A2">
        <v>1</v>
      </c>
      <c r="B2" t="s">
        <v>4</v>
      </c>
      <c r="C2" s="18">
        <v>127.3</v>
      </c>
      <c r="D2" s="3">
        <v>8</v>
      </c>
      <c r="E2" s="18">
        <v>22.2</v>
      </c>
      <c r="F2" s="2">
        <v>0.25</v>
      </c>
      <c r="G2" s="3">
        <v>2374</v>
      </c>
    </row>
    <row r="3" spans="1:7" x14ac:dyDescent="0.3">
      <c r="A3">
        <v>2</v>
      </c>
      <c r="B3" t="s">
        <v>9</v>
      </c>
      <c r="C3" s="18">
        <v>70.400000000000006</v>
      </c>
      <c r="D3" s="3">
        <v>6</v>
      </c>
      <c r="E3" s="18">
        <v>42.7</v>
      </c>
      <c r="F3" s="2">
        <v>0.22638888888888889</v>
      </c>
      <c r="G3" s="3">
        <v>126</v>
      </c>
    </row>
    <row r="4" spans="1:7" x14ac:dyDescent="0.3">
      <c r="A4">
        <v>3</v>
      </c>
      <c r="B4" t="s">
        <v>19</v>
      </c>
      <c r="C4" s="18">
        <v>63.3</v>
      </c>
      <c r="D4" s="3">
        <v>4</v>
      </c>
      <c r="E4" s="18">
        <v>19.8</v>
      </c>
      <c r="F4" s="2">
        <v>0.2638888888888889</v>
      </c>
      <c r="G4" s="3">
        <v>1381</v>
      </c>
    </row>
    <row r="5" spans="1:7" x14ac:dyDescent="0.3">
      <c r="A5">
        <v>4</v>
      </c>
      <c r="B5" t="s">
        <v>10</v>
      </c>
      <c r="C5" s="18">
        <v>63</v>
      </c>
      <c r="D5" s="3">
        <v>4</v>
      </c>
      <c r="E5" s="18">
        <v>42.5</v>
      </c>
      <c r="F5" s="2">
        <v>0.22361111111111112</v>
      </c>
      <c r="G5" s="3">
        <v>145</v>
      </c>
    </row>
    <row r="6" spans="1:7" x14ac:dyDescent="0.3">
      <c r="A6">
        <v>5</v>
      </c>
      <c r="B6" t="s">
        <v>13</v>
      </c>
      <c r="C6" s="18">
        <v>61.4</v>
      </c>
      <c r="D6" s="3">
        <v>7</v>
      </c>
      <c r="E6" s="18">
        <v>14.5</v>
      </c>
      <c r="F6" s="2">
        <v>0.24166666666666667</v>
      </c>
      <c r="G6" s="3">
        <v>1208</v>
      </c>
    </row>
    <row r="7" spans="1:7" x14ac:dyDescent="0.3">
      <c r="A7">
        <v>6</v>
      </c>
      <c r="B7" t="s">
        <v>14</v>
      </c>
      <c r="C7" s="18">
        <v>59</v>
      </c>
      <c r="D7" s="3">
        <v>4</v>
      </c>
      <c r="E7" s="18">
        <v>25</v>
      </c>
      <c r="F7" s="2">
        <v>0.24236111111111111</v>
      </c>
      <c r="G7" s="3">
        <v>365</v>
      </c>
    </row>
    <row r="8" spans="1:7" x14ac:dyDescent="0.3">
      <c r="A8">
        <v>7</v>
      </c>
      <c r="B8" t="s">
        <v>42</v>
      </c>
      <c r="C8" s="18">
        <v>56.3</v>
      </c>
      <c r="D8" s="3">
        <v>5</v>
      </c>
      <c r="E8" s="18">
        <v>25.8</v>
      </c>
      <c r="F8" s="2">
        <v>0.23055555555555557</v>
      </c>
      <c r="G8" s="3">
        <v>187</v>
      </c>
    </row>
    <row r="9" spans="1:7" x14ac:dyDescent="0.3">
      <c r="A9">
        <v>8</v>
      </c>
      <c r="B9" t="s">
        <v>34</v>
      </c>
      <c r="C9" s="18">
        <v>55.8</v>
      </c>
      <c r="D9" s="3">
        <v>5</v>
      </c>
      <c r="E9" s="18">
        <v>19.8</v>
      </c>
      <c r="F9" s="2">
        <v>0.31041666666666667</v>
      </c>
      <c r="G9" s="3">
        <v>1587</v>
      </c>
    </row>
    <row r="10" spans="1:7" x14ac:dyDescent="0.3">
      <c r="A10">
        <v>9</v>
      </c>
      <c r="B10" t="s">
        <v>23</v>
      </c>
      <c r="C10" s="18">
        <v>49.9</v>
      </c>
      <c r="D10" s="3">
        <v>4</v>
      </c>
      <c r="E10" s="18">
        <v>17.7</v>
      </c>
      <c r="F10" s="2">
        <v>0.29375000000000001</v>
      </c>
      <c r="G10" s="3">
        <v>732</v>
      </c>
    </row>
    <row r="11" spans="1:7" x14ac:dyDescent="0.3">
      <c r="A11">
        <v>10</v>
      </c>
      <c r="B11" t="s">
        <v>15</v>
      </c>
      <c r="C11" s="18">
        <v>49.6</v>
      </c>
      <c r="D11" s="3">
        <v>4</v>
      </c>
      <c r="E11" s="18">
        <v>22.3</v>
      </c>
      <c r="F11" s="2">
        <v>0.31597222222222221</v>
      </c>
      <c r="G11" s="3">
        <v>1532</v>
      </c>
    </row>
    <row r="12" spans="1:7" x14ac:dyDescent="0.3">
      <c r="A12">
        <v>11</v>
      </c>
      <c r="B12" t="s">
        <v>6</v>
      </c>
      <c r="C12" s="18">
        <v>48.6</v>
      </c>
      <c r="D12" s="3">
        <v>3</v>
      </c>
      <c r="E12" s="18">
        <v>28.4</v>
      </c>
      <c r="F12" s="2">
        <v>0.35625000000000001</v>
      </c>
      <c r="G12" s="3">
        <v>1975</v>
      </c>
    </row>
    <row r="13" spans="1:7" x14ac:dyDescent="0.3">
      <c r="A13">
        <v>12</v>
      </c>
      <c r="B13" t="s">
        <v>24</v>
      </c>
      <c r="C13" s="18">
        <v>48.2</v>
      </c>
      <c r="D13" s="3">
        <v>3</v>
      </c>
      <c r="E13" s="18">
        <v>28.8</v>
      </c>
      <c r="F13" s="2">
        <v>0.37569444444444444</v>
      </c>
      <c r="G13" s="3">
        <v>1915</v>
      </c>
    </row>
    <row r="14" spans="1:7" x14ac:dyDescent="0.3">
      <c r="A14">
        <v>13</v>
      </c>
      <c r="B14" t="s">
        <v>27</v>
      </c>
      <c r="C14" s="18">
        <v>47.9</v>
      </c>
      <c r="D14" s="3">
        <v>3</v>
      </c>
      <c r="E14" s="18">
        <v>28.5</v>
      </c>
      <c r="F14" s="2">
        <v>0.43402777777777779</v>
      </c>
      <c r="G14" s="3">
        <v>1731</v>
      </c>
    </row>
    <row r="15" spans="1:7" x14ac:dyDescent="0.3">
      <c r="A15">
        <v>14</v>
      </c>
      <c r="B15" t="s">
        <v>8</v>
      </c>
      <c r="C15" s="18">
        <v>44.7</v>
      </c>
      <c r="D15" s="3">
        <v>3</v>
      </c>
      <c r="E15" s="18">
        <v>24.3</v>
      </c>
      <c r="F15" s="2">
        <v>0.18611111111111112</v>
      </c>
      <c r="G15" s="3">
        <v>317</v>
      </c>
    </row>
    <row r="16" spans="1:7" x14ac:dyDescent="0.3">
      <c r="A16">
        <v>15</v>
      </c>
      <c r="B16" t="s">
        <v>47</v>
      </c>
      <c r="C16" s="18">
        <v>43</v>
      </c>
      <c r="D16" s="3">
        <v>14</v>
      </c>
      <c r="E16" s="18">
        <v>9.5</v>
      </c>
      <c r="F16" s="2">
        <v>0.56874999999999998</v>
      </c>
      <c r="G16" s="3">
        <v>46</v>
      </c>
    </row>
    <row r="17" spans="1:7" x14ac:dyDescent="0.3">
      <c r="A17">
        <v>16</v>
      </c>
      <c r="B17" t="s">
        <v>5</v>
      </c>
      <c r="C17" s="18">
        <v>42.6</v>
      </c>
      <c r="D17" s="3">
        <v>4</v>
      </c>
      <c r="E17" s="18">
        <v>11.2</v>
      </c>
      <c r="F17" s="2">
        <v>0.20694444444444443</v>
      </c>
      <c r="G17" s="3">
        <v>936</v>
      </c>
    </row>
    <row r="18" spans="1:7" x14ac:dyDescent="0.3">
      <c r="A18">
        <v>17</v>
      </c>
      <c r="B18" t="s">
        <v>44</v>
      </c>
      <c r="C18" s="18">
        <v>41.4</v>
      </c>
      <c r="D18" s="3">
        <v>3</v>
      </c>
      <c r="E18" s="18">
        <v>19.3</v>
      </c>
      <c r="F18" s="2">
        <v>0.37708333333333333</v>
      </c>
      <c r="G18" s="3">
        <v>1513</v>
      </c>
    </row>
    <row r="19" spans="1:7" x14ac:dyDescent="0.3">
      <c r="A19">
        <v>18</v>
      </c>
      <c r="B19" t="s">
        <v>33</v>
      </c>
      <c r="C19" s="18">
        <v>41.4</v>
      </c>
      <c r="D19" s="3">
        <v>7</v>
      </c>
      <c r="E19" s="18">
        <v>10.5</v>
      </c>
      <c r="F19" s="2">
        <v>0.32569444444444445</v>
      </c>
      <c r="G19" s="3">
        <v>412</v>
      </c>
    </row>
    <row r="20" spans="1:7" x14ac:dyDescent="0.3">
      <c r="A20">
        <v>19</v>
      </c>
      <c r="B20" t="s">
        <v>25</v>
      </c>
      <c r="C20" s="18">
        <v>41</v>
      </c>
      <c r="D20" s="3">
        <v>3</v>
      </c>
      <c r="E20" s="18">
        <v>19.8</v>
      </c>
      <c r="F20" s="2">
        <v>0.35208333333333336</v>
      </c>
      <c r="G20" s="3">
        <v>1845</v>
      </c>
    </row>
    <row r="21" spans="1:7" x14ac:dyDescent="0.3">
      <c r="A21">
        <v>20</v>
      </c>
      <c r="B21" t="s">
        <v>51</v>
      </c>
      <c r="C21" s="18">
        <v>36.6</v>
      </c>
      <c r="D21" s="3">
        <v>4</v>
      </c>
      <c r="E21" s="18">
        <v>10.1</v>
      </c>
      <c r="F21" s="2">
        <v>0.25486111111111109</v>
      </c>
      <c r="G21" s="3">
        <v>81</v>
      </c>
    </row>
    <row r="22" spans="1:7" x14ac:dyDescent="0.3">
      <c r="A22">
        <v>21</v>
      </c>
      <c r="B22" t="s">
        <v>32</v>
      </c>
      <c r="C22" s="18">
        <v>35.4</v>
      </c>
      <c r="D22" s="3">
        <v>4</v>
      </c>
      <c r="E22" s="18">
        <v>16</v>
      </c>
      <c r="F22" s="2">
        <v>0.25694444444444442</v>
      </c>
      <c r="G22" s="3">
        <v>358</v>
      </c>
    </row>
    <row r="23" spans="1:7" x14ac:dyDescent="0.3">
      <c r="A23">
        <v>22</v>
      </c>
      <c r="B23" t="s">
        <v>7</v>
      </c>
      <c r="C23" s="18">
        <v>33.5</v>
      </c>
      <c r="D23" s="3">
        <v>3</v>
      </c>
      <c r="E23" s="18">
        <v>22.5</v>
      </c>
      <c r="F23" s="2">
        <v>0.29652777777777778</v>
      </c>
      <c r="G23" s="3">
        <v>1321</v>
      </c>
    </row>
    <row r="24" spans="1:7" x14ac:dyDescent="0.3">
      <c r="A24">
        <v>23</v>
      </c>
      <c r="B24" t="s">
        <v>12</v>
      </c>
      <c r="C24" s="18">
        <v>32.4</v>
      </c>
      <c r="D24" s="3">
        <v>4</v>
      </c>
      <c r="E24" s="18">
        <v>10.3</v>
      </c>
      <c r="F24" s="2">
        <v>0.2722222222222222</v>
      </c>
      <c r="G24" s="3">
        <v>88</v>
      </c>
    </row>
    <row r="25" spans="1:7" x14ac:dyDescent="0.3">
      <c r="A25">
        <v>24</v>
      </c>
      <c r="B25" t="s">
        <v>20</v>
      </c>
      <c r="C25" s="18">
        <v>30.6</v>
      </c>
      <c r="D25" s="3">
        <v>3</v>
      </c>
      <c r="E25" s="18">
        <v>10.3</v>
      </c>
      <c r="F25" s="2">
        <v>0.24166666666666667</v>
      </c>
      <c r="G25" s="3">
        <v>280</v>
      </c>
    </row>
    <row r="26" spans="1:7" x14ac:dyDescent="0.3">
      <c r="A26">
        <v>25</v>
      </c>
      <c r="B26" t="s">
        <v>29</v>
      </c>
      <c r="C26" s="18">
        <v>30.3</v>
      </c>
      <c r="D26" s="3">
        <v>2</v>
      </c>
      <c r="E26" s="18">
        <v>19.3</v>
      </c>
      <c r="F26" s="2">
        <v>0.3840277777777778</v>
      </c>
      <c r="G26" s="3">
        <v>1178</v>
      </c>
    </row>
    <row r="27" spans="1:7" x14ac:dyDescent="0.3">
      <c r="A27">
        <v>26</v>
      </c>
      <c r="B27" t="s">
        <v>39</v>
      </c>
      <c r="C27" s="18">
        <v>29.6</v>
      </c>
      <c r="D27" s="3">
        <v>2</v>
      </c>
      <c r="E27" s="18">
        <v>17.399999999999999</v>
      </c>
      <c r="F27" s="2">
        <v>0.32291666666666669</v>
      </c>
      <c r="G27" s="3">
        <v>487</v>
      </c>
    </row>
    <row r="28" spans="1:7" x14ac:dyDescent="0.3">
      <c r="A28">
        <v>27</v>
      </c>
      <c r="B28" t="s">
        <v>18</v>
      </c>
      <c r="C28" s="18">
        <v>29</v>
      </c>
      <c r="D28" s="3">
        <v>1</v>
      </c>
      <c r="E28" s="18">
        <v>29</v>
      </c>
      <c r="F28" s="2">
        <v>0.38194444444444442</v>
      </c>
      <c r="G28" s="3">
        <v>1357</v>
      </c>
    </row>
    <row r="29" spans="1:7" x14ac:dyDescent="0.3">
      <c r="A29">
        <v>28</v>
      </c>
      <c r="B29" t="s">
        <v>56</v>
      </c>
      <c r="C29" s="18">
        <v>28.5</v>
      </c>
      <c r="D29" s="3">
        <v>2</v>
      </c>
      <c r="E29" s="18">
        <v>17.600000000000001</v>
      </c>
      <c r="F29" s="2">
        <v>0.2986111111111111</v>
      </c>
      <c r="G29" s="3">
        <v>296</v>
      </c>
    </row>
    <row r="30" spans="1:7" x14ac:dyDescent="0.3">
      <c r="A30">
        <v>29</v>
      </c>
      <c r="B30" t="s">
        <v>61</v>
      </c>
      <c r="C30" s="18">
        <v>28.2</v>
      </c>
      <c r="D30" s="3">
        <v>3</v>
      </c>
      <c r="E30" s="18">
        <v>19.3</v>
      </c>
      <c r="F30" s="2">
        <v>0.37708333333333333</v>
      </c>
      <c r="G30" s="3">
        <v>1154</v>
      </c>
    </row>
    <row r="31" spans="1:7" x14ac:dyDescent="0.3">
      <c r="A31">
        <v>30</v>
      </c>
      <c r="B31" t="s">
        <v>65</v>
      </c>
      <c r="C31" s="18">
        <v>27.9</v>
      </c>
      <c r="D31" s="3">
        <v>3</v>
      </c>
      <c r="E31" s="18">
        <v>10.3</v>
      </c>
      <c r="F31" s="2">
        <v>0.24097222222222223</v>
      </c>
      <c r="G31" s="3">
        <v>126</v>
      </c>
    </row>
    <row r="32" spans="1:7" x14ac:dyDescent="0.3">
      <c r="A32">
        <v>31</v>
      </c>
      <c r="B32" t="s">
        <v>172</v>
      </c>
      <c r="C32" s="18">
        <v>26.3</v>
      </c>
      <c r="D32" s="3">
        <v>2</v>
      </c>
      <c r="E32" s="18">
        <v>16.3</v>
      </c>
      <c r="F32" s="2">
        <v>0.34861111111111109</v>
      </c>
      <c r="G32" s="3">
        <v>639</v>
      </c>
    </row>
    <row r="33" spans="1:7" x14ac:dyDescent="0.3">
      <c r="A33">
        <v>32</v>
      </c>
      <c r="B33" t="s">
        <v>31</v>
      </c>
      <c r="C33" s="18">
        <v>25.8</v>
      </c>
      <c r="D33" s="3">
        <v>2</v>
      </c>
      <c r="E33" s="18">
        <v>14.8</v>
      </c>
      <c r="F33" s="2">
        <v>0.25</v>
      </c>
      <c r="G33" s="3">
        <v>410</v>
      </c>
    </row>
    <row r="34" spans="1:7" x14ac:dyDescent="0.3">
      <c r="A34">
        <v>33</v>
      </c>
      <c r="B34" t="s">
        <v>54</v>
      </c>
      <c r="C34" s="18">
        <v>25</v>
      </c>
      <c r="D34" s="3">
        <v>2</v>
      </c>
      <c r="E34" s="18">
        <v>16.399999999999999</v>
      </c>
      <c r="F34" s="2">
        <v>0.2902777777777778</v>
      </c>
      <c r="G34" s="3">
        <v>298</v>
      </c>
    </row>
    <row r="35" spans="1:7" x14ac:dyDescent="0.3">
      <c r="A35">
        <v>34</v>
      </c>
      <c r="B35" t="s">
        <v>30</v>
      </c>
      <c r="C35" s="18">
        <v>23.9</v>
      </c>
      <c r="D35" s="3">
        <v>7</v>
      </c>
      <c r="E35" s="18">
        <v>7</v>
      </c>
      <c r="F35" s="2">
        <v>0.25277777777777777</v>
      </c>
      <c r="G35" s="3">
        <v>315</v>
      </c>
    </row>
    <row r="36" spans="1:7" x14ac:dyDescent="0.3">
      <c r="A36">
        <v>35</v>
      </c>
      <c r="B36" t="s">
        <v>36</v>
      </c>
      <c r="C36" s="18">
        <v>23.5</v>
      </c>
      <c r="D36" s="3">
        <v>2</v>
      </c>
      <c r="E36" s="18">
        <v>17.399999999999999</v>
      </c>
      <c r="F36" s="2">
        <v>0.30208333333333331</v>
      </c>
      <c r="G36" s="3">
        <v>336</v>
      </c>
    </row>
    <row r="37" spans="1:7" x14ac:dyDescent="0.3">
      <c r="A37">
        <v>36</v>
      </c>
      <c r="B37" t="s">
        <v>45</v>
      </c>
      <c r="C37" s="18">
        <v>21.4</v>
      </c>
      <c r="D37" s="3">
        <v>2</v>
      </c>
      <c r="E37" s="18">
        <v>11.8</v>
      </c>
      <c r="F37" s="2">
        <v>0.36319444444444443</v>
      </c>
      <c r="G37" s="3">
        <v>20</v>
      </c>
    </row>
    <row r="38" spans="1:7" x14ac:dyDescent="0.3">
      <c r="A38">
        <v>37</v>
      </c>
      <c r="B38" t="s">
        <v>38</v>
      </c>
      <c r="C38" s="18">
        <v>21.2</v>
      </c>
      <c r="D38" s="3">
        <v>8</v>
      </c>
      <c r="E38" s="18">
        <v>6</v>
      </c>
      <c r="F38" s="2">
        <v>0.28472222222222221</v>
      </c>
      <c r="G38" s="3">
        <v>240</v>
      </c>
    </row>
    <row r="39" spans="1:7" x14ac:dyDescent="0.3">
      <c r="A39">
        <v>38</v>
      </c>
      <c r="B39" t="s">
        <v>68</v>
      </c>
      <c r="C39" s="18">
        <v>21.1</v>
      </c>
      <c r="D39" s="3">
        <v>2</v>
      </c>
      <c r="E39" s="18">
        <v>10.8</v>
      </c>
      <c r="F39" s="2">
        <v>0.22777777777777777</v>
      </c>
      <c r="G39" s="3">
        <v>102</v>
      </c>
    </row>
    <row r="40" spans="1:7" x14ac:dyDescent="0.3">
      <c r="A40">
        <v>39</v>
      </c>
      <c r="B40" t="s">
        <v>69</v>
      </c>
      <c r="C40" s="18">
        <v>20.8</v>
      </c>
      <c r="D40" s="3">
        <v>1</v>
      </c>
      <c r="E40" s="18">
        <v>20.8</v>
      </c>
      <c r="F40" s="2">
        <v>0.44722222222222224</v>
      </c>
      <c r="G40" s="3">
        <v>947</v>
      </c>
    </row>
    <row r="41" spans="1:7" x14ac:dyDescent="0.3">
      <c r="A41">
        <v>40</v>
      </c>
      <c r="B41" t="s">
        <v>52</v>
      </c>
      <c r="C41" s="18">
        <v>19.600000000000001</v>
      </c>
      <c r="D41" s="3">
        <v>2</v>
      </c>
      <c r="E41" s="18">
        <v>10.8</v>
      </c>
      <c r="F41" s="2">
        <v>0.28125</v>
      </c>
      <c r="G41" s="3">
        <v>130</v>
      </c>
    </row>
    <row r="42" spans="1:7" x14ac:dyDescent="0.3">
      <c r="A42">
        <v>41</v>
      </c>
      <c r="B42" t="s">
        <v>40</v>
      </c>
      <c r="C42" s="18">
        <v>19</v>
      </c>
      <c r="D42" s="3">
        <v>1</v>
      </c>
      <c r="E42" s="18">
        <v>19</v>
      </c>
      <c r="F42" s="2">
        <v>0.44444444444444442</v>
      </c>
      <c r="G42" s="3">
        <v>1052</v>
      </c>
    </row>
    <row r="43" spans="1:7" x14ac:dyDescent="0.3">
      <c r="A43">
        <v>42</v>
      </c>
      <c r="B43" t="s">
        <v>177</v>
      </c>
      <c r="C43" s="18">
        <v>18.899999999999999</v>
      </c>
      <c r="D43" s="3">
        <v>2</v>
      </c>
      <c r="E43" s="18">
        <v>10</v>
      </c>
      <c r="F43" s="2">
        <v>0.27013888888888887</v>
      </c>
      <c r="G43" s="3">
        <v>305</v>
      </c>
    </row>
    <row r="44" spans="1:7" x14ac:dyDescent="0.3">
      <c r="A44">
        <v>43</v>
      </c>
      <c r="B44" t="s">
        <v>17</v>
      </c>
      <c r="C44" s="18">
        <v>18.3</v>
      </c>
      <c r="D44" s="3">
        <v>2</v>
      </c>
      <c r="E44" s="18">
        <v>10</v>
      </c>
      <c r="F44" s="2">
        <v>0.28402777777777777</v>
      </c>
      <c r="G44" s="3">
        <v>382</v>
      </c>
    </row>
    <row r="45" spans="1:7" x14ac:dyDescent="0.3">
      <c r="A45">
        <v>44</v>
      </c>
      <c r="B45" t="s">
        <v>62</v>
      </c>
      <c r="C45" s="18">
        <v>18.2</v>
      </c>
      <c r="D45" s="3">
        <v>1</v>
      </c>
      <c r="E45" s="18">
        <v>18.2</v>
      </c>
      <c r="F45" s="2">
        <v>0.30208333333333331</v>
      </c>
      <c r="G45" s="3">
        <v>166</v>
      </c>
    </row>
    <row r="46" spans="1:7" x14ac:dyDescent="0.3">
      <c r="A46">
        <v>45</v>
      </c>
      <c r="B46" t="s">
        <v>66</v>
      </c>
      <c r="C46" s="18">
        <v>18</v>
      </c>
      <c r="D46" s="3">
        <v>1</v>
      </c>
      <c r="E46" s="18">
        <v>18</v>
      </c>
      <c r="F46" s="2">
        <v>0.30694444444444446</v>
      </c>
      <c r="G46" s="3">
        <v>199</v>
      </c>
    </row>
    <row r="47" spans="1:7" x14ac:dyDescent="0.3">
      <c r="A47">
        <v>46</v>
      </c>
      <c r="B47" t="s">
        <v>73</v>
      </c>
      <c r="C47" s="18">
        <v>18</v>
      </c>
      <c r="D47" s="3">
        <v>2</v>
      </c>
      <c r="E47" s="18">
        <v>10</v>
      </c>
      <c r="F47" s="2">
        <v>0.26111111111111113</v>
      </c>
      <c r="G47" s="3">
        <v>103</v>
      </c>
    </row>
    <row r="48" spans="1:7" x14ac:dyDescent="0.3">
      <c r="A48">
        <v>47</v>
      </c>
      <c r="B48" t="s">
        <v>35</v>
      </c>
      <c r="C48" s="18">
        <v>18</v>
      </c>
      <c r="D48" s="3">
        <v>2</v>
      </c>
      <c r="E48" s="18">
        <v>10</v>
      </c>
      <c r="F48" s="2">
        <v>0.21458333333333332</v>
      </c>
      <c r="G48" s="3">
        <v>204</v>
      </c>
    </row>
    <row r="49" spans="1:7" x14ac:dyDescent="0.3">
      <c r="A49">
        <v>48</v>
      </c>
      <c r="B49" t="s">
        <v>26</v>
      </c>
      <c r="C49" s="18">
        <v>17.100000000000001</v>
      </c>
      <c r="D49" s="3">
        <v>2</v>
      </c>
      <c r="E49" s="18">
        <v>9</v>
      </c>
      <c r="F49" s="2">
        <v>0.23125000000000001</v>
      </c>
      <c r="G49" s="3">
        <v>110</v>
      </c>
    </row>
    <row r="50" spans="1:7" x14ac:dyDescent="0.3">
      <c r="A50">
        <v>49</v>
      </c>
      <c r="B50" t="s">
        <v>49</v>
      </c>
      <c r="C50" s="18">
        <v>17.100000000000001</v>
      </c>
      <c r="D50" s="3">
        <v>3</v>
      </c>
      <c r="E50" s="18">
        <v>9</v>
      </c>
      <c r="F50" s="2">
        <v>0.2298611111111111</v>
      </c>
      <c r="G50" s="3">
        <v>159</v>
      </c>
    </row>
    <row r="51" spans="1:7" x14ac:dyDescent="0.3">
      <c r="A51">
        <v>50</v>
      </c>
      <c r="B51" t="s">
        <v>58</v>
      </c>
      <c r="C51" s="18">
        <v>14.9</v>
      </c>
      <c r="D51" s="3">
        <v>3</v>
      </c>
      <c r="E51" s="18">
        <v>7.1</v>
      </c>
      <c r="F51" s="2">
        <v>0.45624999999999999</v>
      </c>
      <c r="G51" s="3">
        <v>78</v>
      </c>
    </row>
    <row r="52" spans="1:7" x14ac:dyDescent="0.3">
      <c r="A52">
        <v>51</v>
      </c>
      <c r="B52" t="s">
        <v>50</v>
      </c>
      <c r="C52" s="18">
        <v>13.5</v>
      </c>
      <c r="D52" s="3">
        <v>1</v>
      </c>
      <c r="E52" s="18">
        <v>13.5</v>
      </c>
      <c r="F52" s="2">
        <v>0.24583333333333332</v>
      </c>
      <c r="G52" s="3" t="s">
        <v>3</v>
      </c>
    </row>
    <row r="53" spans="1:7" x14ac:dyDescent="0.3">
      <c r="A53">
        <v>52</v>
      </c>
      <c r="B53" t="s">
        <v>175</v>
      </c>
      <c r="C53" s="18">
        <v>13.3</v>
      </c>
      <c r="D53" s="3">
        <v>1</v>
      </c>
      <c r="E53" s="18">
        <v>13.3</v>
      </c>
      <c r="F53" s="2">
        <v>0.25624999999999998</v>
      </c>
      <c r="G53" s="3">
        <v>28</v>
      </c>
    </row>
    <row r="54" spans="1:7" x14ac:dyDescent="0.3">
      <c r="A54">
        <v>53</v>
      </c>
      <c r="B54" t="s">
        <v>400</v>
      </c>
      <c r="C54" s="18">
        <v>12</v>
      </c>
      <c r="D54" s="3">
        <v>2</v>
      </c>
      <c r="E54" s="18">
        <v>6</v>
      </c>
      <c r="F54" s="2">
        <v>0.24166666666666667</v>
      </c>
      <c r="G54" s="3">
        <v>127</v>
      </c>
    </row>
    <row r="55" spans="1:7" x14ac:dyDescent="0.3">
      <c r="A55">
        <v>54</v>
      </c>
      <c r="B55" t="s">
        <v>178</v>
      </c>
      <c r="C55" s="18">
        <v>10.1</v>
      </c>
      <c r="D55" s="3">
        <v>1</v>
      </c>
      <c r="E55" s="18">
        <v>10.1</v>
      </c>
      <c r="F55" s="2">
        <v>0.25624999999999998</v>
      </c>
      <c r="G55" s="3">
        <v>139</v>
      </c>
    </row>
    <row r="56" spans="1:7" x14ac:dyDescent="0.3">
      <c r="A56">
        <v>55</v>
      </c>
      <c r="B56" t="s">
        <v>404</v>
      </c>
      <c r="C56" s="18">
        <v>10</v>
      </c>
      <c r="D56" s="3">
        <v>1</v>
      </c>
      <c r="E56" s="18">
        <v>10</v>
      </c>
      <c r="F56" s="2">
        <v>0.25277777777777777</v>
      </c>
      <c r="G56" s="3">
        <v>103</v>
      </c>
    </row>
    <row r="57" spans="1:7" x14ac:dyDescent="0.3">
      <c r="A57">
        <v>56</v>
      </c>
      <c r="B57" t="s">
        <v>78</v>
      </c>
      <c r="C57" s="18">
        <v>10</v>
      </c>
      <c r="D57" s="3">
        <v>1</v>
      </c>
      <c r="E57" s="18">
        <v>10</v>
      </c>
      <c r="F57" s="2">
        <v>0.27708333333333335</v>
      </c>
      <c r="G57" s="3">
        <v>24</v>
      </c>
    </row>
    <row r="58" spans="1:7" x14ac:dyDescent="0.3">
      <c r="A58">
        <v>57</v>
      </c>
      <c r="B58" t="s">
        <v>219</v>
      </c>
      <c r="C58" s="18">
        <v>9.3000000000000007</v>
      </c>
      <c r="D58" s="3">
        <v>3</v>
      </c>
      <c r="E58" s="18">
        <v>3.3</v>
      </c>
      <c r="F58" s="2">
        <v>0.6743055555555556</v>
      </c>
      <c r="G58" s="3">
        <v>193</v>
      </c>
    </row>
    <row r="59" spans="1:7" x14ac:dyDescent="0.3">
      <c r="A59">
        <v>58</v>
      </c>
      <c r="B59" t="s">
        <v>53</v>
      </c>
      <c r="C59" s="18">
        <v>8.9</v>
      </c>
      <c r="D59" s="3">
        <v>1</v>
      </c>
      <c r="E59" s="18">
        <v>8.9</v>
      </c>
      <c r="F59" s="2">
        <v>0.19027777777777777</v>
      </c>
      <c r="G59" s="3">
        <v>117</v>
      </c>
    </row>
    <row r="60" spans="1:7" x14ac:dyDescent="0.3">
      <c r="A60">
        <v>59</v>
      </c>
      <c r="B60" t="s">
        <v>67</v>
      </c>
      <c r="C60" s="18">
        <v>8.5</v>
      </c>
      <c r="D60" s="3">
        <v>2</v>
      </c>
      <c r="E60" s="18">
        <v>5.5</v>
      </c>
      <c r="F60" s="2">
        <v>0.22777777777777777</v>
      </c>
      <c r="G60" s="3">
        <v>53</v>
      </c>
    </row>
    <row r="61" spans="1:7" x14ac:dyDescent="0.3">
      <c r="A61">
        <v>60</v>
      </c>
      <c r="B61" t="s">
        <v>41</v>
      </c>
      <c r="C61" s="18">
        <v>7.6</v>
      </c>
      <c r="D61" s="3">
        <v>1</v>
      </c>
      <c r="E61" s="18">
        <v>7.6</v>
      </c>
      <c r="F61" s="2">
        <v>0.41944444444444445</v>
      </c>
      <c r="G61" s="3">
        <v>146</v>
      </c>
    </row>
    <row r="62" spans="1:7" x14ac:dyDescent="0.3">
      <c r="A62">
        <v>61</v>
      </c>
      <c r="B62" t="s">
        <v>194</v>
      </c>
      <c r="C62" s="18">
        <v>7.4</v>
      </c>
      <c r="D62" s="3">
        <v>1</v>
      </c>
      <c r="E62" s="18">
        <v>7.4</v>
      </c>
      <c r="F62" s="2">
        <v>0.32222222222222224</v>
      </c>
      <c r="G62" s="3">
        <v>12</v>
      </c>
    </row>
    <row r="63" spans="1:7" x14ac:dyDescent="0.3">
      <c r="A63">
        <v>62</v>
      </c>
      <c r="B63" t="s">
        <v>43</v>
      </c>
      <c r="C63" s="18">
        <v>7.4</v>
      </c>
      <c r="D63" s="3">
        <v>1</v>
      </c>
      <c r="E63" s="18">
        <v>7.4</v>
      </c>
      <c r="F63" s="2">
        <v>0.42986111111111114</v>
      </c>
      <c r="G63" s="3">
        <v>156</v>
      </c>
    </row>
    <row r="64" spans="1:7" x14ac:dyDescent="0.3">
      <c r="A64">
        <v>63</v>
      </c>
      <c r="B64" t="s">
        <v>77</v>
      </c>
      <c r="C64" s="18">
        <v>7</v>
      </c>
      <c r="D64" s="3">
        <v>1</v>
      </c>
      <c r="E64" s="18">
        <v>7</v>
      </c>
      <c r="F64" s="2">
        <v>0.24652777777777779</v>
      </c>
      <c r="G64" s="3">
        <v>40</v>
      </c>
    </row>
    <row r="65" spans="1:7" x14ac:dyDescent="0.3">
      <c r="A65">
        <v>64</v>
      </c>
      <c r="B65" t="s">
        <v>195</v>
      </c>
      <c r="C65" s="18">
        <v>6.6</v>
      </c>
      <c r="D65" s="3">
        <v>1</v>
      </c>
      <c r="E65" s="18">
        <v>6.6</v>
      </c>
      <c r="F65" s="2">
        <v>0.25277777777777777</v>
      </c>
      <c r="G65" s="3">
        <v>46</v>
      </c>
    </row>
    <row r="66" spans="1:7" x14ac:dyDescent="0.3">
      <c r="A66">
        <v>65</v>
      </c>
      <c r="B66" t="s">
        <v>72</v>
      </c>
      <c r="C66" s="18">
        <v>6</v>
      </c>
      <c r="D66" s="3">
        <v>1</v>
      </c>
      <c r="E66" s="18">
        <v>6</v>
      </c>
      <c r="F66" s="2">
        <v>0.26944444444444443</v>
      </c>
      <c r="G66" s="3">
        <v>112</v>
      </c>
    </row>
    <row r="67" spans="1:7" x14ac:dyDescent="0.3">
      <c r="A67">
        <v>66</v>
      </c>
      <c r="B67" t="s">
        <v>430</v>
      </c>
      <c r="C67" s="18">
        <v>5.6</v>
      </c>
      <c r="D67" s="3">
        <v>2</v>
      </c>
      <c r="E67" s="18">
        <v>3</v>
      </c>
      <c r="F67" s="2">
        <v>0.43055555555555558</v>
      </c>
      <c r="G67" s="3">
        <v>118</v>
      </c>
    </row>
    <row r="68" spans="1:7" x14ac:dyDescent="0.3">
      <c r="A68">
        <v>67</v>
      </c>
      <c r="B68" t="s">
        <v>79</v>
      </c>
      <c r="C68" s="18">
        <v>5.0999999999999996</v>
      </c>
      <c r="D68" s="3">
        <v>1</v>
      </c>
      <c r="E68" s="18">
        <v>5.0999999999999996</v>
      </c>
      <c r="F68" s="2">
        <v>0.3527777777777778</v>
      </c>
      <c r="G68" s="3">
        <v>65</v>
      </c>
    </row>
    <row r="69" spans="1:7" x14ac:dyDescent="0.3">
      <c r="A69">
        <v>68</v>
      </c>
      <c r="B69" t="s">
        <v>63</v>
      </c>
      <c r="C69" s="18">
        <v>4</v>
      </c>
      <c r="D69" s="3">
        <v>1</v>
      </c>
      <c r="E69" s="18">
        <v>4</v>
      </c>
      <c r="F69" s="2">
        <v>0.27986111111111112</v>
      </c>
      <c r="G69" s="3">
        <v>4</v>
      </c>
    </row>
    <row r="70" spans="1:7" x14ac:dyDescent="0.3">
      <c r="A70">
        <v>69</v>
      </c>
      <c r="B70" t="s">
        <v>176</v>
      </c>
      <c r="C70" s="18">
        <v>4</v>
      </c>
      <c r="D70" s="3">
        <v>1</v>
      </c>
      <c r="E70" s="18">
        <v>4</v>
      </c>
      <c r="F70" s="2">
        <v>0.28680555555555554</v>
      </c>
      <c r="G70" s="3">
        <v>47</v>
      </c>
    </row>
    <row r="71" spans="1:7" x14ac:dyDescent="0.3">
      <c r="A71">
        <v>70</v>
      </c>
      <c r="B71" t="s">
        <v>81</v>
      </c>
      <c r="C71" s="18">
        <v>3.8</v>
      </c>
      <c r="D71" s="3">
        <v>3</v>
      </c>
      <c r="E71" s="18">
        <v>1.5</v>
      </c>
      <c r="F71" s="2">
        <v>0.40069444444444446</v>
      </c>
      <c r="G71" s="3" t="s">
        <v>3</v>
      </c>
    </row>
    <row r="72" spans="1:7" x14ac:dyDescent="0.3">
      <c r="A72">
        <v>71</v>
      </c>
      <c r="B72" t="s">
        <v>70</v>
      </c>
      <c r="C72" s="18">
        <v>0.7</v>
      </c>
      <c r="D72" s="3">
        <v>1</v>
      </c>
      <c r="E72" s="18">
        <v>0.7</v>
      </c>
      <c r="F72" s="2">
        <v>0.32291666666666669</v>
      </c>
      <c r="G72" s="3" t="s">
        <v>3</v>
      </c>
    </row>
  </sheetData>
  <autoFilter ref="A1:I72" xr:uid="{D7DE90D2-E864-4B93-AD52-54E442BD8DD9}"/>
  <pageMargins left="0.7" right="0.7" top="0.75" bottom="0.75" header="0.3" footer="0.3"/>
  <headerFooter>
    <oddFooter>&amp;C_x000D_&amp;1#&amp;"Calibri"&amp;8&amp;K000000 Public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29F64-62D6-4521-BEF5-BC51C4E6FC72}">
  <dimension ref="A1:G73"/>
  <sheetViews>
    <sheetView topLeftCell="A44" workbookViewId="0">
      <selection activeCell="F73" sqref="F73"/>
    </sheetView>
  </sheetViews>
  <sheetFormatPr defaultRowHeight="14.4" x14ac:dyDescent="0.3"/>
  <cols>
    <col min="2" max="2" width="8.88671875" customWidth="1"/>
  </cols>
  <sheetData>
    <row r="1" spans="1:7" x14ac:dyDescent="0.3">
      <c r="A1" s="1" t="s">
        <v>0</v>
      </c>
      <c r="B1" s="1" t="s">
        <v>1</v>
      </c>
      <c r="C1" s="1" t="s">
        <v>82</v>
      </c>
      <c r="D1" s="1" t="s">
        <v>2</v>
      </c>
      <c r="E1" s="1" t="s">
        <v>83</v>
      </c>
      <c r="F1" s="1" t="s">
        <v>84</v>
      </c>
      <c r="G1" s="1" t="s">
        <v>85</v>
      </c>
    </row>
    <row r="2" spans="1:7" x14ac:dyDescent="0.3">
      <c r="A2">
        <v>1</v>
      </c>
      <c r="B2" t="s">
        <v>4</v>
      </c>
      <c r="C2" s="18">
        <v>136.5</v>
      </c>
      <c r="D2" s="3">
        <v>10</v>
      </c>
      <c r="E2" s="18">
        <v>49</v>
      </c>
      <c r="F2" s="2">
        <v>0.24513888888888888</v>
      </c>
      <c r="G2" s="3">
        <v>2097</v>
      </c>
    </row>
    <row r="3" spans="1:7" x14ac:dyDescent="0.3">
      <c r="A3">
        <v>2</v>
      </c>
      <c r="B3" t="s">
        <v>5</v>
      </c>
      <c r="C3" s="18">
        <v>126.1</v>
      </c>
      <c r="D3" s="3">
        <v>3</v>
      </c>
      <c r="E3" s="18">
        <v>100</v>
      </c>
      <c r="F3" s="2">
        <v>0.36180555555555555</v>
      </c>
      <c r="G3" s="3">
        <v>4410</v>
      </c>
    </row>
    <row r="4" spans="1:7" x14ac:dyDescent="0.3">
      <c r="A4">
        <v>3</v>
      </c>
      <c r="B4" t="s">
        <v>6</v>
      </c>
      <c r="C4" s="18">
        <v>119.9</v>
      </c>
      <c r="D4" s="3">
        <v>3</v>
      </c>
      <c r="E4" s="18">
        <v>97.5</v>
      </c>
      <c r="F4" s="2">
        <v>0.39444444444444443</v>
      </c>
      <c r="G4" s="3">
        <v>4181</v>
      </c>
    </row>
    <row r="5" spans="1:7" x14ac:dyDescent="0.3">
      <c r="A5">
        <v>4</v>
      </c>
      <c r="B5" t="s">
        <v>19</v>
      </c>
      <c r="C5" s="18">
        <v>93</v>
      </c>
      <c r="D5" s="3">
        <v>6</v>
      </c>
      <c r="E5" s="18">
        <v>22.1</v>
      </c>
      <c r="F5" s="2">
        <v>0.21111111111111111</v>
      </c>
      <c r="G5" s="3">
        <v>735</v>
      </c>
    </row>
    <row r="6" spans="1:7" x14ac:dyDescent="0.3">
      <c r="A6">
        <v>5</v>
      </c>
      <c r="B6" t="s">
        <v>7</v>
      </c>
      <c r="C6" s="18">
        <v>84.2</v>
      </c>
      <c r="D6" s="3">
        <v>4</v>
      </c>
      <c r="E6" s="18">
        <v>49.6</v>
      </c>
      <c r="F6" s="2">
        <v>0.30486111111111114</v>
      </c>
      <c r="G6" s="3">
        <v>2583</v>
      </c>
    </row>
    <row r="7" spans="1:7" x14ac:dyDescent="0.3">
      <c r="A7">
        <v>6</v>
      </c>
      <c r="B7" t="s">
        <v>13</v>
      </c>
      <c r="C7" s="18">
        <v>76.3</v>
      </c>
      <c r="D7" s="3">
        <v>7</v>
      </c>
      <c r="E7" s="18">
        <v>23.2</v>
      </c>
      <c r="F7" s="2">
        <v>0.23402777777777778</v>
      </c>
      <c r="G7" s="3">
        <v>1503</v>
      </c>
    </row>
    <row r="8" spans="1:7" x14ac:dyDescent="0.3">
      <c r="A8">
        <v>7</v>
      </c>
      <c r="B8" t="s">
        <v>51</v>
      </c>
      <c r="C8" s="18">
        <v>58.4</v>
      </c>
      <c r="D8" s="3">
        <v>7</v>
      </c>
      <c r="E8" s="18">
        <v>19</v>
      </c>
      <c r="F8" s="2">
        <v>0.25624999999999998</v>
      </c>
      <c r="G8" s="3">
        <v>165</v>
      </c>
    </row>
    <row r="9" spans="1:7" x14ac:dyDescent="0.3">
      <c r="A9">
        <v>8</v>
      </c>
      <c r="B9" t="s">
        <v>42</v>
      </c>
      <c r="C9" s="18">
        <v>54.6</v>
      </c>
      <c r="D9" s="3">
        <v>5</v>
      </c>
      <c r="E9" s="18">
        <v>28.3</v>
      </c>
      <c r="F9" s="2">
        <v>0.22569444444444445</v>
      </c>
      <c r="G9" s="3">
        <v>117</v>
      </c>
    </row>
    <row r="10" spans="1:7" x14ac:dyDescent="0.3">
      <c r="A10">
        <v>9</v>
      </c>
      <c r="B10" t="s">
        <v>69</v>
      </c>
      <c r="C10" s="18">
        <v>52.8</v>
      </c>
      <c r="D10" s="3">
        <v>3</v>
      </c>
      <c r="E10" s="18">
        <v>30</v>
      </c>
      <c r="F10" s="2">
        <v>0.32708333333333334</v>
      </c>
      <c r="G10" s="3">
        <v>1832</v>
      </c>
    </row>
    <row r="11" spans="1:7" x14ac:dyDescent="0.3">
      <c r="A11">
        <v>10</v>
      </c>
      <c r="B11" t="s">
        <v>10</v>
      </c>
      <c r="C11" s="18">
        <v>52.7</v>
      </c>
      <c r="D11" s="3">
        <v>6</v>
      </c>
      <c r="E11" s="18">
        <v>11.2</v>
      </c>
      <c r="F11" s="2">
        <v>0.22638888888888889</v>
      </c>
      <c r="G11" s="3">
        <v>236</v>
      </c>
    </row>
    <row r="12" spans="1:7" x14ac:dyDescent="0.3">
      <c r="A12">
        <v>11</v>
      </c>
      <c r="B12" t="s">
        <v>27</v>
      </c>
      <c r="C12" s="18">
        <v>52.2</v>
      </c>
      <c r="D12" s="3">
        <v>3</v>
      </c>
      <c r="E12" s="18">
        <v>30.5</v>
      </c>
      <c r="F12" s="2">
        <v>0.36527777777777776</v>
      </c>
      <c r="G12" s="3">
        <v>1359</v>
      </c>
    </row>
    <row r="13" spans="1:7" x14ac:dyDescent="0.3">
      <c r="A13">
        <v>12</v>
      </c>
      <c r="B13" t="s">
        <v>24</v>
      </c>
      <c r="C13" s="18">
        <v>52.1</v>
      </c>
      <c r="D13" s="3">
        <v>3</v>
      </c>
      <c r="E13" s="18">
        <v>30.4</v>
      </c>
      <c r="F13" s="2">
        <v>0.31111111111111112</v>
      </c>
      <c r="G13" s="3">
        <v>1452</v>
      </c>
    </row>
    <row r="14" spans="1:7" x14ac:dyDescent="0.3">
      <c r="A14">
        <v>13</v>
      </c>
      <c r="B14" t="s">
        <v>34</v>
      </c>
      <c r="C14" s="18">
        <v>51.5</v>
      </c>
      <c r="D14" s="3">
        <v>4</v>
      </c>
      <c r="E14" s="18">
        <v>34.200000000000003</v>
      </c>
      <c r="F14" s="2">
        <v>0.31736111111111109</v>
      </c>
      <c r="G14" s="3">
        <v>1125</v>
      </c>
    </row>
    <row r="15" spans="1:7" x14ac:dyDescent="0.3">
      <c r="A15">
        <v>14</v>
      </c>
      <c r="B15" t="s">
        <v>14</v>
      </c>
      <c r="C15" s="18">
        <v>51.3</v>
      </c>
      <c r="D15" s="3">
        <v>3</v>
      </c>
      <c r="E15" s="18">
        <v>25</v>
      </c>
      <c r="F15" s="2">
        <v>0.22708333333333333</v>
      </c>
      <c r="G15" s="3">
        <v>188</v>
      </c>
    </row>
    <row r="16" spans="1:7" x14ac:dyDescent="0.3">
      <c r="A16">
        <v>15</v>
      </c>
      <c r="B16" t="s">
        <v>39</v>
      </c>
      <c r="C16" s="18">
        <v>50.1</v>
      </c>
      <c r="D16" s="3">
        <v>4</v>
      </c>
      <c r="E16" s="18">
        <v>16.3</v>
      </c>
      <c r="F16" s="2">
        <v>0.31736111111111109</v>
      </c>
      <c r="G16" s="3">
        <v>937</v>
      </c>
    </row>
    <row r="17" spans="1:7" x14ac:dyDescent="0.3">
      <c r="A17">
        <v>16</v>
      </c>
      <c r="B17" t="s">
        <v>52</v>
      </c>
      <c r="C17" s="18">
        <v>49.4</v>
      </c>
      <c r="D17" s="3">
        <v>5</v>
      </c>
      <c r="E17" s="18">
        <v>20.9</v>
      </c>
      <c r="F17" s="2">
        <v>0.26180555555555557</v>
      </c>
      <c r="G17" s="3">
        <v>173</v>
      </c>
    </row>
    <row r="18" spans="1:7" x14ac:dyDescent="0.3">
      <c r="A18">
        <v>17</v>
      </c>
      <c r="B18" t="s">
        <v>25</v>
      </c>
      <c r="C18" s="18">
        <v>48.7</v>
      </c>
      <c r="D18" s="3">
        <v>4</v>
      </c>
      <c r="E18" s="18">
        <v>16.399999999999999</v>
      </c>
      <c r="F18" s="2">
        <v>0.29097222222222224</v>
      </c>
      <c r="G18" s="3">
        <v>1117</v>
      </c>
    </row>
    <row r="19" spans="1:7" x14ac:dyDescent="0.3">
      <c r="A19">
        <v>18</v>
      </c>
      <c r="B19" t="s">
        <v>15</v>
      </c>
      <c r="C19" s="18">
        <v>48.4</v>
      </c>
      <c r="D19" s="3">
        <v>3</v>
      </c>
      <c r="E19" s="18">
        <v>30.6</v>
      </c>
      <c r="F19" s="2">
        <v>0.29444444444444445</v>
      </c>
      <c r="G19" s="3">
        <v>1391</v>
      </c>
    </row>
    <row r="20" spans="1:7" x14ac:dyDescent="0.3">
      <c r="A20">
        <v>19</v>
      </c>
      <c r="B20" t="s">
        <v>8</v>
      </c>
      <c r="C20" s="18">
        <v>42.9</v>
      </c>
      <c r="D20" s="3">
        <v>3</v>
      </c>
      <c r="E20" s="18">
        <v>23.2</v>
      </c>
      <c r="F20" s="2">
        <v>0.18819444444444444</v>
      </c>
      <c r="G20" s="3">
        <v>171</v>
      </c>
    </row>
    <row r="21" spans="1:7" x14ac:dyDescent="0.3">
      <c r="A21">
        <v>20</v>
      </c>
      <c r="B21" t="s">
        <v>58</v>
      </c>
      <c r="C21" s="18">
        <v>41.6</v>
      </c>
      <c r="D21" s="3">
        <v>4</v>
      </c>
      <c r="E21" s="18">
        <v>16.399999999999999</v>
      </c>
      <c r="F21" s="2">
        <v>0.37291666666666667</v>
      </c>
      <c r="G21" s="3">
        <v>748</v>
      </c>
    </row>
    <row r="22" spans="1:7" x14ac:dyDescent="0.3">
      <c r="A22">
        <v>21</v>
      </c>
      <c r="B22" t="s">
        <v>50</v>
      </c>
      <c r="C22" s="18">
        <v>40.1</v>
      </c>
      <c r="D22" s="3">
        <v>3</v>
      </c>
      <c r="E22" s="18">
        <v>15.3</v>
      </c>
      <c r="F22" s="2">
        <v>0.25</v>
      </c>
      <c r="G22" s="3">
        <v>46</v>
      </c>
    </row>
    <row r="23" spans="1:7" x14ac:dyDescent="0.3">
      <c r="A23">
        <v>22</v>
      </c>
      <c r="B23" t="s">
        <v>29</v>
      </c>
      <c r="C23" s="18">
        <v>39.5</v>
      </c>
      <c r="D23" s="3">
        <v>4</v>
      </c>
      <c r="E23" s="18">
        <v>11.5</v>
      </c>
      <c r="F23" s="2">
        <v>0.27638888888888891</v>
      </c>
      <c r="G23" s="3">
        <v>428</v>
      </c>
    </row>
    <row r="24" spans="1:7" x14ac:dyDescent="0.3">
      <c r="A24">
        <v>23</v>
      </c>
      <c r="B24" t="s">
        <v>23</v>
      </c>
      <c r="C24" s="18">
        <v>38.299999999999997</v>
      </c>
      <c r="D24" s="3">
        <v>3</v>
      </c>
      <c r="E24" s="18">
        <v>16.7</v>
      </c>
      <c r="F24" s="2">
        <v>0.31458333333333333</v>
      </c>
      <c r="G24" s="3">
        <v>658</v>
      </c>
    </row>
    <row r="25" spans="1:7" x14ac:dyDescent="0.3">
      <c r="A25">
        <v>24</v>
      </c>
      <c r="B25" t="s">
        <v>47</v>
      </c>
      <c r="C25" s="18">
        <v>37.5</v>
      </c>
      <c r="D25" s="3">
        <v>10</v>
      </c>
      <c r="E25" s="18">
        <v>10.3</v>
      </c>
      <c r="F25" s="2">
        <v>0.53125</v>
      </c>
      <c r="G25" s="3">
        <v>65</v>
      </c>
    </row>
    <row r="26" spans="1:7" x14ac:dyDescent="0.3">
      <c r="A26">
        <v>25</v>
      </c>
      <c r="B26" t="s">
        <v>32</v>
      </c>
      <c r="C26" s="18">
        <v>37.4</v>
      </c>
      <c r="D26" s="3">
        <v>4</v>
      </c>
      <c r="E26" s="18">
        <v>23.4</v>
      </c>
      <c r="F26" s="2">
        <v>0.28958333333333336</v>
      </c>
      <c r="G26" s="3">
        <v>1113</v>
      </c>
    </row>
    <row r="27" spans="1:7" x14ac:dyDescent="0.3">
      <c r="A27">
        <v>26</v>
      </c>
      <c r="B27" t="s">
        <v>20</v>
      </c>
      <c r="C27" s="18">
        <v>37.200000000000003</v>
      </c>
      <c r="D27" s="3">
        <v>4</v>
      </c>
      <c r="E27" s="18">
        <v>18.7</v>
      </c>
      <c r="F27" s="2">
        <v>0.2638888888888889</v>
      </c>
      <c r="G27" s="3">
        <v>735</v>
      </c>
    </row>
    <row r="28" spans="1:7" x14ac:dyDescent="0.3">
      <c r="A28">
        <v>27</v>
      </c>
      <c r="B28" t="s">
        <v>38</v>
      </c>
      <c r="C28" s="18">
        <v>35.200000000000003</v>
      </c>
      <c r="D28" s="3">
        <v>8</v>
      </c>
      <c r="E28" s="18">
        <v>11.3</v>
      </c>
      <c r="F28" s="2">
        <v>0.26458333333333334</v>
      </c>
      <c r="G28" s="3">
        <v>258</v>
      </c>
    </row>
    <row r="29" spans="1:7" x14ac:dyDescent="0.3">
      <c r="A29">
        <v>28</v>
      </c>
      <c r="B29" t="s">
        <v>48</v>
      </c>
      <c r="C29" s="18">
        <v>34</v>
      </c>
      <c r="D29" s="3">
        <v>3</v>
      </c>
      <c r="E29" s="18">
        <v>13.4</v>
      </c>
      <c r="F29" s="2">
        <v>0.26944444444444443</v>
      </c>
      <c r="G29" s="3">
        <v>141</v>
      </c>
    </row>
    <row r="30" spans="1:7" x14ac:dyDescent="0.3">
      <c r="A30">
        <v>29</v>
      </c>
      <c r="B30" t="s">
        <v>70</v>
      </c>
      <c r="C30" s="18">
        <v>33.6</v>
      </c>
      <c r="D30" s="3">
        <v>3</v>
      </c>
      <c r="E30" s="18">
        <v>13.3</v>
      </c>
      <c r="F30" s="2">
        <v>0.28749999999999998</v>
      </c>
      <c r="G30" s="3">
        <v>140</v>
      </c>
    </row>
    <row r="31" spans="1:7" x14ac:dyDescent="0.3">
      <c r="A31">
        <v>30</v>
      </c>
      <c r="B31" t="s">
        <v>44</v>
      </c>
      <c r="C31" s="18">
        <v>32.700000000000003</v>
      </c>
      <c r="D31" s="3">
        <v>3</v>
      </c>
      <c r="E31" s="18">
        <v>13.1</v>
      </c>
      <c r="F31" s="2">
        <v>0.26666666666666666</v>
      </c>
      <c r="G31" s="3">
        <v>436</v>
      </c>
    </row>
    <row r="32" spans="1:7" x14ac:dyDescent="0.3">
      <c r="A32">
        <v>31</v>
      </c>
      <c r="B32" t="s">
        <v>400</v>
      </c>
      <c r="C32" s="18">
        <v>29.9</v>
      </c>
      <c r="D32" s="3">
        <v>4</v>
      </c>
      <c r="E32" s="18">
        <v>11.3</v>
      </c>
      <c r="F32" s="2">
        <v>0.25833333333333336</v>
      </c>
      <c r="G32" s="3">
        <v>325</v>
      </c>
    </row>
    <row r="33" spans="1:7" x14ac:dyDescent="0.3">
      <c r="A33">
        <v>32</v>
      </c>
      <c r="B33" t="s">
        <v>65</v>
      </c>
      <c r="C33" s="18">
        <v>29.2</v>
      </c>
      <c r="D33" s="3">
        <v>3</v>
      </c>
      <c r="E33" s="18">
        <v>10.1</v>
      </c>
      <c r="F33" s="2">
        <v>0.23472222222222222</v>
      </c>
      <c r="G33" s="3">
        <v>83</v>
      </c>
    </row>
    <row r="34" spans="1:7" x14ac:dyDescent="0.3">
      <c r="A34">
        <v>33</v>
      </c>
      <c r="B34" t="s">
        <v>17</v>
      </c>
      <c r="C34" s="18">
        <v>28.9</v>
      </c>
      <c r="D34" s="3">
        <v>3</v>
      </c>
      <c r="E34" s="18">
        <v>12</v>
      </c>
      <c r="F34" s="2">
        <v>0.32708333333333334</v>
      </c>
      <c r="G34" s="3">
        <v>560</v>
      </c>
    </row>
    <row r="35" spans="1:7" x14ac:dyDescent="0.3">
      <c r="A35">
        <v>34</v>
      </c>
      <c r="B35" t="s">
        <v>41</v>
      </c>
      <c r="C35" s="18">
        <v>28.8</v>
      </c>
      <c r="D35" s="3">
        <v>3</v>
      </c>
      <c r="E35" s="18">
        <v>10.6</v>
      </c>
      <c r="F35" s="2">
        <v>0.3298611111111111</v>
      </c>
      <c r="G35" s="3">
        <v>510</v>
      </c>
    </row>
    <row r="36" spans="1:7" x14ac:dyDescent="0.3">
      <c r="A36">
        <v>35</v>
      </c>
      <c r="B36" t="s">
        <v>43</v>
      </c>
      <c r="C36" s="18">
        <v>27.9</v>
      </c>
      <c r="D36" s="3">
        <v>3</v>
      </c>
      <c r="E36" s="18">
        <v>10.4</v>
      </c>
      <c r="F36" s="2">
        <v>0.41319444444444442</v>
      </c>
      <c r="G36" s="3">
        <v>537</v>
      </c>
    </row>
    <row r="37" spans="1:7" x14ac:dyDescent="0.3">
      <c r="A37">
        <v>36</v>
      </c>
      <c r="B37" t="s">
        <v>61</v>
      </c>
      <c r="C37" s="18">
        <v>27.5</v>
      </c>
      <c r="D37" s="3">
        <v>2</v>
      </c>
      <c r="E37" s="18">
        <v>16.100000000000001</v>
      </c>
      <c r="F37" s="2">
        <v>0.32500000000000001</v>
      </c>
      <c r="G37" s="3">
        <v>457</v>
      </c>
    </row>
    <row r="38" spans="1:7" x14ac:dyDescent="0.3">
      <c r="A38">
        <v>37</v>
      </c>
      <c r="B38" t="s">
        <v>36</v>
      </c>
      <c r="C38" s="18">
        <v>26.5</v>
      </c>
      <c r="D38" s="3">
        <v>2</v>
      </c>
      <c r="E38" s="18">
        <v>16.7</v>
      </c>
      <c r="F38" s="2">
        <v>0.31041666666666667</v>
      </c>
      <c r="G38" s="3">
        <v>486</v>
      </c>
    </row>
    <row r="39" spans="1:7" x14ac:dyDescent="0.3">
      <c r="A39">
        <v>38</v>
      </c>
      <c r="B39" t="s">
        <v>64</v>
      </c>
      <c r="C39" s="18">
        <v>26.4</v>
      </c>
      <c r="D39" s="3">
        <v>2</v>
      </c>
      <c r="E39" s="18">
        <v>16.600000000000001</v>
      </c>
      <c r="F39" s="2">
        <v>0.33958333333333335</v>
      </c>
      <c r="G39" s="3">
        <v>398</v>
      </c>
    </row>
    <row r="40" spans="1:7" x14ac:dyDescent="0.3">
      <c r="A40">
        <v>39</v>
      </c>
      <c r="B40" t="s">
        <v>66</v>
      </c>
      <c r="C40" s="18">
        <v>26.4</v>
      </c>
      <c r="D40" s="3">
        <v>2</v>
      </c>
      <c r="E40" s="18">
        <v>16.600000000000001</v>
      </c>
      <c r="F40" s="2">
        <v>0.32083333333333336</v>
      </c>
      <c r="G40" s="3">
        <v>423</v>
      </c>
    </row>
    <row r="41" spans="1:7" x14ac:dyDescent="0.3">
      <c r="A41">
        <v>40</v>
      </c>
      <c r="B41" t="s">
        <v>54</v>
      </c>
      <c r="C41" s="18">
        <v>26.3</v>
      </c>
      <c r="D41" s="3">
        <v>3</v>
      </c>
      <c r="E41" s="18">
        <v>10</v>
      </c>
      <c r="F41" s="2">
        <v>0.25763888888888886</v>
      </c>
      <c r="G41" s="3">
        <v>25</v>
      </c>
    </row>
    <row r="42" spans="1:7" x14ac:dyDescent="0.3">
      <c r="A42">
        <v>41</v>
      </c>
      <c r="B42" t="s">
        <v>26</v>
      </c>
      <c r="C42" s="18">
        <v>25</v>
      </c>
      <c r="D42" s="3">
        <v>2</v>
      </c>
      <c r="E42" s="18">
        <v>13</v>
      </c>
      <c r="F42" s="2">
        <v>0.26250000000000001</v>
      </c>
      <c r="G42" s="3">
        <v>518</v>
      </c>
    </row>
    <row r="43" spans="1:7" x14ac:dyDescent="0.3">
      <c r="A43">
        <v>42</v>
      </c>
      <c r="B43" t="s">
        <v>12</v>
      </c>
      <c r="C43" s="18">
        <v>23</v>
      </c>
      <c r="D43" s="3">
        <v>2</v>
      </c>
      <c r="E43" s="18">
        <v>12</v>
      </c>
      <c r="F43" s="2">
        <v>0.2590277777777778</v>
      </c>
      <c r="G43" s="3" t="s">
        <v>3</v>
      </c>
    </row>
    <row r="44" spans="1:7" x14ac:dyDescent="0.3">
      <c r="A44">
        <v>43</v>
      </c>
      <c r="B44" t="s">
        <v>404</v>
      </c>
      <c r="C44" s="18">
        <v>22.7</v>
      </c>
      <c r="D44" s="3">
        <v>2</v>
      </c>
      <c r="E44" s="18">
        <v>12.1</v>
      </c>
      <c r="F44" s="2">
        <v>0.31319444444444444</v>
      </c>
      <c r="G44" s="3">
        <v>431</v>
      </c>
    </row>
    <row r="45" spans="1:7" x14ac:dyDescent="0.3">
      <c r="A45">
        <v>44</v>
      </c>
      <c r="B45" t="s">
        <v>31</v>
      </c>
      <c r="C45" s="18">
        <v>22.3</v>
      </c>
      <c r="D45" s="3">
        <v>3</v>
      </c>
      <c r="E45" s="18">
        <v>10.1</v>
      </c>
      <c r="F45" s="2">
        <v>0.22083333333333333</v>
      </c>
      <c r="G45" s="3">
        <v>148</v>
      </c>
    </row>
    <row r="46" spans="1:7" x14ac:dyDescent="0.3">
      <c r="A46">
        <v>45</v>
      </c>
      <c r="B46" t="s">
        <v>175</v>
      </c>
      <c r="C46" s="18">
        <v>22.2</v>
      </c>
      <c r="D46" s="3">
        <v>2</v>
      </c>
      <c r="E46" s="18">
        <v>11.1</v>
      </c>
      <c r="F46" s="2">
        <v>0.24374999999999999</v>
      </c>
      <c r="G46" s="3">
        <v>85</v>
      </c>
    </row>
    <row r="47" spans="1:7" x14ac:dyDescent="0.3">
      <c r="A47">
        <v>46</v>
      </c>
      <c r="B47" t="s">
        <v>35</v>
      </c>
      <c r="C47" s="18">
        <v>22</v>
      </c>
      <c r="D47" s="3">
        <v>2</v>
      </c>
      <c r="E47" s="18">
        <v>12</v>
      </c>
      <c r="F47" s="2">
        <v>0.21597222222222223</v>
      </c>
      <c r="G47" s="3">
        <v>255</v>
      </c>
    </row>
    <row r="48" spans="1:7" x14ac:dyDescent="0.3">
      <c r="A48">
        <v>47</v>
      </c>
      <c r="B48" t="s">
        <v>178</v>
      </c>
      <c r="C48" s="18">
        <v>21.7</v>
      </c>
      <c r="D48" s="3">
        <v>2</v>
      </c>
      <c r="E48" s="18">
        <v>11.7</v>
      </c>
      <c r="F48" s="2">
        <v>0.30833333333333335</v>
      </c>
      <c r="G48" s="3">
        <v>521</v>
      </c>
    </row>
    <row r="49" spans="1:7" x14ac:dyDescent="0.3">
      <c r="A49">
        <v>48</v>
      </c>
      <c r="B49" t="s">
        <v>62</v>
      </c>
      <c r="C49" s="18">
        <v>21</v>
      </c>
      <c r="D49" s="3">
        <v>2</v>
      </c>
      <c r="E49" s="18">
        <v>11</v>
      </c>
      <c r="F49" s="2">
        <v>0.30625000000000002</v>
      </c>
      <c r="G49" s="3">
        <v>1202</v>
      </c>
    </row>
    <row r="50" spans="1:7" x14ac:dyDescent="0.3">
      <c r="A50">
        <v>49</v>
      </c>
      <c r="B50" t="s">
        <v>45</v>
      </c>
      <c r="C50" s="18">
        <v>20.5</v>
      </c>
      <c r="D50" s="3">
        <v>2</v>
      </c>
      <c r="E50" s="18">
        <v>10.3</v>
      </c>
      <c r="F50" s="2">
        <v>0.36180555555555555</v>
      </c>
      <c r="G50" s="3">
        <v>157</v>
      </c>
    </row>
    <row r="51" spans="1:7" x14ac:dyDescent="0.3">
      <c r="A51">
        <v>50</v>
      </c>
      <c r="B51" t="s">
        <v>76</v>
      </c>
      <c r="C51" s="18">
        <v>19.399999999999999</v>
      </c>
      <c r="D51" s="3">
        <v>2</v>
      </c>
      <c r="E51" s="18">
        <v>10.1</v>
      </c>
      <c r="F51" s="2">
        <v>0.24930555555555556</v>
      </c>
      <c r="G51" s="3">
        <v>124</v>
      </c>
    </row>
    <row r="52" spans="1:7" x14ac:dyDescent="0.3">
      <c r="A52">
        <v>51</v>
      </c>
      <c r="B52" t="s">
        <v>67</v>
      </c>
      <c r="C52" s="18">
        <v>19.2</v>
      </c>
      <c r="D52" s="3">
        <v>2</v>
      </c>
      <c r="E52" s="18">
        <v>10.3</v>
      </c>
      <c r="F52" s="2">
        <v>0.25486111111111109</v>
      </c>
      <c r="G52" s="3">
        <v>231</v>
      </c>
    </row>
    <row r="53" spans="1:7" x14ac:dyDescent="0.3">
      <c r="A53">
        <v>52</v>
      </c>
      <c r="B53" t="s">
        <v>430</v>
      </c>
      <c r="C53" s="18">
        <v>17.5</v>
      </c>
      <c r="D53" s="3">
        <v>4</v>
      </c>
      <c r="E53" s="18">
        <v>5.5</v>
      </c>
      <c r="F53" s="2">
        <v>0.4597222222222222</v>
      </c>
      <c r="G53" s="3">
        <v>167</v>
      </c>
    </row>
    <row r="54" spans="1:7" x14ac:dyDescent="0.3">
      <c r="A54">
        <v>53</v>
      </c>
      <c r="B54" t="s">
        <v>176</v>
      </c>
      <c r="C54" s="18">
        <v>17.3</v>
      </c>
      <c r="D54" s="3">
        <v>2</v>
      </c>
      <c r="E54" s="18">
        <v>10.3</v>
      </c>
      <c r="F54" s="2">
        <v>0.27986111111111112</v>
      </c>
      <c r="G54" s="3">
        <v>127</v>
      </c>
    </row>
    <row r="55" spans="1:7" x14ac:dyDescent="0.3">
      <c r="A55">
        <v>54</v>
      </c>
      <c r="B55" t="s">
        <v>9</v>
      </c>
      <c r="C55" s="18">
        <v>17.2</v>
      </c>
      <c r="D55" s="3">
        <v>2</v>
      </c>
      <c r="E55" s="18">
        <v>11</v>
      </c>
      <c r="F55" s="2">
        <v>0.25972222222222224</v>
      </c>
      <c r="G55" s="3">
        <v>29</v>
      </c>
    </row>
    <row r="56" spans="1:7" x14ac:dyDescent="0.3">
      <c r="A56">
        <v>55</v>
      </c>
      <c r="B56" t="s">
        <v>72</v>
      </c>
      <c r="C56" s="18">
        <v>17</v>
      </c>
      <c r="D56" s="3">
        <v>2</v>
      </c>
      <c r="E56" s="18">
        <v>12</v>
      </c>
      <c r="F56" s="2">
        <v>0.28819444444444442</v>
      </c>
      <c r="G56" s="3">
        <v>267</v>
      </c>
    </row>
    <row r="57" spans="1:7" x14ac:dyDescent="0.3">
      <c r="A57">
        <v>56</v>
      </c>
      <c r="B57" t="s">
        <v>37</v>
      </c>
      <c r="C57" s="18">
        <v>16.3</v>
      </c>
      <c r="D57" s="3">
        <v>2</v>
      </c>
      <c r="E57" s="18">
        <v>8.3000000000000007</v>
      </c>
      <c r="F57" s="2">
        <v>0.29791666666666666</v>
      </c>
      <c r="G57" s="3">
        <v>289</v>
      </c>
    </row>
    <row r="58" spans="1:7" x14ac:dyDescent="0.3">
      <c r="A58">
        <v>57</v>
      </c>
      <c r="B58" t="s">
        <v>73</v>
      </c>
      <c r="C58" s="18">
        <v>16.2</v>
      </c>
      <c r="D58" s="3">
        <v>2</v>
      </c>
      <c r="E58" s="18">
        <v>8.1</v>
      </c>
      <c r="F58" s="2">
        <v>0.27013888888888887</v>
      </c>
      <c r="G58" s="3">
        <v>108</v>
      </c>
    </row>
    <row r="59" spans="1:7" x14ac:dyDescent="0.3">
      <c r="A59">
        <v>58</v>
      </c>
      <c r="B59" t="s">
        <v>49</v>
      </c>
      <c r="C59" s="18">
        <v>14.2</v>
      </c>
      <c r="D59" s="3">
        <v>2</v>
      </c>
      <c r="E59" s="18">
        <v>8.9</v>
      </c>
      <c r="F59" s="2">
        <v>0.24374999999999999</v>
      </c>
      <c r="G59" s="3">
        <v>38</v>
      </c>
    </row>
    <row r="60" spans="1:7" x14ac:dyDescent="0.3">
      <c r="A60">
        <v>59</v>
      </c>
      <c r="B60" t="s">
        <v>219</v>
      </c>
      <c r="C60" s="18">
        <v>13</v>
      </c>
      <c r="D60" s="3">
        <v>1</v>
      </c>
      <c r="E60" s="18">
        <v>13</v>
      </c>
      <c r="F60" s="2">
        <v>0.48333333333333334</v>
      </c>
      <c r="G60" s="3">
        <v>176</v>
      </c>
    </row>
    <row r="61" spans="1:7" x14ac:dyDescent="0.3">
      <c r="A61">
        <v>60</v>
      </c>
      <c r="B61" t="s">
        <v>56</v>
      </c>
      <c r="C61" s="18">
        <v>11.4</v>
      </c>
      <c r="D61" s="3">
        <v>2</v>
      </c>
      <c r="E61" s="18">
        <v>10.1</v>
      </c>
      <c r="F61" s="2">
        <v>0.32430555555555557</v>
      </c>
      <c r="G61" s="3">
        <v>236</v>
      </c>
    </row>
    <row r="62" spans="1:7" x14ac:dyDescent="0.3">
      <c r="A62">
        <v>61</v>
      </c>
      <c r="B62" t="s">
        <v>59</v>
      </c>
      <c r="C62" s="18">
        <v>10.199999999999999</v>
      </c>
      <c r="D62" s="3">
        <v>1</v>
      </c>
      <c r="E62" s="18">
        <v>10.199999999999999</v>
      </c>
      <c r="F62" s="2">
        <v>0.28819444444444442</v>
      </c>
      <c r="G62" s="3">
        <v>21</v>
      </c>
    </row>
    <row r="63" spans="1:7" x14ac:dyDescent="0.3">
      <c r="A63">
        <v>62</v>
      </c>
      <c r="B63" t="s">
        <v>220</v>
      </c>
      <c r="C63" s="18">
        <v>10</v>
      </c>
      <c r="D63" s="3">
        <v>1</v>
      </c>
      <c r="E63" s="18">
        <v>10</v>
      </c>
      <c r="F63" s="2">
        <v>0.26666666666666666</v>
      </c>
      <c r="G63" s="3">
        <v>24</v>
      </c>
    </row>
    <row r="64" spans="1:7" x14ac:dyDescent="0.3">
      <c r="A64">
        <v>63</v>
      </c>
      <c r="B64" t="s">
        <v>195</v>
      </c>
      <c r="C64" s="18">
        <v>8</v>
      </c>
      <c r="D64" s="3">
        <v>1</v>
      </c>
      <c r="E64" s="18">
        <v>8</v>
      </c>
      <c r="F64" s="2">
        <v>0.26666666666666666</v>
      </c>
      <c r="G64" s="3">
        <v>50</v>
      </c>
    </row>
    <row r="65" spans="1:7" x14ac:dyDescent="0.3">
      <c r="A65">
        <v>64</v>
      </c>
      <c r="B65" t="s">
        <v>22</v>
      </c>
      <c r="C65" s="18">
        <v>8</v>
      </c>
      <c r="D65" s="3">
        <v>1</v>
      </c>
      <c r="E65" s="18">
        <v>8</v>
      </c>
      <c r="F65" s="2">
        <v>0.25347222222222221</v>
      </c>
      <c r="G65" s="3">
        <v>65</v>
      </c>
    </row>
    <row r="66" spans="1:7" x14ac:dyDescent="0.3">
      <c r="A66">
        <v>65</v>
      </c>
      <c r="B66" t="s">
        <v>40</v>
      </c>
      <c r="C66" s="18">
        <v>8</v>
      </c>
      <c r="D66" s="3">
        <v>1</v>
      </c>
      <c r="E66" s="18">
        <v>8</v>
      </c>
      <c r="F66" s="2">
        <v>0.25347222222222221</v>
      </c>
      <c r="G66" s="3">
        <v>50</v>
      </c>
    </row>
    <row r="67" spans="1:7" x14ac:dyDescent="0.3">
      <c r="A67">
        <v>66</v>
      </c>
      <c r="B67" t="s">
        <v>57</v>
      </c>
      <c r="C67" s="18">
        <v>7.1</v>
      </c>
      <c r="D67" s="3">
        <v>1</v>
      </c>
      <c r="E67" s="18">
        <v>7.1</v>
      </c>
      <c r="F67" s="2">
        <v>0.25347222222222221</v>
      </c>
      <c r="G67" s="3">
        <v>11</v>
      </c>
    </row>
    <row r="68" spans="1:7" x14ac:dyDescent="0.3">
      <c r="A68">
        <v>67</v>
      </c>
      <c r="B68" t="s">
        <v>194</v>
      </c>
      <c r="C68" s="18">
        <v>5.7</v>
      </c>
      <c r="D68" s="3">
        <v>1</v>
      </c>
      <c r="E68" s="18">
        <v>5.7</v>
      </c>
      <c r="F68" s="2">
        <v>0.48125000000000001</v>
      </c>
      <c r="G68" s="3">
        <v>10</v>
      </c>
    </row>
    <row r="69" spans="1:7" x14ac:dyDescent="0.3">
      <c r="A69">
        <v>68</v>
      </c>
      <c r="B69" t="s">
        <v>30</v>
      </c>
      <c r="C69" s="18">
        <v>5.5</v>
      </c>
      <c r="D69" s="3">
        <v>2</v>
      </c>
      <c r="E69" s="18">
        <v>3.6</v>
      </c>
      <c r="F69" s="2">
        <v>0.27361111111111114</v>
      </c>
      <c r="G69" s="3">
        <v>100</v>
      </c>
    </row>
    <row r="70" spans="1:7" x14ac:dyDescent="0.3">
      <c r="A70">
        <v>69</v>
      </c>
      <c r="B70" t="s">
        <v>74</v>
      </c>
      <c r="C70" s="18">
        <v>5</v>
      </c>
      <c r="D70" s="3">
        <v>1</v>
      </c>
      <c r="E70" s="18">
        <v>5</v>
      </c>
      <c r="F70" s="2">
        <v>0.28333333333333333</v>
      </c>
      <c r="G70" s="3">
        <v>30</v>
      </c>
    </row>
    <row r="71" spans="1:7" x14ac:dyDescent="0.3">
      <c r="A71">
        <v>70</v>
      </c>
      <c r="B71" t="s">
        <v>214</v>
      </c>
      <c r="C71" s="18">
        <v>2</v>
      </c>
      <c r="D71" s="3">
        <v>1</v>
      </c>
      <c r="E71" s="18">
        <v>2</v>
      </c>
      <c r="F71" s="2">
        <v>0.29305555555555557</v>
      </c>
      <c r="G71" s="3" t="s">
        <v>3</v>
      </c>
    </row>
    <row r="72" spans="1:7" x14ac:dyDescent="0.3">
      <c r="A72">
        <v>71</v>
      </c>
      <c r="B72" t="s">
        <v>181</v>
      </c>
      <c r="C72" s="18">
        <v>2</v>
      </c>
      <c r="D72" s="3">
        <v>1</v>
      </c>
      <c r="E72" s="18">
        <v>2</v>
      </c>
      <c r="F72" s="2">
        <v>0.27986111111111112</v>
      </c>
      <c r="G72" s="3">
        <v>11</v>
      </c>
    </row>
    <row r="73" spans="1:7" x14ac:dyDescent="0.3">
      <c r="A73">
        <v>72</v>
      </c>
      <c r="B73" t="s">
        <v>80</v>
      </c>
      <c r="C73" s="18">
        <v>1</v>
      </c>
      <c r="D73" s="3">
        <v>1</v>
      </c>
      <c r="E73" s="18">
        <v>1</v>
      </c>
      <c r="F73" s="2">
        <v>0.2590277777777778</v>
      </c>
      <c r="G73" s="3" t="s">
        <v>3</v>
      </c>
    </row>
  </sheetData>
  <autoFilter ref="A1:I73" xr:uid="{D7DE90D2-E864-4B93-AD52-54E442BD8DD9}"/>
  <pageMargins left="0.7" right="0.7" top="0.75" bottom="0.75" header="0.3" footer="0.3"/>
  <headerFooter>
    <oddFooter>&amp;C_x000D_&amp;1#&amp;"Calibri"&amp;8&amp;K000000 Public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6A2A2-353F-4E2B-9699-7FCF123A6944}">
  <dimension ref="A1:G75"/>
  <sheetViews>
    <sheetView workbookViewId="0">
      <selection activeCell="B2" sqref="B2"/>
    </sheetView>
  </sheetViews>
  <sheetFormatPr defaultRowHeight="14.4" x14ac:dyDescent="0.3"/>
  <cols>
    <col min="2" max="2" width="8.88671875" customWidth="1"/>
  </cols>
  <sheetData>
    <row r="1" spans="1:7" x14ac:dyDescent="0.3">
      <c r="A1" s="1" t="s">
        <v>0</v>
      </c>
      <c r="B1" s="1" t="s">
        <v>1</v>
      </c>
      <c r="C1" s="1" t="s">
        <v>82</v>
      </c>
      <c r="D1" s="1" t="s">
        <v>2</v>
      </c>
      <c r="E1" s="1" t="s">
        <v>83</v>
      </c>
      <c r="F1" s="1" t="s">
        <v>84</v>
      </c>
      <c r="G1" s="1" t="s">
        <v>85</v>
      </c>
    </row>
    <row r="2" spans="1:7" x14ac:dyDescent="0.3">
      <c r="A2">
        <v>1</v>
      </c>
      <c r="B2" t="s">
        <v>94</v>
      </c>
      <c r="C2" s="18">
        <v>90.2</v>
      </c>
      <c r="D2" s="3">
        <v>7</v>
      </c>
      <c r="E2" s="18">
        <v>26.1</v>
      </c>
      <c r="F2" s="2">
        <v>0.24583333333333332</v>
      </c>
      <c r="G2" s="3">
        <v>2093</v>
      </c>
    </row>
    <row r="3" spans="1:7" x14ac:dyDescent="0.3">
      <c r="A3">
        <v>2</v>
      </c>
      <c r="B3" t="s">
        <v>126</v>
      </c>
      <c r="C3" s="18">
        <v>73.2</v>
      </c>
      <c r="D3" s="3">
        <v>3</v>
      </c>
      <c r="E3" s="18">
        <v>50.5</v>
      </c>
      <c r="F3" s="2">
        <v>0.33888888888888891</v>
      </c>
      <c r="G3" s="3">
        <v>781</v>
      </c>
    </row>
    <row r="4" spans="1:7" x14ac:dyDescent="0.3">
      <c r="A4">
        <v>3</v>
      </c>
      <c r="B4" t="s">
        <v>99</v>
      </c>
      <c r="C4" s="18">
        <v>72.099999999999994</v>
      </c>
      <c r="D4" s="3">
        <v>3</v>
      </c>
      <c r="E4" s="18">
        <v>32.299999999999997</v>
      </c>
      <c r="F4" s="2">
        <v>0.20624999999999999</v>
      </c>
      <c r="G4" s="3">
        <v>385</v>
      </c>
    </row>
    <row r="5" spans="1:7" x14ac:dyDescent="0.3">
      <c r="A5">
        <v>4</v>
      </c>
      <c r="B5" t="s">
        <v>103</v>
      </c>
      <c r="C5" s="18">
        <v>71.900000000000006</v>
      </c>
      <c r="D5" s="3">
        <v>3</v>
      </c>
      <c r="E5" s="18">
        <v>50.5</v>
      </c>
      <c r="F5" s="2">
        <v>0.29791666666666666</v>
      </c>
      <c r="G5" s="3">
        <v>1017</v>
      </c>
    </row>
    <row r="6" spans="1:7" x14ac:dyDescent="0.3">
      <c r="A6">
        <v>5</v>
      </c>
      <c r="B6" t="s">
        <v>130</v>
      </c>
      <c r="C6" s="18">
        <v>71.400000000000006</v>
      </c>
      <c r="D6" s="3">
        <v>4</v>
      </c>
      <c r="E6" s="18">
        <v>53.1</v>
      </c>
      <c r="F6" s="2">
        <v>0.29722222222222222</v>
      </c>
      <c r="G6" s="3">
        <v>1791</v>
      </c>
    </row>
    <row r="7" spans="1:7" x14ac:dyDescent="0.3">
      <c r="A7">
        <v>6</v>
      </c>
      <c r="B7" t="s">
        <v>88</v>
      </c>
      <c r="C7" s="18">
        <v>67</v>
      </c>
      <c r="D7" s="3">
        <v>4</v>
      </c>
      <c r="E7" s="18">
        <v>31.1</v>
      </c>
      <c r="F7" s="2">
        <v>0.3298611111111111</v>
      </c>
      <c r="G7" s="3">
        <v>1854</v>
      </c>
    </row>
    <row r="8" spans="1:7" x14ac:dyDescent="0.3">
      <c r="A8">
        <v>7</v>
      </c>
      <c r="B8" t="s">
        <v>452</v>
      </c>
      <c r="C8" s="18">
        <v>61.4</v>
      </c>
      <c r="D8" s="3">
        <v>6</v>
      </c>
      <c r="E8" s="18">
        <v>30.8</v>
      </c>
      <c r="F8" s="2">
        <v>0.23194444444444445</v>
      </c>
      <c r="G8" s="3">
        <v>110</v>
      </c>
    </row>
    <row r="9" spans="1:7" x14ac:dyDescent="0.3">
      <c r="A9">
        <v>8</v>
      </c>
      <c r="B9" t="s">
        <v>91</v>
      </c>
      <c r="C9" s="18">
        <v>57.4</v>
      </c>
      <c r="D9" s="3">
        <v>5</v>
      </c>
      <c r="E9" s="18">
        <v>18</v>
      </c>
      <c r="F9" s="2">
        <v>0.22013888888888888</v>
      </c>
      <c r="G9" s="3">
        <v>368</v>
      </c>
    </row>
    <row r="10" spans="1:7" x14ac:dyDescent="0.3">
      <c r="A10">
        <v>9</v>
      </c>
      <c r="B10" t="s">
        <v>109</v>
      </c>
      <c r="C10" s="18">
        <v>56</v>
      </c>
      <c r="D10" s="3">
        <v>3</v>
      </c>
      <c r="E10" s="18">
        <v>31.5</v>
      </c>
      <c r="F10" s="2">
        <v>0.34097222222222223</v>
      </c>
      <c r="G10" s="3">
        <v>741</v>
      </c>
    </row>
    <row r="11" spans="1:7" x14ac:dyDescent="0.3">
      <c r="A11">
        <v>10</v>
      </c>
      <c r="B11" t="s">
        <v>121</v>
      </c>
      <c r="C11" s="18">
        <v>55.1</v>
      </c>
      <c r="D11" s="3">
        <v>3</v>
      </c>
      <c r="E11" s="18">
        <v>30.7</v>
      </c>
      <c r="F11" s="2">
        <v>0.34583333333333333</v>
      </c>
      <c r="G11" s="3">
        <v>826</v>
      </c>
    </row>
    <row r="12" spans="1:7" x14ac:dyDescent="0.3">
      <c r="A12">
        <v>11</v>
      </c>
      <c r="B12" t="s">
        <v>90</v>
      </c>
      <c r="C12" s="18">
        <v>54.8</v>
      </c>
      <c r="D12" s="3">
        <v>3</v>
      </c>
      <c r="E12" s="18">
        <v>26</v>
      </c>
      <c r="F12" s="2">
        <v>0.18680555555555556</v>
      </c>
      <c r="G12" s="3">
        <v>188</v>
      </c>
    </row>
    <row r="13" spans="1:7" x14ac:dyDescent="0.3">
      <c r="A13">
        <v>12</v>
      </c>
      <c r="B13" t="s">
        <v>453</v>
      </c>
      <c r="C13" s="18">
        <v>53.9</v>
      </c>
      <c r="D13" s="3">
        <v>4</v>
      </c>
      <c r="E13" s="18">
        <v>31.2</v>
      </c>
      <c r="F13" s="2">
        <v>0.28263888888888888</v>
      </c>
      <c r="G13" s="3">
        <v>650</v>
      </c>
    </row>
    <row r="14" spans="1:7" x14ac:dyDescent="0.3">
      <c r="A14">
        <v>13</v>
      </c>
      <c r="B14" t="s">
        <v>93</v>
      </c>
      <c r="C14" s="18">
        <v>51.4</v>
      </c>
      <c r="D14" s="3">
        <v>5</v>
      </c>
      <c r="E14" s="18">
        <v>16.600000000000001</v>
      </c>
      <c r="F14" s="2">
        <v>0.28055555555555556</v>
      </c>
      <c r="G14" s="3">
        <v>475</v>
      </c>
    </row>
    <row r="15" spans="1:7" x14ac:dyDescent="0.3">
      <c r="A15">
        <v>14</v>
      </c>
      <c r="B15" t="s">
        <v>454</v>
      </c>
      <c r="C15" s="18">
        <v>50.9</v>
      </c>
      <c r="D15" s="3">
        <v>6</v>
      </c>
      <c r="E15" s="18">
        <v>10.7</v>
      </c>
      <c r="F15" s="2">
        <v>0.25416666666666665</v>
      </c>
      <c r="G15" s="3">
        <v>468</v>
      </c>
    </row>
    <row r="16" spans="1:7" x14ac:dyDescent="0.3">
      <c r="A16">
        <v>15</v>
      </c>
      <c r="B16" t="s">
        <v>89</v>
      </c>
      <c r="C16" s="18">
        <v>50.2</v>
      </c>
      <c r="D16" s="3">
        <v>2</v>
      </c>
      <c r="E16" s="18">
        <v>30.2</v>
      </c>
      <c r="F16" s="2">
        <v>0.32222222222222224</v>
      </c>
      <c r="G16" s="3">
        <v>2129</v>
      </c>
    </row>
    <row r="17" spans="1:7" x14ac:dyDescent="0.3">
      <c r="A17">
        <v>16</v>
      </c>
      <c r="B17" t="s">
        <v>112</v>
      </c>
      <c r="C17" s="18">
        <v>49.7</v>
      </c>
      <c r="D17" s="3">
        <v>8</v>
      </c>
      <c r="E17" s="18">
        <v>10.4</v>
      </c>
      <c r="F17" s="2">
        <v>0.34583333333333333</v>
      </c>
      <c r="G17" s="3">
        <v>511</v>
      </c>
    </row>
    <row r="18" spans="1:7" x14ac:dyDescent="0.3">
      <c r="A18">
        <v>17</v>
      </c>
      <c r="B18" t="s">
        <v>106</v>
      </c>
      <c r="C18" s="18">
        <v>48.2</v>
      </c>
      <c r="D18" s="3">
        <v>3</v>
      </c>
      <c r="E18" s="18">
        <v>23.5</v>
      </c>
      <c r="F18" s="2">
        <v>0.27847222222222223</v>
      </c>
      <c r="G18" s="3">
        <v>817</v>
      </c>
    </row>
    <row r="19" spans="1:7" x14ac:dyDescent="0.3">
      <c r="A19">
        <v>18</v>
      </c>
      <c r="B19" t="s">
        <v>113</v>
      </c>
      <c r="C19" s="18">
        <v>47.7</v>
      </c>
      <c r="D19" s="3">
        <v>4</v>
      </c>
      <c r="E19" s="18">
        <v>20</v>
      </c>
      <c r="F19" s="2">
        <v>0.3347222222222222</v>
      </c>
      <c r="G19" s="3">
        <v>1443</v>
      </c>
    </row>
    <row r="20" spans="1:7" x14ac:dyDescent="0.3">
      <c r="A20">
        <v>19</v>
      </c>
      <c r="B20" t="s">
        <v>200</v>
      </c>
      <c r="C20" s="18">
        <v>43.8</v>
      </c>
      <c r="D20" s="3">
        <v>1</v>
      </c>
      <c r="E20" s="18">
        <v>43.8</v>
      </c>
      <c r="F20" s="2">
        <v>0.30555555555555558</v>
      </c>
      <c r="G20" s="3">
        <v>526</v>
      </c>
    </row>
    <row r="21" spans="1:7" x14ac:dyDescent="0.3">
      <c r="A21">
        <v>20</v>
      </c>
      <c r="B21" t="s">
        <v>97</v>
      </c>
      <c r="C21" s="18">
        <v>42.8</v>
      </c>
      <c r="D21" s="3">
        <v>3</v>
      </c>
      <c r="E21" s="18">
        <v>21</v>
      </c>
      <c r="F21" s="2">
        <v>0.32916666666666666</v>
      </c>
      <c r="G21" s="3">
        <v>903</v>
      </c>
    </row>
    <row r="22" spans="1:7" x14ac:dyDescent="0.3">
      <c r="A22">
        <v>21</v>
      </c>
      <c r="B22" t="s">
        <v>144</v>
      </c>
      <c r="C22" s="18">
        <v>42.5</v>
      </c>
      <c r="D22" s="3">
        <v>4</v>
      </c>
      <c r="E22" s="18">
        <v>12.4</v>
      </c>
      <c r="F22" s="2">
        <v>0.27361111111111114</v>
      </c>
      <c r="G22" s="3">
        <v>307</v>
      </c>
    </row>
    <row r="23" spans="1:7" x14ac:dyDescent="0.3">
      <c r="A23">
        <v>22</v>
      </c>
      <c r="B23" t="s">
        <v>117</v>
      </c>
      <c r="C23" s="18">
        <v>40.799999999999997</v>
      </c>
      <c r="D23" s="3">
        <v>3</v>
      </c>
      <c r="E23" s="18">
        <v>18.899999999999999</v>
      </c>
      <c r="F23" s="2">
        <v>0.31388888888888888</v>
      </c>
      <c r="G23" s="3">
        <v>729</v>
      </c>
    </row>
    <row r="24" spans="1:7" x14ac:dyDescent="0.3">
      <c r="A24">
        <v>23</v>
      </c>
      <c r="B24" t="s">
        <v>100</v>
      </c>
      <c r="C24" s="18">
        <v>40.1</v>
      </c>
      <c r="D24" s="3">
        <v>3</v>
      </c>
      <c r="E24" s="18">
        <v>18.100000000000001</v>
      </c>
      <c r="F24" s="2">
        <v>0.27916666666666667</v>
      </c>
      <c r="G24" s="3">
        <v>864</v>
      </c>
    </row>
    <row r="25" spans="1:7" x14ac:dyDescent="0.3">
      <c r="A25">
        <v>24</v>
      </c>
      <c r="B25" t="s">
        <v>455</v>
      </c>
      <c r="C25" s="18">
        <v>39.6</v>
      </c>
      <c r="D25" s="3">
        <v>3</v>
      </c>
      <c r="E25" s="18">
        <v>15.3</v>
      </c>
      <c r="F25" s="2">
        <v>0.24722222222222223</v>
      </c>
      <c r="G25" s="3">
        <v>54</v>
      </c>
    </row>
    <row r="26" spans="1:7" x14ac:dyDescent="0.3">
      <c r="A26">
        <v>25</v>
      </c>
      <c r="B26" t="s">
        <v>147</v>
      </c>
      <c r="C26" s="18">
        <v>38.700000000000003</v>
      </c>
      <c r="D26" s="3">
        <v>5</v>
      </c>
      <c r="E26" s="18">
        <v>9.5</v>
      </c>
      <c r="F26" s="2">
        <v>0.26041666666666669</v>
      </c>
      <c r="G26" s="3">
        <v>244</v>
      </c>
    </row>
    <row r="27" spans="1:7" x14ac:dyDescent="0.3">
      <c r="A27">
        <v>26</v>
      </c>
      <c r="B27" t="s">
        <v>119</v>
      </c>
      <c r="C27" s="18">
        <v>37.4</v>
      </c>
      <c r="D27" s="3">
        <v>2</v>
      </c>
      <c r="E27" s="18">
        <v>27.4</v>
      </c>
      <c r="F27" s="2">
        <v>0.2986111111111111</v>
      </c>
      <c r="G27" s="3">
        <v>456</v>
      </c>
    </row>
    <row r="28" spans="1:7" x14ac:dyDescent="0.3">
      <c r="A28">
        <v>27</v>
      </c>
      <c r="B28" t="s">
        <v>120</v>
      </c>
      <c r="C28" s="18">
        <v>36.6</v>
      </c>
      <c r="D28" s="3">
        <v>2</v>
      </c>
      <c r="E28" s="18">
        <v>26.4</v>
      </c>
      <c r="F28" s="2">
        <v>0.39583333333333331</v>
      </c>
      <c r="G28" s="3">
        <v>488</v>
      </c>
    </row>
    <row r="29" spans="1:7" x14ac:dyDescent="0.3">
      <c r="A29">
        <v>28</v>
      </c>
      <c r="B29" t="s">
        <v>87</v>
      </c>
      <c r="C29" s="18">
        <v>35.700000000000003</v>
      </c>
      <c r="D29" s="3">
        <v>3</v>
      </c>
      <c r="E29" s="18">
        <v>13.5</v>
      </c>
      <c r="F29" s="2">
        <v>0.24027777777777778</v>
      </c>
      <c r="G29" s="3">
        <v>910</v>
      </c>
    </row>
    <row r="30" spans="1:7" x14ac:dyDescent="0.3">
      <c r="A30">
        <v>29</v>
      </c>
      <c r="B30" t="s">
        <v>456</v>
      </c>
      <c r="C30" s="18">
        <v>35.1</v>
      </c>
      <c r="D30" s="3">
        <v>5</v>
      </c>
      <c r="E30" s="18">
        <v>17</v>
      </c>
      <c r="F30" s="2">
        <v>0.27847222222222223</v>
      </c>
      <c r="G30" s="3">
        <v>515</v>
      </c>
    </row>
    <row r="31" spans="1:7" x14ac:dyDescent="0.3">
      <c r="A31">
        <v>30</v>
      </c>
      <c r="B31" t="s">
        <v>96</v>
      </c>
      <c r="C31" s="18">
        <v>35</v>
      </c>
      <c r="D31" s="3">
        <v>3</v>
      </c>
      <c r="E31" s="18">
        <v>19.5</v>
      </c>
      <c r="F31" s="2">
        <v>0.32430555555555557</v>
      </c>
      <c r="G31" s="3">
        <v>1436</v>
      </c>
    </row>
    <row r="32" spans="1:7" x14ac:dyDescent="0.3">
      <c r="A32">
        <v>31</v>
      </c>
      <c r="B32" t="s">
        <v>457</v>
      </c>
      <c r="C32" s="18">
        <v>34.299999999999997</v>
      </c>
      <c r="D32" s="3">
        <v>3</v>
      </c>
      <c r="E32" s="18">
        <v>22</v>
      </c>
      <c r="F32" s="2">
        <v>0.36319444444444443</v>
      </c>
      <c r="G32" s="3">
        <v>465</v>
      </c>
    </row>
    <row r="33" spans="1:7" x14ac:dyDescent="0.3">
      <c r="A33">
        <v>32</v>
      </c>
      <c r="B33" t="s">
        <v>145</v>
      </c>
      <c r="C33" s="18">
        <v>33.299999999999997</v>
      </c>
      <c r="D33" s="3">
        <v>2</v>
      </c>
      <c r="E33" s="18">
        <v>23.1</v>
      </c>
      <c r="F33" s="2">
        <v>0.30555555555555558</v>
      </c>
      <c r="G33" s="3">
        <v>673</v>
      </c>
    </row>
    <row r="34" spans="1:7" x14ac:dyDescent="0.3">
      <c r="A34">
        <v>33</v>
      </c>
      <c r="B34" t="s">
        <v>86</v>
      </c>
      <c r="C34" s="18">
        <v>33.1</v>
      </c>
      <c r="D34" s="3">
        <v>2</v>
      </c>
      <c r="E34" s="18">
        <v>22</v>
      </c>
      <c r="F34" s="2">
        <v>0.22638888888888889</v>
      </c>
      <c r="G34" s="3">
        <v>494</v>
      </c>
    </row>
    <row r="35" spans="1:7" x14ac:dyDescent="0.3">
      <c r="A35">
        <v>34</v>
      </c>
      <c r="B35" t="s">
        <v>458</v>
      </c>
      <c r="C35" s="18">
        <v>31.5</v>
      </c>
      <c r="D35" s="3">
        <v>5</v>
      </c>
      <c r="E35" s="18">
        <v>19.7</v>
      </c>
      <c r="F35" s="2">
        <v>0.37430555555555556</v>
      </c>
      <c r="G35" s="3">
        <v>461</v>
      </c>
    </row>
    <row r="36" spans="1:7" x14ac:dyDescent="0.3">
      <c r="A36">
        <v>35</v>
      </c>
      <c r="B36" t="s">
        <v>449</v>
      </c>
      <c r="C36" s="18">
        <v>30.4</v>
      </c>
      <c r="D36" s="3">
        <v>7</v>
      </c>
      <c r="E36" s="18" t="s">
        <v>467</v>
      </c>
      <c r="F36" s="2">
        <v>0.48125000000000001</v>
      </c>
      <c r="G36" s="3">
        <v>538</v>
      </c>
    </row>
    <row r="37" spans="1:7" x14ac:dyDescent="0.3">
      <c r="A37">
        <v>36</v>
      </c>
      <c r="B37" t="s">
        <v>114</v>
      </c>
      <c r="C37" s="18">
        <v>30</v>
      </c>
      <c r="D37" s="3">
        <v>3</v>
      </c>
      <c r="E37" s="18">
        <v>15</v>
      </c>
      <c r="F37" s="2">
        <v>0.22708333333333333</v>
      </c>
      <c r="G37" s="3">
        <v>289</v>
      </c>
    </row>
    <row r="38" spans="1:7" x14ac:dyDescent="0.3">
      <c r="A38">
        <v>37</v>
      </c>
      <c r="B38" t="s">
        <v>222</v>
      </c>
      <c r="C38" s="18">
        <v>29.9</v>
      </c>
      <c r="D38">
        <v>7</v>
      </c>
      <c r="E38" s="18">
        <v>10.6</v>
      </c>
      <c r="F38" s="2">
        <v>0.46388888888888891</v>
      </c>
      <c r="G38">
        <v>386</v>
      </c>
    </row>
    <row r="39" spans="1:7" x14ac:dyDescent="0.3">
      <c r="A39">
        <v>38</v>
      </c>
      <c r="B39" t="s">
        <v>122</v>
      </c>
      <c r="C39" s="18">
        <v>29.5</v>
      </c>
      <c r="D39">
        <v>3</v>
      </c>
      <c r="E39" s="18">
        <v>10.3</v>
      </c>
      <c r="F39" s="2">
        <v>0.36041666666666666</v>
      </c>
      <c r="G39">
        <v>164</v>
      </c>
    </row>
    <row r="40" spans="1:7" x14ac:dyDescent="0.3">
      <c r="A40">
        <v>39</v>
      </c>
      <c r="B40" t="s">
        <v>110</v>
      </c>
      <c r="C40" s="18">
        <v>28.3</v>
      </c>
      <c r="D40">
        <v>2</v>
      </c>
      <c r="E40" s="18">
        <v>17.100000000000001</v>
      </c>
      <c r="F40" s="2">
        <v>0.24097222222222223</v>
      </c>
      <c r="G40">
        <v>298</v>
      </c>
    </row>
    <row r="41" spans="1:7" x14ac:dyDescent="0.3">
      <c r="A41">
        <v>40</v>
      </c>
      <c r="B41" t="s">
        <v>202</v>
      </c>
      <c r="C41" s="18">
        <v>26.9</v>
      </c>
      <c r="D41">
        <v>3</v>
      </c>
      <c r="E41" s="18">
        <v>10.4</v>
      </c>
      <c r="F41" s="2">
        <v>0.26041666666666669</v>
      </c>
      <c r="G41">
        <v>177</v>
      </c>
    </row>
    <row r="42" spans="1:7" x14ac:dyDescent="0.3">
      <c r="A42">
        <v>41</v>
      </c>
      <c r="B42" t="s">
        <v>118</v>
      </c>
      <c r="C42" s="18">
        <v>26.7</v>
      </c>
      <c r="D42">
        <v>3</v>
      </c>
      <c r="E42" s="18">
        <v>10.3</v>
      </c>
      <c r="F42" s="2">
        <v>0.26874999999999999</v>
      </c>
      <c r="G42">
        <v>305</v>
      </c>
    </row>
    <row r="43" spans="1:7" x14ac:dyDescent="0.3">
      <c r="A43">
        <v>42</v>
      </c>
      <c r="B43" t="s">
        <v>459</v>
      </c>
      <c r="C43" s="18">
        <v>26.6</v>
      </c>
      <c r="D43">
        <v>8</v>
      </c>
      <c r="E43" s="18">
        <v>7.1</v>
      </c>
      <c r="F43" s="2">
        <v>0.48125000000000001</v>
      </c>
      <c r="G43">
        <v>40</v>
      </c>
    </row>
    <row r="44" spans="1:7" x14ac:dyDescent="0.3">
      <c r="A44">
        <v>43</v>
      </c>
      <c r="B44" t="s">
        <v>111</v>
      </c>
      <c r="C44" s="18">
        <v>26.6</v>
      </c>
      <c r="D44">
        <v>4</v>
      </c>
      <c r="E44" s="18">
        <v>11</v>
      </c>
      <c r="F44" s="2">
        <v>0.27708333333333335</v>
      </c>
      <c r="G44">
        <v>357</v>
      </c>
    </row>
    <row r="45" spans="1:7" x14ac:dyDescent="0.3">
      <c r="A45">
        <v>44</v>
      </c>
      <c r="B45" t="s">
        <v>187</v>
      </c>
      <c r="C45" s="18">
        <v>26</v>
      </c>
      <c r="D45">
        <v>2</v>
      </c>
      <c r="E45" s="18">
        <v>15</v>
      </c>
      <c r="F45" s="2">
        <v>0.28749999999999998</v>
      </c>
      <c r="G45">
        <v>584</v>
      </c>
    </row>
    <row r="46" spans="1:7" x14ac:dyDescent="0.3">
      <c r="A46">
        <v>45</v>
      </c>
      <c r="B46" t="s">
        <v>116</v>
      </c>
      <c r="C46" s="18">
        <v>25.8</v>
      </c>
      <c r="D46">
        <v>6</v>
      </c>
      <c r="E46" s="18">
        <v>8.6</v>
      </c>
      <c r="F46" s="2">
        <v>0.27430555555555558</v>
      </c>
      <c r="G46">
        <v>208</v>
      </c>
    </row>
    <row r="47" spans="1:7" x14ac:dyDescent="0.3">
      <c r="A47">
        <v>46</v>
      </c>
      <c r="B47" t="s">
        <v>188</v>
      </c>
      <c r="C47" s="18">
        <v>25.1</v>
      </c>
      <c r="D47">
        <v>2</v>
      </c>
      <c r="E47" s="18">
        <v>15.1</v>
      </c>
      <c r="F47" s="2">
        <v>0.32708333333333334</v>
      </c>
      <c r="G47">
        <v>559</v>
      </c>
    </row>
    <row r="48" spans="1:7" x14ac:dyDescent="0.3">
      <c r="A48">
        <v>47</v>
      </c>
      <c r="B48" t="s">
        <v>150</v>
      </c>
      <c r="C48" s="18">
        <v>23.6</v>
      </c>
      <c r="D48">
        <v>6</v>
      </c>
      <c r="E48" s="18">
        <v>6.9</v>
      </c>
      <c r="F48" s="2">
        <v>0.2673611111111111</v>
      </c>
      <c r="G48">
        <v>85</v>
      </c>
    </row>
    <row r="49" spans="1:7" x14ac:dyDescent="0.3">
      <c r="A49">
        <v>48</v>
      </c>
      <c r="B49" t="s">
        <v>460</v>
      </c>
      <c r="C49" s="18">
        <v>23.4</v>
      </c>
      <c r="D49">
        <v>2</v>
      </c>
      <c r="E49" s="18">
        <v>14.3</v>
      </c>
      <c r="F49" s="2">
        <v>0.33194444444444443</v>
      </c>
      <c r="G49">
        <v>435</v>
      </c>
    </row>
    <row r="50" spans="1:7" x14ac:dyDescent="0.3">
      <c r="A50">
        <v>49</v>
      </c>
      <c r="B50" t="s">
        <v>102</v>
      </c>
      <c r="C50" s="18">
        <v>23.4</v>
      </c>
      <c r="D50">
        <v>2</v>
      </c>
      <c r="E50" s="18">
        <v>15</v>
      </c>
      <c r="F50" s="2">
        <v>0.26250000000000001</v>
      </c>
      <c r="G50">
        <v>546</v>
      </c>
    </row>
    <row r="51" spans="1:7" x14ac:dyDescent="0.3">
      <c r="A51">
        <v>50</v>
      </c>
      <c r="B51" t="s">
        <v>115</v>
      </c>
      <c r="C51" s="18">
        <v>23.2</v>
      </c>
      <c r="D51">
        <v>2</v>
      </c>
      <c r="E51" s="18">
        <v>14.1</v>
      </c>
      <c r="F51" s="2">
        <v>0.29791666666666666</v>
      </c>
      <c r="G51">
        <v>308</v>
      </c>
    </row>
    <row r="52" spans="1:7" x14ac:dyDescent="0.3">
      <c r="A52">
        <v>51</v>
      </c>
      <c r="B52" t="s">
        <v>137</v>
      </c>
      <c r="C52" s="18">
        <v>22.6</v>
      </c>
      <c r="D52">
        <v>4</v>
      </c>
      <c r="E52" s="18">
        <v>6</v>
      </c>
      <c r="F52" s="2">
        <v>0.26458333333333334</v>
      </c>
      <c r="G52">
        <v>18</v>
      </c>
    </row>
    <row r="53" spans="1:7" x14ac:dyDescent="0.3">
      <c r="A53">
        <v>52</v>
      </c>
      <c r="B53" t="s">
        <v>107</v>
      </c>
      <c r="C53" s="18">
        <v>22.4</v>
      </c>
      <c r="D53">
        <v>3</v>
      </c>
      <c r="E53" s="18">
        <v>10.6</v>
      </c>
      <c r="F53" s="2">
        <v>0.31666666666666665</v>
      </c>
      <c r="G53">
        <v>236</v>
      </c>
    </row>
    <row r="54" spans="1:7" x14ac:dyDescent="0.3">
      <c r="A54">
        <v>53</v>
      </c>
      <c r="B54" t="s">
        <v>461</v>
      </c>
      <c r="C54" s="18">
        <v>21.8</v>
      </c>
      <c r="D54">
        <v>2</v>
      </c>
      <c r="E54" s="18">
        <v>12.6</v>
      </c>
      <c r="F54" s="2">
        <v>0.33958333333333335</v>
      </c>
      <c r="G54">
        <v>400</v>
      </c>
    </row>
    <row r="55" spans="1:7" x14ac:dyDescent="0.3">
      <c r="A55">
        <v>54</v>
      </c>
      <c r="B55" t="s">
        <v>462</v>
      </c>
      <c r="C55" s="18">
        <v>21.2</v>
      </c>
      <c r="D55">
        <v>1</v>
      </c>
      <c r="E55" s="18">
        <v>21.2</v>
      </c>
      <c r="F55" s="2">
        <v>0.33055555555555555</v>
      </c>
      <c r="G55">
        <v>554</v>
      </c>
    </row>
    <row r="56" spans="1:7" x14ac:dyDescent="0.3">
      <c r="A56">
        <v>55</v>
      </c>
      <c r="B56" t="s">
        <v>149</v>
      </c>
      <c r="C56" s="18">
        <v>19.8</v>
      </c>
      <c r="D56">
        <v>2</v>
      </c>
      <c r="E56" s="18">
        <v>10.199999999999999</v>
      </c>
      <c r="F56" s="2">
        <v>0.28125</v>
      </c>
      <c r="G56">
        <v>367</v>
      </c>
    </row>
    <row r="57" spans="1:7" x14ac:dyDescent="0.3">
      <c r="A57">
        <v>56</v>
      </c>
      <c r="B57" t="s">
        <v>463</v>
      </c>
      <c r="C57" s="18">
        <v>18.7</v>
      </c>
      <c r="D57">
        <v>3</v>
      </c>
      <c r="E57" s="18">
        <v>9.5</v>
      </c>
      <c r="F57" s="2">
        <v>0.26319444444444445</v>
      </c>
      <c r="G57">
        <v>199</v>
      </c>
    </row>
    <row r="58" spans="1:7" x14ac:dyDescent="0.3">
      <c r="A58">
        <v>57</v>
      </c>
      <c r="B58" t="s">
        <v>448</v>
      </c>
      <c r="C58" s="18">
        <v>18.600000000000001</v>
      </c>
      <c r="D58">
        <v>2</v>
      </c>
      <c r="E58" s="18">
        <v>11.3</v>
      </c>
      <c r="F58" s="2">
        <v>0.24861111111111112</v>
      </c>
      <c r="G58">
        <v>125</v>
      </c>
    </row>
    <row r="59" spans="1:7" x14ac:dyDescent="0.3">
      <c r="A59">
        <v>58</v>
      </c>
      <c r="B59" t="s">
        <v>95</v>
      </c>
      <c r="C59" s="18">
        <v>15.6</v>
      </c>
      <c r="D59">
        <v>1</v>
      </c>
      <c r="E59" s="18">
        <v>15.6</v>
      </c>
      <c r="F59" s="2">
        <v>0.37569444444444444</v>
      </c>
      <c r="G59">
        <v>776</v>
      </c>
    </row>
    <row r="60" spans="1:7" x14ac:dyDescent="0.3">
      <c r="A60">
        <v>59</v>
      </c>
      <c r="B60" t="s">
        <v>185</v>
      </c>
      <c r="C60" s="18">
        <v>15.5</v>
      </c>
      <c r="D60">
        <v>1</v>
      </c>
      <c r="E60" s="18">
        <v>15.5</v>
      </c>
      <c r="F60" s="2">
        <v>0.2388888888888889</v>
      </c>
      <c r="G60">
        <v>43</v>
      </c>
    </row>
    <row r="61" spans="1:7" x14ac:dyDescent="0.3">
      <c r="A61">
        <v>60</v>
      </c>
      <c r="B61" t="s">
        <v>124</v>
      </c>
      <c r="C61" s="18">
        <v>15.2</v>
      </c>
      <c r="D61">
        <v>1</v>
      </c>
      <c r="E61" s="18">
        <v>15.2</v>
      </c>
      <c r="F61" s="2">
        <v>0.30833333333333335</v>
      </c>
      <c r="G61">
        <v>28</v>
      </c>
    </row>
    <row r="62" spans="1:7" x14ac:dyDescent="0.3">
      <c r="A62">
        <v>61</v>
      </c>
      <c r="B62" t="s">
        <v>135</v>
      </c>
      <c r="C62" s="18">
        <v>15.1</v>
      </c>
      <c r="D62">
        <v>1</v>
      </c>
      <c r="E62" s="18">
        <v>15.1</v>
      </c>
      <c r="F62" s="2">
        <v>0.31319444444444444</v>
      </c>
      <c r="G62">
        <v>32</v>
      </c>
    </row>
    <row r="63" spans="1:7" x14ac:dyDescent="0.3">
      <c r="A63">
        <v>62</v>
      </c>
      <c r="B63" t="s">
        <v>98</v>
      </c>
      <c r="C63" s="18">
        <v>14.8</v>
      </c>
      <c r="D63">
        <v>1</v>
      </c>
      <c r="E63" s="18">
        <v>14.8</v>
      </c>
      <c r="F63" s="2">
        <v>0.22777777777777777</v>
      </c>
      <c r="G63">
        <v>252</v>
      </c>
    </row>
    <row r="64" spans="1:7" x14ac:dyDescent="0.3">
      <c r="A64">
        <v>63</v>
      </c>
      <c r="B64" t="s">
        <v>464</v>
      </c>
      <c r="C64" s="18">
        <v>14.6</v>
      </c>
      <c r="D64">
        <v>3</v>
      </c>
      <c r="E64" s="18">
        <v>7.4</v>
      </c>
      <c r="F64" s="2">
        <v>0.29930555555555555</v>
      </c>
      <c r="G64">
        <v>207</v>
      </c>
    </row>
    <row r="65" spans="1:7" x14ac:dyDescent="0.3">
      <c r="A65">
        <v>64</v>
      </c>
      <c r="B65" t="s">
        <v>183</v>
      </c>
      <c r="C65" s="18">
        <v>14.4</v>
      </c>
      <c r="D65">
        <v>1</v>
      </c>
      <c r="E65" s="18">
        <v>14.4</v>
      </c>
      <c r="F65" s="2">
        <v>0.39444444444444443</v>
      </c>
      <c r="G65">
        <v>447</v>
      </c>
    </row>
    <row r="66" spans="1:7" x14ac:dyDescent="0.3">
      <c r="A66">
        <v>65</v>
      </c>
      <c r="B66" t="s">
        <v>128</v>
      </c>
      <c r="C66" s="18">
        <v>14</v>
      </c>
      <c r="D66">
        <v>2</v>
      </c>
      <c r="E66" s="18">
        <v>7.7</v>
      </c>
      <c r="F66" s="2">
        <v>0.24861111111111112</v>
      </c>
      <c r="G66">
        <v>122</v>
      </c>
    </row>
    <row r="67" spans="1:7" x14ac:dyDescent="0.3">
      <c r="A67">
        <v>66</v>
      </c>
      <c r="B67" t="s">
        <v>101</v>
      </c>
      <c r="C67" s="18">
        <v>11</v>
      </c>
      <c r="D67">
        <v>1</v>
      </c>
      <c r="E67" s="18">
        <v>11</v>
      </c>
      <c r="F67" s="2">
        <v>0.31597222222222221</v>
      </c>
      <c r="G67">
        <v>21</v>
      </c>
    </row>
    <row r="68" spans="1:7" x14ac:dyDescent="0.3">
      <c r="A68">
        <v>67</v>
      </c>
      <c r="B68" t="s">
        <v>465</v>
      </c>
      <c r="C68" s="18">
        <v>11</v>
      </c>
      <c r="D68">
        <v>2</v>
      </c>
      <c r="E68" s="18">
        <v>6</v>
      </c>
      <c r="F68" s="2">
        <v>0.28055555555555556</v>
      </c>
      <c r="G68">
        <v>68</v>
      </c>
    </row>
    <row r="69" spans="1:7" x14ac:dyDescent="0.3">
      <c r="A69">
        <v>68</v>
      </c>
      <c r="B69" t="s">
        <v>186</v>
      </c>
      <c r="C69" s="18">
        <v>10.199999999999999</v>
      </c>
      <c r="D69">
        <v>1</v>
      </c>
      <c r="E69" s="18">
        <v>10.199999999999999</v>
      </c>
      <c r="F69" s="2">
        <v>0.30138888888888887</v>
      </c>
      <c r="G69">
        <v>219</v>
      </c>
    </row>
    <row r="70" spans="1:7" x14ac:dyDescent="0.3">
      <c r="A70">
        <v>69</v>
      </c>
      <c r="B70" t="s">
        <v>133</v>
      </c>
      <c r="C70" s="18">
        <v>10.1</v>
      </c>
      <c r="D70">
        <v>2</v>
      </c>
      <c r="E70" s="18">
        <v>6</v>
      </c>
      <c r="F70" s="2">
        <v>0.21041666666666667</v>
      </c>
      <c r="G70">
        <v>44</v>
      </c>
    </row>
    <row r="71" spans="1:7" x14ac:dyDescent="0.3">
      <c r="A71">
        <v>70</v>
      </c>
      <c r="B71" t="s">
        <v>191</v>
      </c>
      <c r="C71" s="18">
        <v>9</v>
      </c>
      <c r="D71">
        <v>2</v>
      </c>
      <c r="E71" s="18">
        <v>4.5</v>
      </c>
      <c r="F71" s="2">
        <v>0.49861111111111112</v>
      </c>
      <c r="G71">
        <v>52</v>
      </c>
    </row>
    <row r="72" spans="1:7" x14ac:dyDescent="0.3">
      <c r="A72">
        <v>71</v>
      </c>
      <c r="B72" t="s">
        <v>189</v>
      </c>
      <c r="C72" s="18">
        <v>9</v>
      </c>
      <c r="D72">
        <v>1</v>
      </c>
      <c r="E72" s="18">
        <v>9</v>
      </c>
      <c r="F72" s="2">
        <v>0.30902777777777779</v>
      </c>
      <c r="G72">
        <v>145</v>
      </c>
    </row>
    <row r="73" spans="1:7" x14ac:dyDescent="0.3">
      <c r="A73">
        <v>72</v>
      </c>
      <c r="B73" t="s">
        <v>146</v>
      </c>
      <c r="C73" s="18">
        <v>8</v>
      </c>
      <c r="D73">
        <v>1</v>
      </c>
      <c r="E73" s="18">
        <v>8</v>
      </c>
      <c r="F73" s="2">
        <v>0.23680555555555555</v>
      </c>
      <c r="G73">
        <v>18</v>
      </c>
    </row>
    <row r="74" spans="1:7" x14ac:dyDescent="0.3">
      <c r="A74">
        <v>73</v>
      </c>
      <c r="B74" t="s">
        <v>131</v>
      </c>
      <c r="C74" s="18">
        <v>5</v>
      </c>
      <c r="D74">
        <v>1</v>
      </c>
      <c r="E74" s="18">
        <v>5</v>
      </c>
      <c r="F74" s="2">
        <v>0.30833333333333335</v>
      </c>
      <c r="G74">
        <v>10</v>
      </c>
    </row>
    <row r="75" spans="1:7" x14ac:dyDescent="0.3">
      <c r="A75">
        <v>74</v>
      </c>
      <c r="B75" t="s">
        <v>466</v>
      </c>
      <c r="C75" s="18">
        <v>1.2</v>
      </c>
      <c r="D75">
        <v>1</v>
      </c>
      <c r="E75" s="18">
        <v>1.2</v>
      </c>
      <c r="F75" s="2">
        <v>0.3576388888888889</v>
      </c>
      <c r="G75" t="s">
        <v>3</v>
      </c>
    </row>
  </sheetData>
  <autoFilter ref="A1:I75" xr:uid="{D7DE90D2-E864-4B93-AD52-54E442BD8DD9}"/>
  <pageMargins left="0.7" right="0.7" top="0.75" bottom="0.75" header="0.3" footer="0.3"/>
  <headerFooter>
    <oddFooter>&amp;C_x000D_&amp;1#&amp;"Calibri"&amp;8&amp;K000000 Public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2D75F-3193-4D71-909C-FE772B609BB3}">
  <dimension ref="A1:H77"/>
  <sheetViews>
    <sheetView workbookViewId="0">
      <selection activeCell="A2" sqref="A2:G2"/>
    </sheetView>
  </sheetViews>
  <sheetFormatPr defaultRowHeight="14.4" x14ac:dyDescent="0.3"/>
  <cols>
    <col min="2" max="2" width="8.88671875" customWidth="1"/>
  </cols>
  <sheetData>
    <row r="1" spans="1:8" x14ac:dyDescent="0.3">
      <c r="A1" s="1" t="s">
        <v>0</v>
      </c>
      <c r="B1" s="1" t="s">
        <v>1</v>
      </c>
      <c r="C1" s="1" t="s">
        <v>82</v>
      </c>
      <c r="D1" s="1" t="s">
        <v>2</v>
      </c>
      <c r="E1" s="1" t="s">
        <v>83</v>
      </c>
      <c r="F1" s="1" t="s">
        <v>84</v>
      </c>
      <c r="G1" s="1" t="s">
        <v>85</v>
      </c>
    </row>
    <row r="2" spans="1:8" x14ac:dyDescent="0.3">
      <c r="A2">
        <v>1</v>
      </c>
      <c r="B2" t="s">
        <v>4</v>
      </c>
      <c r="C2" s="18">
        <v>108</v>
      </c>
      <c r="D2" s="3">
        <v>8</v>
      </c>
      <c r="E2" s="18">
        <v>23.3</v>
      </c>
      <c r="F2" s="2">
        <v>0.24583333333333332</v>
      </c>
      <c r="G2" s="3">
        <v>1838</v>
      </c>
      <c r="H2" t="str">
        <f>VLOOKUP(B2,TOTAL!$B$3:$B$104,1,0)</f>
        <v>Sérgio Miguel Sérgio Miguel</v>
      </c>
    </row>
    <row r="3" spans="1:8" x14ac:dyDescent="0.3">
      <c r="A3">
        <v>2</v>
      </c>
      <c r="B3" t="s">
        <v>13</v>
      </c>
      <c r="C3" s="18">
        <v>98.2</v>
      </c>
      <c r="D3" s="3">
        <v>8</v>
      </c>
      <c r="E3" s="18">
        <v>23</v>
      </c>
      <c r="F3" s="2">
        <v>0.25069444444444444</v>
      </c>
      <c r="G3" s="3">
        <v>2515</v>
      </c>
      <c r="H3" t="str">
        <f>VLOOKUP(B3,TOTAL!$B$3:$B$104,1,0)</f>
        <v>Sara Pedrosa Sara Pedrosa</v>
      </c>
    </row>
    <row r="4" spans="1:8" x14ac:dyDescent="0.3">
      <c r="A4">
        <v>3</v>
      </c>
      <c r="B4" t="s">
        <v>34</v>
      </c>
      <c r="C4" s="18">
        <v>70.400000000000006</v>
      </c>
      <c r="D4" s="3">
        <v>5</v>
      </c>
      <c r="E4" s="18">
        <v>21.6</v>
      </c>
      <c r="F4" s="2">
        <v>0.30694444444444446</v>
      </c>
      <c r="G4" s="3">
        <v>2440</v>
      </c>
      <c r="H4" t="str">
        <f>VLOOKUP(B4,TOTAL!$B$3:$B$104,1,0)</f>
        <v>Marina Marques Marina Marques</v>
      </c>
    </row>
    <row r="5" spans="1:8" x14ac:dyDescent="0.3">
      <c r="A5">
        <v>4</v>
      </c>
      <c r="B5" t="s">
        <v>10</v>
      </c>
      <c r="C5" s="18">
        <v>67.400000000000006</v>
      </c>
      <c r="D5" s="3">
        <v>6</v>
      </c>
      <c r="E5" s="18">
        <v>23</v>
      </c>
      <c r="F5" s="2">
        <v>0.21736111111111112</v>
      </c>
      <c r="G5" s="3">
        <v>330</v>
      </c>
      <c r="H5" t="str">
        <f>VLOOKUP(B5,TOTAL!$B$3:$B$104,1,0)</f>
        <v>João Veiga João Veiga</v>
      </c>
    </row>
    <row r="6" spans="1:8" x14ac:dyDescent="0.3">
      <c r="A6">
        <v>5</v>
      </c>
      <c r="B6" t="s">
        <v>6</v>
      </c>
      <c r="C6" s="18">
        <v>65.900000000000006</v>
      </c>
      <c r="D6" s="3">
        <v>5</v>
      </c>
      <c r="E6" s="18">
        <v>18.3</v>
      </c>
      <c r="F6" s="2">
        <v>0.35</v>
      </c>
      <c r="G6" s="3">
        <v>2931</v>
      </c>
      <c r="H6" t="str">
        <f>VLOOKUP(B6,TOTAL!$B$3:$B$104,1,0)</f>
        <v>Carmen Ferreira Carmen Ferreira</v>
      </c>
    </row>
    <row r="7" spans="1:8" x14ac:dyDescent="0.3">
      <c r="A7">
        <v>6</v>
      </c>
      <c r="B7" t="s">
        <v>20</v>
      </c>
      <c r="C7" s="18">
        <v>55.4</v>
      </c>
      <c r="D7" s="3">
        <v>4</v>
      </c>
      <c r="E7" s="18">
        <v>21.2</v>
      </c>
      <c r="F7" s="2">
        <v>0.2361111111111111</v>
      </c>
      <c r="G7" s="3">
        <v>707</v>
      </c>
      <c r="H7" t="str">
        <f>VLOOKUP(B7,TOTAL!$B$3:$B$104,1,0)</f>
        <v>Inês Sepúlveda Inês Sepúlveda</v>
      </c>
    </row>
    <row r="8" spans="1:8" x14ac:dyDescent="0.3">
      <c r="A8">
        <v>7</v>
      </c>
      <c r="B8" t="s">
        <v>53</v>
      </c>
      <c r="C8" s="18">
        <v>55.3</v>
      </c>
      <c r="D8" s="3">
        <v>3</v>
      </c>
      <c r="E8" s="18">
        <v>33</v>
      </c>
      <c r="F8" s="2">
        <v>0.21319444444444444</v>
      </c>
      <c r="G8" s="3">
        <v>414</v>
      </c>
      <c r="H8" t="str">
        <f>VLOOKUP(B8,TOTAL!$B$3:$B$104,1,0)</f>
        <v>Emanuel Silva Emanuel Silva</v>
      </c>
    </row>
    <row r="9" spans="1:8" x14ac:dyDescent="0.3">
      <c r="A9">
        <v>8</v>
      </c>
      <c r="B9" t="s">
        <v>9</v>
      </c>
      <c r="C9" s="18">
        <v>55.2</v>
      </c>
      <c r="D9" s="3">
        <v>4</v>
      </c>
      <c r="E9" s="18">
        <v>22</v>
      </c>
      <c r="F9" s="2">
        <v>0.26250000000000001</v>
      </c>
      <c r="G9" s="3">
        <v>720</v>
      </c>
      <c r="H9" t="str">
        <f>VLOOKUP(B9,TOTAL!$B$3:$B$104,1,0)</f>
        <v>Carlos Vaz Vignolo Carlos Vaz Vignolo</v>
      </c>
    </row>
    <row r="10" spans="1:8" x14ac:dyDescent="0.3">
      <c r="A10">
        <v>9</v>
      </c>
      <c r="B10" t="s">
        <v>11</v>
      </c>
      <c r="C10" s="18">
        <v>53.9</v>
      </c>
      <c r="D10" s="3">
        <v>4</v>
      </c>
      <c r="E10" s="18">
        <v>16</v>
      </c>
      <c r="F10" s="2">
        <v>0.21527777777777779</v>
      </c>
      <c r="G10" s="3">
        <v>358</v>
      </c>
      <c r="H10" t="str">
        <f>VLOOKUP(B10,TOTAL!$B$3:$B$104,1,0)</f>
        <v>Luís Carvalho Luís Carvalho</v>
      </c>
    </row>
    <row r="11" spans="1:8" x14ac:dyDescent="0.3">
      <c r="A11">
        <v>10</v>
      </c>
      <c r="B11" t="s">
        <v>60</v>
      </c>
      <c r="C11" s="18">
        <v>51.4</v>
      </c>
      <c r="D11" s="3">
        <v>5</v>
      </c>
      <c r="E11" s="18">
        <v>21.2</v>
      </c>
      <c r="F11" s="2">
        <v>0.26041666666666669</v>
      </c>
      <c r="G11" s="3">
        <v>128</v>
      </c>
      <c r="H11" t="str">
        <f>VLOOKUP(B11,TOTAL!$B$3:$B$104,1,0)</f>
        <v>Jose Magalhaes Jose Magalhaes</v>
      </c>
    </row>
    <row r="12" spans="1:8" x14ac:dyDescent="0.3">
      <c r="A12">
        <v>11</v>
      </c>
      <c r="B12" t="s">
        <v>24</v>
      </c>
      <c r="C12" s="18">
        <v>49.9</v>
      </c>
      <c r="D12" s="3">
        <v>9</v>
      </c>
      <c r="E12" s="18">
        <v>17</v>
      </c>
      <c r="F12" s="2">
        <v>0.30972222222222223</v>
      </c>
      <c r="G12" s="3">
        <v>1325</v>
      </c>
      <c r="H12" t="str">
        <f>VLOOKUP(B12,TOTAL!$B$3:$B$104,1,0)</f>
        <v>João Antunes ???? João Antunes ????</v>
      </c>
    </row>
    <row r="13" spans="1:8" x14ac:dyDescent="0.3">
      <c r="A13">
        <v>12</v>
      </c>
      <c r="B13" t="s">
        <v>14</v>
      </c>
      <c r="C13" s="18">
        <v>49</v>
      </c>
      <c r="D13" s="3">
        <v>4</v>
      </c>
      <c r="E13" s="18">
        <v>18</v>
      </c>
      <c r="F13" s="2">
        <v>0.23194444444444445</v>
      </c>
      <c r="G13" s="3">
        <v>350</v>
      </c>
      <c r="H13" t="str">
        <f>VLOOKUP(B13,TOTAL!$B$3:$B$104,1,0)</f>
        <v>Alexandre Jorge Alexandre Jorge</v>
      </c>
    </row>
    <row r="14" spans="1:8" x14ac:dyDescent="0.3">
      <c r="A14">
        <v>13</v>
      </c>
      <c r="B14" t="s">
        <v>42</v>
      </c>
      <c r="C14" s="18">
        <v>48.2</v>
      </c>
      <c r="D14" s="3">
        <v>5</v>
      </c>
      <c r="E14" s="18">
        <v>21.2</v>
      </c>
      <c r="F14" s="2">
        <v>0.23402777777777778</v>
      </c>
      <c r="G14" s="3">
        <v>124</v>
      </c>
      <c r="H14" t="str">
        <f>VLOOKUP(B14,TOTAL!$B$3:$B$104,1,0)</f>
        <v>Vitor Pires Vitor Pires</v>
      </c>
    </row>
    <row r="15" spans="1:8" x14ac:dyDescent="0.3">
      <c r="A15">
        <v>14</v>
      </c>
      <c r="B15" t="s">
        <v>51</v>
      </c>
      <c r="C15" s="18">
        <v>46.6</v>
      </c>
      <c r="D15" s="3">
        <v>4</v>
      </c>
      <c r="E15" s="18">
        <v>21.4</v>
      </c>
      <c r="F15" s="2">
        <v>0.25624999999999998</v>
      </c>
      <c r="G15" s="3">
        <v>72</v>
      </c>
      <c r="H15" t="str">
        <f>VLOOKUP(B15,TOTAL!$B$3:$B$104,1,0)</f>
        <v>Ana Rute Matos Ana Rute Matos</v>
      </c>
    </row>
    <row r="16" spans="1:8" x14ac:dyDescent="0.3">
      <c r="A16">
        <v>15</v>
      </c>
      <c r="B16" t="s">
        <v>32</v>
      </c>
      <c r="C16" s="18">
        <v>46.3</v>
      </c>
      <c r="D16" s="3">
        <v>4</v>
      </c>
      <c r="E16" s="18">
        <v>18.2</v>
      </c>
      <c r="F16" s="2">
        <v>0.32708333333333334</v>
      </c>
      <c r="G16" s="3">
        <v>1330</v>
      </c>
      <c r="H16" t="str">
        <f>VLOOKUP(B16,TOTAL!$B$3:$B$104,1,0)</f>
        <v>Rita Vicente Rita Vicente</v>
      </c>
    </row>
    <row r="17" spans="1:8" x14ac:dyDescent="0.3">
      <c r="A17">
        <v>16</v>
      </c>
      <c r="B17" t="s">
        <v>54</v>
      </c>
      <c r="C17" s="18">
        <v>45.9</v>
      </c>
      <c r="D17" s="3">
        <v>4</v>
      </c>
      <c r="E17" s="18">
        <v>21.1</v>
      </c>
      <c r="F17" s="2">
        <v>0.28055555555555556</v>
      </c>
      <c r="G17" s="3">
        <v>764</v>
      </c>
      <c r="H17" t="str">
        <f>VLOOKUP(B17,TOTAL!$B$3:$B$104,1,0)</f>
        <v>António  Rego ???????? António Rego ????????</v>
      </c>
    </row>
    <row r="18" spans="1:8" x14ac:dyDescent="0.3">
      <c r="A18">
        <v>17</v>
      </c>
      <c r="B18" t="s">
        <v>5</v>
      </c>
      <c r="C18" s="18">
        <v>44.5</v>
      </c>
      <c r="D18" s="3">
        <v>2</v>
      </c>
      <c r="E18" s="18">
        <v>34.4</v>
      </c>
      <c r="F18" s="2">
        <v>0.3347222222222222</v>
      </c>
      <c r="G18" s="3">
        <v>799</v>
      </c>
      <c r="H18" t="str">
        <f>VLOOKUP(B18,TOTAL!$B$3:$B$104,1,0)</f>
        <v>João Abreu João Abreu</v>
      </c>
    </row>
    <row r="19" spans="1:8" x14ac:dyDescent="0.3">
      <c r="A19">
        <v>18</v>
      </c>
      <c r="B19" t="s">
        <v>47</v>
      </c>
      <c r="C19" s="18">
        <v>43.4</v>
      </c>
      <c r="D19" s="3">
        <v>16</v>
      </c>
      <c r="E19" s="18">
        <v>10.4</v>
      </c>
      <c r="F19" s="2">
        <v>0.62361111111111112</v>
      </c>
      <c r="G19" s="3">
        <v>104</v>
      </c>
      <c r="H19" t="str">
        <f>VLOOKUP(B19,TOTAL!$B$3:$B$104,1,0)</f>
        <v>Cesar Moreira Cesar Moreira</v>
      </c>
    </row>
    <row r="20" spans="1:8" x14ac:dyDescent="0.3">
      <c r="A20">
        <v>19</v>
      </c>
      <c r="B20" t="s">
        <v>52</v>
      </c>
      <c r="C20" s="18">
        <v>43.2</v>
      </c>
      <c r="D20" s="3">
        <v>5</v>
      </c>
      <c r="E20" s="18">
        <v>21.2</v>
      </c>
      <c r="F20" s="2">
        <v>0.2361111111111111</v>
      </c>
      <c r="G20" s="3">
        <v>172</v>
      </c>
      <c r="H20" t="str">
        <f>VLOOKUP(B20,TOTAL!$B$3:$B$104,1,0)</f>
        <v>Fernando Rosete  Fernando Rosete</v>
      </c>
    </row>
    <row r="21" spans="1:8" x14ac:dyDescent="0.3">
      <c r="A21">
        <v>20</v>
      </c>
      <c r="B21" t="s">
        <v>65</v>
      </c>
      <c r="C21" s="18">
        <v>43</v>
      </c>
      <c r="D21" s="3">
        <v>4</v>
      </c>
      <c r="E21" s="18">
        <v>21.1</v>
      </c>
      <c r="F21" s="2">
        <v>0.23680555555555555</v>
      </c>
      <c r="G21" s="3">
        <v>234</v>
      </c>
      <c r="H21" t="str">
        <f>VLOOKUP(B21,TOTAL!$B$3:$B$104,1,0)</f>
        <v>Fernando Carvalhão ?? Fernando Carvalhão ??</v>
      </c>
    </row>
    <row r="22" spans="1:8" x14ac:dyDescent="0.3">
      <c r="A22">
        <v>21</v>
      </c>
      <c r="B22" t="s">
        <v>8</v>
      </c>
      <c r="C22" s="18">
        <v>40.1</v>
      </c>
      <c r="D22" s="3">
        <v>3</v>
      </c>
      <c r="E22" s="18">
        <v>18</v>
      </c>
      <c r="F22" s="2">
        <v>0.18680555555555556</v>
      </c>
      <c r="G22" s="3">
        <v>176</v>
      </c>
      <c r="H22" t="str">
        <f>VLOOKUP(B22,TOTAL!$B$3:$B$104,1,0)</f>
        <v>Miguel Amaral Miguel Amaral</v>
      </c>
    </row>
    <row r="23" spans="1:8" x14ac:dyDescent="0.3">
      <c r="A23">
        <v>22</v>
      </c>
      <c r="B23" t="s">
        <v>22</v>
      </c>
      <c r="C23" s="18">
        <v>36.1</v>
      </c>
      <c r="D23" s="3">
        <v>3</v>
      </c>
      <c r="E23" s="18">
        <v>21.2</v>
      </c>
      <c r="F23" s="2">
        <v>0.24097222222222223</v>
      </c>
      <c r="G23" s="3">
        <v>253</v>
      </c>
      <c r="H23" t="str">
        <f>VLOOKUP(B23,TOTAL!$B$3:$B$104,1,0)</f>
        <v>Miguel Dias Miguel Dias</v>
      </c>
    </row>
    <row r="24" spans="1:8" x14ac:dyDescent="0.3">
      <c r="A24">
        <v>23</v>
      </c>
      <c r="B24" t="s">
        <v>46</v>
      </c>
      <c r="C24" s="18">
        <v>35.4</v>
      </c>
      <c r="D24" s="3">
        <v>2</v>
      </c>
      <c r="E24" s="18">
        <v>18.100000000000001</v>
      </c>
      <c r="F24" s="2">
        <v>0.4909722222222222</v>
      </c>
      <c r="G24" s="3">
        <v>2059</v>
      </c>
      <c r="H24" t="str">
        <f>VLOOKUP(B24,TOTAL!$B$3:$B$104,1,0)</f>
        <v>Sandra Oliveira Sandra Oliveira</v>
      </c>
    </row>
    <row r="25" spans="1:8" x14ac:dyDescent="0.3">
      <c r="A25">
        <v>24</v>
      </c>
      <c r="B25" t="s">
        <v>23</v>
      </c>
      <c r="C25" s="18">
        <v>35.200000000000003</v>
      </c>
      <c r="D25" s="3">
        <v>3</v>
      </c>
      <c r="E25" s="18">
        <v>13</v>
      </c>
      <c r="F25" s="2">
        <v>0.29166666666666669</v>
      </c>
      <c r="G25" s="3">
        <v>711</v>
      </c>
      <c r="H25" t="str">
        <f>VLOOKUP(B25,TOTAL!$B$3:$B$104,1,0)</f>
        <v>Teodoro Trindade Teodoro Trindade</v>
      </c>
    </row>
    <row r="26" spans="1:8" x14ac:dyDescent="0.3">
      <c r="A26">
        <v>25</v>
      </c>
      <c r="B26" t="s">
        <v>27</v>
      </c>
      <c r="C26" s="18">
        <v>34.5</v>
      </c>
      <c r="D26" s="3">
        <v>4</v>
      </c>
      <c r="E26" s="18">
        <v>11.2</v>
      </c>
      <c r="F26" s="2">
        <v>0.33819444444444446</v>
      </c>
      <c r="G26" s="3">
        <v>860</v>
      </c>
      <c r="H26" t="str">
        <f>VLOOKUP(B26,TOTAL!$B$3:$B$104,1,0)</f>
        <v>Ana Chocalheiro Ana Chocalheiro</v>
      </c>
    </row>
    <row r="27" spans="1:8" x14ac:dyDescent="0.3">
      <c r="A27">
        <v>26</v>
      </c>
      <c r="B27" t="s">
        <v>31</v>
      </c>
      <c r="C27" s="18">
        <v>34.4</v>
      </c>
      <c r="D27" s="3">
        <v>3</v>
      </c>
      <c r="E27" s="18">
        <v>21.2</v>
      </c>
      <c r="F27" s="2">
        <v>0.22152777777777777</v>
      </c>
      <c r="G27" s="3">
        <v>147</v>
      </c>
      <c r="H27" t="str">
        <f>VLOOKUP(B27,TOTAL!$B$3:$B$104,1,0)</f>
        <v>Paulo Machado Paulo Machado</v>
      </c>
    </row>
    <row r="28" spans="1:8" x14ac:dyDescent="0.3">
      <c r="A28">
        <v>27</v>
      </c>
      <c r="B28" t="s">
        <v>15</v>
      </c>
      <c r="C28" s="18">
        <v>31.5</v>
      </c>
      <c r="D28" s="3">
        <v>3</v>
      </c>
      <c r="E28" s="18">
        <v>13</v>
      </c>
      <c r="F28" s="2">
        <v>0.24583333333333332</v>
      </c>
      <c r="G28" s="3">
        <v>204</v>
      </c>
      <c r="H28" t="str">
        <f>VLOOKUP(B28,TOTAL!$B$3:$B$104,1,0)</f>
        <v>Sandra Romano Sandra Romano</v>
      </c>
    </row>
    <row r="29" spans="1:8" x14ac:dyDescent="0.3">
      <c r="A29">
        <v>28</v>
      </c>
      <c r="B29" t="s">
        <v>26</v>
      </c>
      <c r="C29" s="18">
        <v>31.1</v>
      </c>
      <c r="D29" s="3">
        <v>2</v>
      </c>
      <c r="E29" s="18">
        <v>21</v>
      </c>
      <c r="F29" s="2">
        <v>0.23055555555555557</v>
      </c>
      <c r="G29" s="3">
        <v>33</v>
      </c>
      <c r="H29" t="str">
        <f>VLOOKUP(B29,TOTAL!$B$3:$B$104,1,0)</f>
        <v>Jorge Paulo Jorge Paulo</v>
      </c>
    </row>
    <row r="30" spans="1:8" x14ac:dyDescent="0.3">
      <c r="A30">
        <v>29</v>
      </c>
      <c r="B30" t="s">
        <v>33</v>
      </c>
      <c r="C30" s="18">
        <v>30.5</v>
      </c>
      <c r="D30" s="3">
        <v>6</v>
      </c>
      <c r="E30" s="18">
        <v>10.5</v>
      </c>
      <c r="F30" s="2">
        <v>0.31458333333333333</v>
      </c>
      <c r="G30" s="3">
        <v>150</v>
      </c>
      <c r="H30" t="str">
        <f>VLOOKUP(B30,TOTAL!$B$3:$B$104,1,0)</f>
        <v>Jose Matos Jose Matos</v>
      </c>
    </row>
    <row r="31" spans="1:8" x14ac:dyDescent="0.3">
      <c r="A31">
        <v>30</v>
      </c>
      <c r="B31" t="s">
        <v>7</v>
      </c>
      <c r="C31" s="18">
        <v>29.3</v>
      </c>
      <c r="D31" s="3">
        <v>1</v>
      </c>
      <c r="E31" s="18">
        <v>29.3</v>
      </c>
      <c r="F31" s="2">
        <v>0.33402777777777776</v>
      </c>
      <c r="G31" s="3">
        <v>1511</v>
      </c>
      <c r="H31" t="str">
        <f>VLOOKUP(B31,TOTAL!$B$3:$B$104,1,0)</f>
        <v>José Manso José Manso</v>
      </c>
    </row>
    <row r="32" spans="1:8" x14ac:dyDescent="0.3">
      <c r="A32">
        <v>31</v>
      </c>
      <c r="B32" t="s">
        <v>69</v>
      </c>
      <c r="C32" s="18">
        <v>28.9</v>
      </c>
      <c r="D32" s="3">
        <v>4</v>
      </c>
      <c r="E32" s="18">
        <v>16.8</v>
      </c>
      <c r="F32" s="2">
        <v>0.34236111111111112</v>
      </c>
      <c r="G32" s="3">
        <v>1200</v>
      </c>
      <c r="H32" t="str">
        <f>VLOOKUP(B32,TOTAL!$B$3:$B$104,1,0)</f>
        <v>Rafaela Dinis Rafaela Dinis</v>
      </c>
    </row>
    <row r="33" spans="1:8" x14ac:dyDescent="0.3">
      <c r="A33">
        <v>32</v>
      </c>
      <c r="B33" t="s">
        <v>39</v>
      </c>
      <c r="C33" s="18">
        <v>28.4</v>
      </c>
      <c r="D33" s="3">
        <v>3</v>
      </c>
      <c r="E33" s="18">
        <v>12.2</v>
      </c>
      <c r="F33" s="2">
        <v>0.27986111111111112</v>
      </c>
      <c r="G33" s="3">
        <v>272</v>
      </c>
      <c r="H33" t="str">
        <f>VLOOKUP(B33,TOTAL!$B$3:$B$104,1,0)</f>
        <v>Paulo Raposo Paulo Raposo</v>
      </c>
    </row>
    <row r="34" spans="1:8" x14ac:dyDescent="0.3">
      <c r="A34">
        <v>33</v>
      </c>
      <c r="B34" t="s">
        <v>56</v>
      </c>
      <c r="C34" s="18">
        <v>24.7</v>
      </c>
      <c r="D34" s="3">
        <v>2</v>
      </c>
      <c r="E34" s="18">
        <v>13.5</v>
      </c>
      <c r="F34" s="2">
        <v>0.28263888888888888</v>
      </c>
      <c r="G34" s="3">
        <v>772</v>
      </c>
      <c r="H34" t="str">
        <f>VLOOKUP(B34,TOTAL!$B$3:$B$104,1,0)</f>
        <v>Pedro  Ribeiro Pedro Ribeiro</v>
      </c>
    </row>
    <row r="35" spans="1:8" x14ac:dyDescent="0.3">
      <c r="A35">
        <v>34</v>
      </c>
      <c r="B35" t="s">
        <v>30</v>
      </c>
      <c r="C35" s="18">
        <v>24.1</v>
      </c>
      <c r="D35" s="3">
        <v>6</v>
      </c>
      <c r="E35" s="18">
        <v>13.2</v>
      </c>
      <c r="F35" s="2">
        <v>0.33541666666666664</v>
      </c>
      <c r="G35" s="3">
        <v>909</v>
      </c>
      <c r="H35" t="str">
        <f>VLOOKUP(B35,TOTAL!$B$3:$B$104,1,0)</f>
        <v>António Carlos Teixeira Duarte António Carlos Teixeira Duarte</v>
      </c>
    </row>
    <row r="36" spans="1:8" x14ac:dyDescent="0.3">
      <c r="A36">
        <v>35</v>
      </c>
      <c r="B36" t="s">
        <v>18</v>
      </c>
      <c r="C36" s="18">
        <v>23.7</v>
      </c>
      <c r="D36" s="3">
        <v>1</v>
      </c>
      <c r="E36" s="18">
        <v>23.7</v>
      </c>
      <c r="F36" s="2">
        <v>0.3576388888888889</v>
      </c>
      <c r="G36" s="3">
        <v>1052</v>
      </c>
      <c r="H36" t="str">
        <f>VLOOKUP(B36,TOTAL!$B$3:$B$104,1,0)</f>
        <v>Pedro Esteves Pedro Esteves</v>
      </c>
    </row>
    <row r="37" spans="1:8" x14ac:dyDescent="0.3">
      <c r="A37">
        <v>36</v>
      </c>
      <c r="B37" t="s">
        <v>76</v>
      </c>
      <c r="C37" s="18">
        <v>23.6</v>
      </c>
      <c r="D37" s="3">
        <v>3</v>
      </c>
      <c r="E37" s="18">
        <v>9.6</v>
      </c>
      <c r="F37" s="2">
        <v>0.28194444444444444</v>
      </c>
      <c r="G37" s="3">
        <v>310</v>
      </c>
      <c r="H37" t="str">
        <f>VLOOKUP(B37,TOTAL!$B$3:$B$104,1,0)</f>
        <v>Nuno Alves Nuno Alves</v>
      </c>
    </row>
    <row r="38" spans="1:8" x14ac:dyDescent="0.3">
      <c r="A38">
        <v>37</v>
      </c>
      <c r="B38" t="s">
        <v>21</v>
      </c>
      <c r="C38" s="18">
        <v>23.1</v>
      </c>
      <c r="D38" s="3">
        <v>2</v>
      </c>
      <c r="E38" s="18">
        <v>13</v>
      </c>
      <c r="F38" s="2">
        <v>0.26319444444444445</v>
      </c>
      <c r="G38" s="3">
        <v>54</v>
      </c>
      <c r="H38" t="str">
        <f>VLOOKUP(B38,TOTAL!$B$3:$B$104,1,0)</f>
        <v>Carla Rebelo Carla Rebelo</v>
      </c>
    </row>
    <row r="39" spans="1:8" x14ac:dyDescent="0.3">
      <c r="A39">
        <v>38</v>
      </c>
      <c r="B39" t="s">
        <v>61</v>
      </c>
      <c r="C39" s="18">
        <v>21.7</v>
      </c>
      <c r="D39" s="3">
        <v>2</v>
      </c>
      <c r="E39" s="18">
        <v>11.3</v>
      </c>
      <c r="F39" s="2">
        <v>0.2951388888888889</v>
      </c>
      <c r="G39" s="3">
        <v>270</v>
      </c>
      <c r="H39" t="str">
        <f>VLOOKUP(B39,TOTAL!$B$3:$B$104,1,0)</f>
        <v>Sandra S Sandra S</v>
      </c>
    </row>
    <row r="40" spans="1:8" x14ac:dyDescent="0.3">
      <c r="A40">
        <v>39</v>
      </c>
      <c r="B40" t="s">
        <v>178</v>
      </c>
      <c r="C40" s="18">
        <v>21.6</v>
      </c>
      <c r="D40" s="3">
        <v>2</v>
      </c>
      <c r="E40" s="18">
        <v>11.1</v>
      </c>
      <c r="F40" s="2">
        <v>0.2590277777777778</v>
      </c>
      <c r="G40" s="3">
        <v>137</v>
      </c>
      <c r="H40" t="str">
        <f>VLOOKUP(B40,TOTAL!$B$3:$B$104,1,0)</f>
        <v>Rui Próspero Rui Próspero</v>
      </c>
    </row>
    <row r="41" spans="1:8" x14ac:dyDescent="0.3">
      <c r="A41">
        <v>40</v>
      </c>
      <c r="B41" t="s">
        <v>177</v>
      </c>
      <c r="C41" s="18">
        <v>21.5</v>
      </c>
      <c r="D41" s="3">
        <v>2</v>
      </c>
      <c r="E41" s="18">
        <v>11.2</v>
      </c>
      <c r="F41" s="2">
        <v>0.25833333333333336</v>
      </c>
      <c r="G41" s="3">
        <v>137</v>
      </c>
      <c r="H41" t="str">
        <f>VLOOKUP(B41,TOTAL!$B$3:$B$104,1,0)</f>
        <v>Bruno Pinto Bruno Pinto</v>
      </c>
    </row>
    <row r="42" spans="1:8" x14ac:dyDescent="0.3">
      <c r="A42">
        <v>41</v>
      </c>
      <c r="B42" t="s">
        <v>19</v>
      </c>
      <c r="C42" s="18">
        <v>21.4</v>
      </c>
      <c r="D42" s="3">
        <v>2</v>
      </c>
      <c r="E42" s="18">
        <v>12.3</v>
      </c>
      <c r="F42" s="2">
        <v>0.23125000000000001</v>
      </c>
      <c r="G42" s="3">
        <v>153</v>
      </c>
      <c r="H42" t="str">
        <f>VLOOKUP(B42,TOTAL!$B$3:$B$104,1,0)</f>
        <v>Paulo Dias Paulo Dias</v>
      </c>
    </row>
    <row r="43" spans="1:8" x14ac:dyDescent="0.3">
      <c r="A43">
        <v>42</v>
      </c>
      <c r="B43" t="s">
        <v>179</v>
      </c>
      <c r="C43" s="18">
        <v>21.3</v>
      </c>
      <c r="D43" s="3">
        <v>2</v>
      </c>
      <c r="E43" s="18">
        <v>11.1</v>
      </c>
      <c r="F43" s="2">
        <v>0.28402777777777777</v>
      </c>
      <c r="G43" s="3">
        <v>139</v>
      </c>
      <c r="H43" t="str">
        <f>VLOOKUP(B43,TOTAL!$B$3:$B$104,1,0)</f>
        <v>Pedro Silva Pedro Silva</v>
      </c>
    </row>
    <row r="44" spans="1:8" x14ac:dyDescent="0.3">
      <c r="A44">
        <v>43</v>
      </c>
      <c r="B44" t="s">
        <v>17</v>
      </c>
      <c r="C44" s="18">
        <v>19.399999999999999</v>
      </c>
      <c r="D44" s="3">
        <v>2</v>
      </c>
      <c r="E44" s="18">
        <v>10.1</v>
      </c>
      <c r="F44" s="2">
        <v>0.31805555555555554</v>
      </c>
      <c r="G44" s="3">
        <v>321</v>
      </c>
      <c r="H44" t="str">
        <f>VLOOKUP(B44,TOTAL!$B$3:$B$104,1,0)</f>
        <v>Guida Monteiro Guida Monteiro</v>
      </c>
    </row>
    <row r="45" spans="1:8" x14ac:dyDescent="0.3">
      <c r="A45">
        <v>44</v>
      </c>
      <c r="B45" t="s">
        <v>36</v>
      </c>
      <c r="C45" s="18">
        <v>19</v>
      </c>
      <c r="D45" s="3">
        <v>2</v>
      </c>
      <c r="E45" s="18">
        <v>9.6999999999999993</v>
      </c>
      <c r="F45" s="2">
        <v>0.29791666666666666</v>
      </c>
      <c r="G45" s="3">
        <v>231</v>
      </c>
      <c r="H45" t="str">
        <f>VLOOKUP(B45,TOTAL!$B$3:$B$104,1,0)</f>
        <v>Rute Fernandes Rute Fernandes</v>
      </c>
    </row>
    <row r="46" spans="1:8" x14ac:dyDescent="0.3">
      <c r="A46">
        <v>45</v>
      </c>
      <c r="B46" t="s">
        <v>41</v>
      </c>
      <c r="C46" s="18">
        <v>18.899999999999999</v>
      </c>
      <c r="D46" s="3">
        <v>2</v>
      </c>
      <c r="E46" s="18">
        <v>11.4</v>
      </c>
      <c r="F46" s="2">
        <v>0.3</v>
      </c>
      <c r="G46" s="3">
        <v>95</v>
      </c>
      <c r="H46" t="str">
        <f>VLOOKUP(B46,TOTAL!$B$3:$B$104,1,0)</f>
        <v>Francisco Afonso Francisco Afonso</v>
      </c>
    </row>
    <row r="47" spans="1:8" x14ac:dyDescent="0.3">
      <c r="A47">
        <v>46</v>
      </c>
      <c r="B47" t="s">
        <v>43</v>
      </c>
      <c r="C47" s="18">
        <v>18.8</v>
      </c>
      <c r="D47" s="3">
        <v>2</v>
      </c>
      <c r="E47" s="18">
        <v>11.3</v>
      </c>
      <c r="F47" s="2">
        <v>0.32361111111111113</v>
      </c>
      <c r="G47" s="3">
        <v>88</v>
      </c>
      <c r="H47" t="str">
        <f>VLOOKUP(B47,TOTAL!$B$3:$B$104,1,0)</f>
        <v>Cristina Morgado Cristina Morgado</v>
      </c>
    </row>
    <row r="48" spans="1:8" x14ac:dyDescent="0.3">
      <c r="A48">
        <v>47</v>
      </c>
      <c r="B48" t="s">
        <v>73</v>
      </c>
      <c r="C48" s="18">
        <v>18.100000000000001</v>
      </c>
      <c r="D48" s="3">
        <v>2</v>
      </c>
      <c r="E48" s="18">
        <v>10.1</v>
      </c>
      <c r="F48" s="2">
        <v>0.26319444444444445</v>
      </c>
      <c r="G48" s="3">
        <v>105</v>
      </c>
      <c r="H48" t="str">
        <f>VLOOKUP(B48,TOTAL!$B$3:$B$104,1,0)</f>
        <v>Patrícia Calado Patrícia Calado</v>
      </c>
    </row>
    <row r="49" spans="1:8" x14ac:dyDescent="0.3">
      <c r="A49">
        <v>48</v>
      </c>
      <c r="B49" t="s">
        <v>195</v>
      </c>
      <c r="C49" s="18">
        <v>17.600000000000001</v>
      </c>
      <c r="D49" s="3">
        <v>2</v>
      </c>
      <c r="E49" s="18">
        <v>10.1</v>
      </c>
      <c r="F49" s="2">
        <v>0.2590277777777778</v>
      </c>
      <c r="G49" s="3">
        <v>98</v>
      </c>
      <c r="H49" t="str">
        <f>VLOOKUP(B49,TOTAL!$B$3:$B$104,1,0)</f>
        <v>André Amaral André Amaral</v>
      </c>
    </row>
    <row r="50" spans="1:8" x14ac:dyDescent="0.3">
      <c r="A50">
        <v>49</v>
      </c>
      <c r="B50" t="s">
        <v>29</v>
      </c>
      <c r="C50" s="18">
        <v>15.7</v>
      </c>
      <c r="D50" s="3">
        <v>2</v>
      </c>
      <c r="E50" s="18">
        <v>8</v>
      </c>
      <c r="F50" s="2">
        <v>0.26319444444444445</v>
      </c>
      <c r="G50" s="3">
        <v>130</v>
      </c>
      <c r="H50" t="str">
        <f>VLOOKUP(B50,TOTAL!$B$3:$B$104,1,0)</f>
        <v>Sara Catita Sara Catita</v>
      </c>
    </row>
    <row r="51" spans="1:8" x14ac:dyDescent="0.3">
      <c r="A51">
        <v>50</v>
      </c>
      <c r="B51" t="s">
        <v>176</v>
      </c>
      <c r="C51" s="18">
        <v>15.6</v>
      </c>
      <c r="D51" s="3">
        <v>2</v>
      </c>
      <c r="E51" s="18">
        <v>10.6</v>
      </c>
      <c r="F51" s="2">
        <v>0.28541666666666665</v>
      </c>
      <c r="G51" s="3">
        <v>156</v>
      </c>
      <c r="H51" t="str">
        <f>VLOOKUP(B51,TOTAL!$B$3:$B$104,1,0)</f>
        <v>Pedro Rodrigues Pedro Rodrigues</v>
      </c>
    </row>
    <row r="52" spans="1:8" x14ac:dyDescent="0.3">
      <c r="A52">
        <v>51</v>
      </c>
      <c r="B52" t="s">
        <v>430</v>
      </c>
      <c r="C52" s="18">
        <v>15.5</v>
      </c>
      <c r="D52" s="3">
        <v>3</v>
      </c>
      <c r="E52" s="18">
        <v>6.6</v>
      </c>
      <c r="F52" s="2">
        <v>0.37291666666666667</v>
      </c>
      <c r="G52" s="3">
        <v>141</v>
      </c>
      <c r="H52" t="str">
        <f>VLOOKUP(B52,TOTAL!$B$3:$B$104,1,0)</f>
        <v>João Ralha João Ralha</v>
      </c>
    </row>
    <row r="53" spans="1:8" x14ac:dyDescent="0.3">
      <c r="A53">
        <v>52</v>
      </c>
      <c r="B53" t="s">
        <v>40</v>
      </c>
      <c r="C53" s="18">
        <v>15.3</v>
      </c>
      <c r="D53" s="3">
        <v>2</v>
      </c>
      <c r="E53" s="18">
        <v>9</v>
      </c>
      <c r="F53" s="2">
        <v>0.2590277777777778</v>
      </c>
      <c r="G53" s="3">
        <v>193</v>
      </c>
      <c r="H53" t="str">
        <f>VLOOKUP(B53,TOTAL!$B$3:$B$104,1,0)</f>
        <v>Marta Pereira Marta Pereira</v>
      </c>
    </row>
    <row r="54" spans="1:8" x14ac:dyDescent="0.3">
      <c r="A54">
        <v>53</v>
      </c>
      <c r="B54" t="s">
        <v>58</v>
      </c>
      <c r="C54" s="18">
        <v>14.1</v>
      </c>
      <c r="D54" s="3">
        <v>1</v>
      </c>
      <c r="E54" s="18">
        <v>14.1</v>
      </c>
      <c r="F54" s="2">
        <v>0.32361111111111113</v>
      </c>
      <c r="G54" s="3">
        <v>146</v>
      </c>
      <c r="H54" t="str">
        <f>VLOOKUP(B54,TOTAL!$B$3:$B$104,1,0)</f>
        <v>claudia pargana claudia pargana</v>
      </c>
    </row>
    <row r="55" spans="1:8" x14ac:dyDescent="0.3">
      <c r="A55">
        <v>54</v>
      </c>
      <c r="B55" t="s">
        <v>35</v>
      </c>
      <c r="C55" s="18">
        <v>14</v>
      </c>
      <c r="D55" s="3">
        <v>2</v>
      </c>
      <c r="E55" s="18">
        <v>10</v>
      </c>
      <c r="F55" s="2">
        <v>0.22083333333333333</v>
      </c>
      <c r="G55" s="3">
        <v>146</v>
      </c>
      <c r="H55" t="str">
        <f>VLOOKUP(B55,TOTAL!$B$3:$B$104,1,0)</f>
        <v>Tiago Martins Tiago Martins</v>
      </c>
    </row>
    <row r="56" spans="1:8" x14ac:dyDescent="0.3">
      <c r="A56">
        <v>55</v>
      </c>
      <c r="B56" t="s">
        <v>49</v>
      </c>
      <c r="C56" s="18">
        <v>14</v>
      </c>
      <c r="D56" s="3">
        <v>2</v>
      </c>
      <c r="E56" s="18">
        <v>10</v>
      </c>
      <c r="F56" s="2">
        <v>0.22916666666666666</v>
      </c>
      <c r="G56" s="3">
        <v>72</v>
      </c>
      <c r="H56" t="str">
        <f>VLOOKUP(B56,TOTAL!$B$3:$B$104,1,0)</f>
        <v>Paulo Vintém Oliveira Paulo Vintém Oliveira</v>
      </c>
    </row>
    <row r="57" spans="1:8" x14ac:dyDescent="0.3">
      <c r="A57">
        <v>56</v>
      </c>
      <c r="B57" t="s">
        <v>38</v>
      </c>
      <c r="C57" s="18">
        <v>13.6</v>
      </c>
      <c r="D57" s="3">
        <v>3</v>
      </c>
      <c r="E57" s="18">
        <v>6.3</v>
      </c>
      <c r="F57" s="2">
        <v>0.36458333333333331</v>
      </c>
      <c r="G57" s="3">
        <v>244</v>
      </c>
      <c r="H57" t="str">
        <f>VLOOKUP(B57,TOTAL!$B$3:$B$104,1,0)</f>
        <v>Gabriela Grade Gabriela Grade</v>
      </c>
    </row>
    <row r="58" spans="1:8" x14ac:dyDescent="0.3">
      <c r="A58">
        <v>57</v>
      </c>
      <c r="B58" t="s">
        <v>197</v>
      </c>
      <c r="C58" s="18">
        <v>13.4</v>
      </c>
      <c r="D58" s="3">
        <v>1</v>
      </c>
      <c r="E58" s="18">
        <v>13.4</v>
      </c>
      <c r="F58" s="2">
        <v>0.34930555555555554</v>
      </c>
      <c r="G58" s="3">
        <v>160</v>
      </c>
      <c r="H58" t="str">
        <f>VLOOKUP(B58,TOTAL!$B$3:$B$104,1,0)</f>
        <v>Cláudia Gama Cláudia Gama</v>
      </c>
    </row>
    <row r="59" spans="1:8" x14ac:dyDescent="0.3">
      <c r="A59">
        <v>58</v>
      </c>
      <c r="B59" t="s">
        <v>62</v>
      </c>
      <c r="C59" s="18">
        <v>13</v>
      </c>
      <c r="D59" s="3">
        <v>1</v>
      </c>
      <c r="E59" s="18">
        <v>13</v>
      </c>
      <c r="F59" s="2">
        <v>0.26458333333333334</v>
      </c>
      <c r="G59" s="3">
        <v>130</v>
      </c>
      <c r="H59" t="str">
        <f>VLOOKUP(B59,TOTAL!$B$3:$B$104,1,0)</f>
        <v>Ruben Costa Ruben Costa</v>
      </c>
    </row>
    <row r="60" spans="1:8" x14ac:dyDescent="0.3">
      <c r="A60">
        <v>59</v>
      </c>
      <c r="B60" t="s">
        <v>12</v>
      </c>
      <c r="C60" s="18">
        <v>11.6</v>
      </c>
      <c r="D60" s="3">
        <v>2</v>
      </c>
      <c r="E60" s="18">
        <v>10</v>
      </c>
      <c r="F60" s="2">
        <v>0.2590277777777778</v>
      </c>
      <c r="G60" s="3">
        <v>27</v>
      </c>
      <c r="H60" t="str">
        <f>VLOOKUP(B60,TOTAL!$B$3:$B$104,1,0)</f>
        <v>Adalberto Grilo Adalberto Grilo</v>
      </c>
    </row>
    <row r="61" spans="1:8" x14ac:dyDescent="0.3">
      <c r="A61">
        <v>60</v>
      </c>
      <c r="B61" t="s">
        <v>400</v>
      </c>
      <c r="C61" s="18">
        <v>11.5</v>
      </c>
      <c r="D61" s="3">
        <v>2</v>
      </c>
      <c r="E61" s="18">
        <v>6.5</v>
      </c>
      <c r="F61" s="2">
        <v>0.24027777777777778</v>
      </c>
      <c r="G61" s="3">
        <v>39</v>
      </c>
      <c r="H61" t="str">
        <f>VLOOKUP(B61,TOTAL!$B$3:$B$104,1,0)</f>
        <v>Orlando Ferreira Orlando Ferreira</v>
      </c>
    </row>
    <row r="62" spans="1:8" x14ac:dyDescent="0.3">
      <c r="A62">
        <v>61</v>
      </c>
      <c r="B62" t="s">
        <v>67</v>
      </c>
      <c r="C62" s="18">
        <v>10.8</v>
      </c>
      <c r="D62" s="3">
        <v>1</v>
      </c>
      <c r="E62" s="18">
        <v>10.8</v>
      </c>
      <c r="F62" s="2">
        <v>0.28958333333333336</v>
      </c>
      <c r="G62" s="3">
        <v>241</v>
      </c>
      <c r="H62" t="str">
        <f>VLOOKUP(B62,TOTAL!$B$3:$B$104,1,0)</f>
        <v>Pedro Fonseca Pedro Fonseca</v>
      </c>
    </row>
    <row r="63" spans="1:8" x14ac:dyDescent="0.3">
      <c r="A63">
        <v>62</v>
      </c>
      <c r="B63" t="s">
        <v>48</v>
      </c>
      <c r="C63" s="18">
        <v>10.7</v>
      </c>
      <c r="D63" s="3">
        <v>1</v>
      </c>
      <c r="E63" s="18">
        <v>10.7</v>
      </c>
      <c r="F63" s="2">
        <v>0.29375000000000001</v>
      </c>
      <c r="G63" s="3">
        <v>126</v>
      </c>
      <c r="H63" t="str">
        <f>VLOOKUP(B63,TOTAL!$B$3:$B$104,1,0)</f>
        <v>Ricardo Mateus Ricardo Mateus</v>
      </c>
    </row>
    <row r="64" spans="1:8" x14ac:dyDescent="0.3">
      <c r="A64">
        <v>63</v>
      </c>
      <c r="B64" t="s">
        <v>75</v>
      </c>
      <c r="C64" s="18">
        <v>10.5</v>
      </c>
      <c r="D64" s="3">
        <v>1</v>
      </c>
      <c r="E64" s="18">
        <v>10.5</v>
      </c>
      <c r="F64" s="2">
        <v>0.32291666666666669</v>
      </c>
      <c r="G64" s="3">
        <v>126</v>
      </c>
      <c r="H64" t="str">
        <f>VLOOKUP(B64,TOTAL!$B$3:$B$104,1,0)</f>
        <v>Marta Reis Marta Reis</v>
      </c>
    </row>
    <row r="65" spans="1:8" x14ac:dyDescent="0.3">
      <c r="A65">
        <v>64</v>
      </c>
      <c r="B65" t="s">
        <v>70</v>
      </c>
      <c r="C65" s="18">
        <v>10.5</v>
      </c>
      <c r="D65" s="3">
        <v>1</v>
      </c>
      <c r="E65" s="18">
        <v>10.5</v>
      </c>
      <c r="F65" s="2">
        <v>0.30694444444444446</v>
      </c>
      <c r="G65" s="3">
        <v>126</v>
      </c>
      <c r="H65" t="str">
        <f>VLOOKUP(B65,TOTAL!$B$3:$B$104,1,0)</f>
        <v>Nayara Pinheiro Nayara Pinheiro</v>
      </c>
    </row>
    <row r="66" spans="1:8" x14ac:dyDescent="0.3">
      <c r="A66">
        <v>65</v>
      </c>
      <c r="B66" t="s">
        <v>181</v>
      </c>
      <c r="C66" s="18">
        <v>10.3</v>
      </c>
      <c r="D66" s="3">
        <v>1</v>
      </c>
      <c r="E66" s="18">
        <v>10.3</v>
      </c>
      <c r="F66" s="2">
        <v>0.38611111111111113</v>
      </c>
      <c r="G66" s="3">
        <v>22</v>
      </c>
      <c r="H66" t="str">
        <f>VLOOKUP(B66,TOTAL!$B$3:$B$104,1,0)</f>
        <v>Tiago Ribeiro Tiago Ribeiro</v>
      </c>
    </row>
    <row r="67" spans="1:8" x14ac:dyDescent="0.3">
      <c r="A67">
        <v>66</v>
      </c>
      <c r="B67" t="s">
        <v>78</v>
      </c>
      <c r="C67" s="18">
        <v>10.199999999999999</v>
      </c>
      <c r="D67" s="3">
        <v>1</v>
      </c>
      <c r="E67" s="18">
        <v>10.199999999999999</v>
      </c>
      <c r="F67" s="2">
        <v>0.24097222222222223</v>
      </c>
      <c r="G67" s="3">
        <v>24</v>
      </c>
      <c r="H67" t="str">
        <f>VLOOKUP(B67,TOTAL!$B$3:$B$104,1,0)</f>
        <v>Zana Duarte Zana Duarte</v>
      </c>
    </row>
    <row r="68" spans="1:8" x14ac:dyDescent="0.3">
      <c r="A68">
        <v>67</v>
      </c>
      <c r="B68" t="s">
        <v>37</v>
      </c>
      <c r="C68" s="18">
        <v>10</v>
      </c>
      <c r="D68" s="3">
        <v>1</v>
      </c>
      <c r="E68" s="18">
        <v>10</v>
      </c>
      <c r="F68" s="2">
        <v>0.29097222222222224</v>
      </c>
      <c r="G68" s="3">
        <v>231</v>
      </c>
      <c r="H68" t="str">
        <f>VLOOKUP(B68,TOTAL!$B$3:$B$104,1,0)</f>
        <v>Gonçalo Fontes de Melo Gonçalo Fontes de Melo</v>
      </c>
    </row>
    <row r="69" spans="1:8" x14ac:dyDescent="0.3">
      <c r="A69">
        <v>68</v>
      </c>
      <c r="B69" t="s">
        <v>469</v>
      </c>
      <c r="C69" s="18">
        <v>10</v>
      </c>
      <c r="D69" s="3">
        <v>1</v>
      </c>
      <c r="E69" s="18">
        <v>10</v>
      </c>
      <c r="F69" s="2">
        <v>0.23333333333333334</v>
      </c>
      <c r="G69" s="3">
        <v>6</v>
      </c>
      <c r="H69" t="str">
        <f>VLOOKUP(B69,TOTAL!$B$3:$B$104,1,0)</f>
        <v>Helena Alcobia Helena Alcobia</v>
      </c>
    </row>
    <row r="70" spans="1:8" x14ac:dyDescent="0.3">
      <c r="A70">
        <v>69</v>
      </c>
      <c r="B70" t="s">
        <v>404</v>
      </c>
      <c r="C70" s="18">
        <v>9.6</v>
      </c>
      <c r="D70" s="3">
        <v>1</v>
      </c>
      <c r="E70" s="18">
        <v>9.6</v>
      </c>
      <c r="F70" s="2">
        <v>0.26666666666666666</v>
      </c>
      <c r="G70" s="3">
        <v>90</v>
      </c>
      <c r="H70" t="str">
        <f>VLOOKUP(B70,TOTAL!$B$3:$B$104,1,0)</f>
        <v>Joaquim José Monteiro Joaquim José Monteiro</v>
      </c>
    </row>
    <row r="71" spans="1:8" x14ac:dyDescent="0.3">
      <c r="A71">
        <v>70</v>
      </c>
      <c r="B71" t="s">
        <v>66</v>
      </c>
      <c r="C71" s="18">
        <v>9.3000000000000007</v>
      </c>
      <c r="D71" s="3">
        <v>1</v>
      </c>
      <c r="E71" s="18">
        <v>9.3000000000000007</v>
      </c>
      <c r="F71" s="2">
        <v>0.30069444444444443</v>
      </c>
      <c r="G71" s="3">
        <v>110</v>
      </c>
      <c r="H71" t="str">
        <f>VLOOKUP(B71,TOTAL!$B$3:$B$104,1,0)</f>
        <v>rita felizol rita felizol</v>
      </c>
    </row>
    <row r="72" spans="1:8" x14ac:dyDescent="0.3">
      <c r="A72">
        <v>71</v>
      </c>
      <c r="B72" t="s">
        <v>57</v>
      </c>
      <c r="C72" s="18">
        <v>7.5</v>
      </c>
      <c r="D72" s="3">
        <v>1</v>
      </c>
      <c r="E72" s="18">
        <v>7.5</v>
      </c>
      <c r="F72" s="2">
        <v>0.25069444444444444</v>
      </c>
      <c r="G72" s="3">
        <v>107</v>
      </c>
      <c r="H72" t="str">
        <f>VLOOKUP(B72,TOTAL!$B$3:$B$104,1,0)</f>
        <v>Joana Lucas Joana Lucas</v>
      </c>
    </row>
    <row r="73" spans="1:8" x14ac:dyDescent="0.3">
      <c r="A73">
        <v>72</v>
      </c>
      <c r="B73" t="s">
        <v>63</v>
      </c>
      <c r="C73" s="18">
        <v>7</v>
      </c>
      <c r="D73" s="3">
        <v>1</v>
      </c>
      <c r="E73" s="18">
        <v>7</v>
      </c>
      <c r="F73" s="2">
        <v>0.27500000000000002</v>
      </c>
      <c r="G73" s="3">
        <v>16</v>
      </c>
      <c r="H73" t="str">
        <f>VLOOKUP(B73,TOTAL!$B$3:$B$104,1,0)</f>
        <v>Pedro Morgado Pedro Morgado</v>
      </c>
    </row>
    <row r="74" spans="1:8" x14ac:dyDescent="0.3">
      <c r="A74">
        <v>73</v>
      </c>
      <c r="B74" t="s">
        <v>74</v>
      </c>
      <c r="C74" s="18">
        <v>6</v>
      </c>
      <c r="D74" s="3">
        <v>1</v>
      </c>
      <c r="E74" s="18">
        <v>6</v>
      </c>
      <c r="F74" s="2">
        <v>0.27500000000000002</v>
      </c>
      <c r="G74" s="3">
        <v>36</v>
      </c>
      <c r="H74" t="str">
        <f>VLOOKUP(B74,TOTAL!$B$3:$B$104,1,0)</f>
        <v>Claudio Monteiro Claudio Monteiro</v>
      </c>
    </row>
    <row r="75" spans="1:8" x14ac:dyDescent="0.3">
      <c r="A75">
        <v>74</v>
      </c>
      <c r="B75" t="s">
        <v>72</v>
      </c>
      <c r="C75" s="18">
        <v>5</v>
      </c>
      <c r="D75" s="3">
        <v>1</v>
      </c>
      <c r="E75" s="18">
        <v>5</v>
      </c>
      <c r="F75" s="2">
        <v>0.25069444444444444</v>
      </c>
      <c r="G75" s="3">
        <v>40</v>
      </c>
      <c r="H75" t="str">
        <f>VLOOKUP(B75,TOTAL!$B$3:$B$104,1,0)</f>
        <v>Ana Melo Ana Melo</v>
      </c>
    </row>
    <row r="76" spans="1:8" x14ac:dyDescent="0.3">
      <c r="A76">
        <v>75</v>
      </c>
      <c r="B76" t="s">
        <v>174</v>
      </c>
      <c r="C76" s="18">
        <v>3.9</v>
      </c>
      <c r="D76" s="3">
        <v>1</v>
      </c>
      <c r="E76" s="18">
        <v>3.9</v>
      </c>
      <c r="F76" s="2">
        <v>1.0361111111111112</v>
      </c>
      <c r="G76" s="3">
        <v>47</v>
      </c>
      <c r="H76" t="str">
        <f>VLOOKUP(B76,TOTAL!$B$3:$B$104,1,0)</f>
        <v>Paula Carvalho Paula Carvalho</v>
      </c>
    </row>
    <row r="77" spans="1:8" x14ac:dyDescent="0.3">
      <c r="A77">
        <v>76</v>
      </c>
      <c r="B77" t="s">
        <v>81</v>
      </c>
      <c r="C77" s="18">
        <v>1.5</v>
      </c>
      <c r="D77" s="3">
        <v>1</v>
      </c>
      <c r="E77" s="18">
        <v>1.5</v>
      </c>
      <c r="F77" s="2">
        <v>0.99305555555555558</v>
      </c>
      <c r="G77" s="3" t="s">
        <v>3</v>
      </c>
      <c r="H77" t="str">
        <f>VLOOKUP(B77,TOTAL!$B$3:$B$104,1,0)</f>
        <v>Gelson Baía ???? Gelson Baía ????</v>
      </c>
    </row>
  </sheetData>
  <autoFilter ref="A1:I77" xr:uid="{D7DE90D2-E864-4B93-AD52-54E442BD8DD9}"/>
  <pageMargins left="0.7" right="0.7" top="0.75" bottom="0.75" header="0.3" footer="0.3"/>
  <headerFooter>
    <oddFooter>&amp;C_x000D_&amp;1#&amp;"Calibri"&amp;8&amp;K000000 Public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19DEB-3133-4596-A7F1-5722A43FBB30}">
  <dimension ref="A1:G76"/>
  <sheetViews>
    <sheetView workbookViewId="0"/>
  </sheetViews>
  <sheetFormatPr defaultRowHeight="14.4" x14ac:dyDescent="0.3"/>
  <cols>
    <col min="2" max="2" width="8.88671875" customWidth="1"/>
  </cols>
  <sheetData>
    <row r="1" spans="1:7" x14ac:dyDescent="0.3">
      <c r="A1" s="1" t="s">
        <v>0</v>
      </c>
      <c r="B1" s="1" t="s">
        <v>1</v>
      </c>
      <c r="C1" s="1" t="s">
        <v>82</v>
      </c>
      <c r="D1" s="1" t="s">
        <v>2</v>
      </c>
      <c r="E1" s="1" t="s">
        <v>83</v>
      </c>
      <c r="F1" s="1" t="s">
        <v>84</v>
      </c>
      <c r="G1" s="1" t="s">
        <v>85</v>
      </c>
    </row>
    <row r="2" spans="1:7" x14ac:dyDescent="0.3">
      <c r="A2">
        <v>1</v>
      </c>
      <c r="B2" t="s">
        <v>4</v>
      </c>
      <c r="C2" s="18">
        <v>109.2</v>
      </c>
      <c r="D2" s="3">
        <v>7</v>
      </c>
      <c r="E2" s="18">
        <v>30.7</v>
      </c>
      <c r="F2" s="2">
        <v>0.24513888888888888</v>
      </c>
      <c r="G2" s="3">
        <v>2611</v>
      </c>
    </row>
    <row r="3" spans="1:7" x14ac:dyDescent="0.3">
      <c r="A3">
        <v>2</v>
      </c>
      <c r="B3" t="s">
        <v>13</v>
      </c>
      <c r="C3" s="18">
        <v>79.3</v>
      </c>
      <c r="D3" s="3">
        <v>9</v>
      </c>
      <c r="E3" s="18">
        <v>17.100000000000001</v>
      </c>
      <c r="F3" s="2">
        <v>0.22777777777777777</v>
      </c>
      <c r="G3" s="3">
        <v>1622</v>
      </c>
    </row>
    <row r="4" spans="1:7" x14ac:dyDescent="0.3">
      <c r="A4">
        <v>3</v>
      </c>
      <c r="B4" t="s">
        <v>34</v>
      </c>
      <c r="C4" s="18">
        <v>77.599999999999994</v>
      </c>
      <c r="D4" s="3">
        <v>6</v>
      </c>
      <c r="E4" s="18">
        <v>25.3</v>
      </c>
      <c r="F4" s="2">
        <v>0.31527777777777777</v>
      </c>
      <c r="G4" s="3">
        <v>2174</v>
      </c>
    </row>
    <row r="5" spans="1:7" x14ac:dyDescent="0.3">
      <c r="A5">
        <v>4</v>
      </c>
      <c r="B5" t="s">
        <v>52</v>
      </c>
      <c r="C5" s="18">
        <v>66.7</v>
      </c>
      <c r="D5" s="3">
        <v>6</v>
      </c>
      <c r="E5" s="18">
        <v>42</v>
      </c>
      <c r="F5" s="2">
        <v>0.24583333333333332</v>
      </c>
      <c r="G5" s="3">
        <v>341</v>
      </c>
    </row>
    <row r="6" spans="1:7" x14ac:dyDescent="0.3">
      <c r="A6">
        <v>5</v>
      </c>
      <c r="B6" t="s">
        <v>53</v>
      </c>
      <c r="C6" s="18">
        <v>61</v>
      </c>
      <c r="D6" s="3">
        <v>3</v>
      </c>
      <c r="E6" s="18">
        <v>41.7</v>
      </c>
      <c r="F6" s="2">
        <v>0.20833333333333334</v>
      </c>
      <c r="G6" s="3">
        <v>407</v>
      </c>
    </row>
    <row r="7" spans="1:7" x14ac:dyDescent="0.3">
      <c r="A7">
        <v>6</v>
      </c>
      <c r="B7" t="s">
        <v>9</v>
      </c>
      <c r="C7" s="18">
        <v>58.9</v>
      </c>
      <c r="D7" s="3">
        <v>6</v>
      </c>
      <c r="E7" s="18">
        <v>12.3</v>
      </c>
      <c r="F7" s="2">
        <v>0.26527777777777778</v>
      </c>
      <c r="G7" s="3">
        <v>680</v>
      </c>
    </row>
    <row r="8" spans="1:7" x14ac:dyDescent="0.3">
      <c r="A8">
        <v>7</v>
      </c>
      <c r="B8" t="s">
        <v>60</v>
      </c>
      <c r="C8" s="18">
        <v>57.5</v>
      </c>
      <c r="D8" s="3">
        <v>3</v>
      </c>
      <c r="E8" s="18">
        <v>42</v>
      </c>
      <c r="F8" s="2">
        <v>0.25208333333333333</v>
      </c>
      <c r="G8" s="3">
        <v>278</v>
      </c>
    </row>
    <row r="9" spans="1:7" x14ac:dyDescent="0.3">
      <c r="A9">
        <v>8</v>
      </c>
      <c r="B9" t="s">
        <v>20</v>
      </c>
      <c r="C9" s="18">
        <v>54.2</v>
      </c>
      <c r="D9" s="3">
        <v>5</v>
      </c>
      <c r="E9" s="18">
        <v>19.8</v>
      </c>
      <c r="F9" s="2">
        <v>0.27986111111111112</v>
      </c>
      <c r="G9" s="3">
        <v>1776</v>
      </c>
    </row>
    <row r="10" spans="1:7" x14ac:dyDescent="0.3">
      <c r="A10">
        <v>9</v>
      </c>
      <c r="B10" t="s">
        <v>33</v>
      </c>
      <c r="C10" s="18">
        <v>49</v>
      </c>
      <c r="D10" s="3">
        <v>8</v>
      </c>
      <c r="E10" s="18">
        <v>18</v>
      </c>
      <c r="F10" s="2">
        <v>0.30763888888888891</v>
      </c>
      <c r="G10" s="3">
        <v>87</v>
      </c>
    </row>
    <row r="11" spans="1:7" x14ac:dyDescent="0.3">
      <c r="A11">
        <v>10</v>
      </c>
      <c r="B11" t="s">
        <v>11</v>
      </c>
      <c r="C11" s="18">
        <v>46.2</v>
      </c>
      <c r="D11" s="3">
        <v>4</v>
      </c>
      <c r="E11" s="18">
        <v>18.3</v>
      </c>
      <c r="F11" s="2">
        <v>0.22708333333333333</v>
      </c>
      <c r="G11" s="3">
        <v>472</v>
      </c>
    </row>
    <row r="12" spans="1:7" x14ac:dyDescent="0.3">
      <c r="A12">
        <v>11</v>
      </c>
      <c r="B12" t="s">
        <v>15</v>
      </c>
      <c r="C12" s="18">
        <v>45.3</v>
      </c>
      <c r="D12" s="3">
        <v>3</v>
      </c>
      <c r="E12" s="18">
        <v>22.1</v>
      </c>
      <c r="F12" s="2">
        <v>0.33680555555555558</v>
      </c>
      <c r="G12" s="3">
        <v>2192</v>
      </c>
    </row>
    <row r="13" spans="1:7" x14ac:dyDescent="0.3">
      <c r="A13">
        <v>12</v>
      </c>
      <c r="B13" t="s">
        <v>51</v>
      </c>
      <c r="C13" s="18">
        <v>44.8</v>
      </c>
      <c r="D13" s="3">
        <v>6</v>
      </c>
      <c r="E13" s="18">
        <v>11.9</v>
      </c>
      <c r="F13" s="2">
        <v>0.25208333333333333</v>
      </c>
      <c r="G13" s="3">
        <v>287</v>
      </c>
    </row>
    <row r="14" spans="1:7" x14ac:dyDescent="0.3">
      <c r="A14">
        <v>13</v>
      </c>
      <c r="B14" t="s">
        <v>42</v>
      </c>
      <c r="C14" s="18">
        <v>43.9</v>
      </c>
      <c r="D14" s="3">
        <v>5</v>
      </c>
      <c r="E14" s="18">
        <v>21</v>
      </c>
      <c r="F14" s="2">
        <v>0.23541666666666666</v>
      </c>
      <c r="G14" s="3">
        <v>157</v>
      </c>
    </row>
    <row r="15" spans="1:7" x14ac:dyDescent="0.3">
      <c r="A15">
        <v>14</v>
      </c>
      <c r="B15" t="s">
        <v>21</v>
      </c>
      <c r="C15" s="18">
        <v>43.3</v>
      </c>
      <c r="D15" s="3">
        <v>5</v>
      </c>
      <c r="E15" s="18">
        <v>16.100000000000001</v>
      </c>
      <c r="F15" s="2">
        <v>0.2673611111111111</v>
      </c>
      <c r="G15" s="3">
        <v>134</v>
      </c>
    </row>
    <row r="16" spans="1:7" x14ac:dyDescent="0.3">
      <c r="A16">
        <v>15</v>
      </c>
      <c r="B16" t="s">
        <v>32</v>
      </c>
      <c r="C16" s="18">
        <v>43.1</v>
      </c>
      <c r="D16" s="3">
        <v>5</v>
      </c>
      <c r="E16" s="18">
        <v>15</v>
      </c>
      <c r="F16" s="2">
        <v>0.29236111111111113</v>
      </c>
      <c r="G16" s="3">
        <v>725</v>
      </c>
    </row>
    <row r="17" spans="1:7" x14ac:dyDescent="0.3">
      <c r="A17">
        <v>16</v>
      </c>
      <c r="B17" t="s">
        <v>8</v>
      </c>
      <c r="C17" s="18">
        <v>41.9</v>
      </c>
      <c r="D17" s="3">
        <v>4</v>
      </c>
      <c r="E17" s="18">
        <v>21</v>
      </c>
      <c r="F17" s="2">
        <v>0.18958333333333333</v>
      </c>
      <c r="G17" s="3">
        <v>171</v>
      </c>
    </row>
    <row r="18" spans="1:7" x14ac:dyDescent="0.3">
      <c r="A18">
        <v>17</v>
      </c>
      <c r="B18" t="s">
        <v>12</v>
      </c>
      <c r="C18" s="18">
        <v>41.9</v>
      </c>
      <c r="D18" s="3">
        <v>6</v>
      </c>
      <c r="E18" s="18">
        <v>10</v>
      </c>
      <c r="F18" s="2">
        <v>0.28194444444444444</v>
      </c>
      <c r="G18" s="3">
        <v>325</v>
      </c>
    </row>
    <row r="19" spans="1:7" x14ac:dyDescent="0.3">
      <c r="A19">
        <v>18</v>
      </c>
      <c r="B19" t="s">
        <v>29</v>
      </c>
      <c r="C19" s="18">
        <v>41.1</v>
      </c>
      <c r="D19" s="3">
        <v>5</v>
      </c>
      <c r="E19" s="18">
        <v>16.2</v>
      </c>
      <c r="F19" s="2">
        <v>0.48680555555555555</v>
      </c>
      <c r="G19" s="3">
        <v>1083</v>
      </c>
    </row>
    <row r="20" spans="1:7" x14ac:dyDescent="0.3">
      <c r="A20">
        <v>19</v>
      </c>
      <c r="B20" t="s">
        <v>44</v>
      </c>
      <c r="C20" s="18">
        <v>37.700000000000003</v>
      </c>
      <c r="D20" s="3">
        <v>5</v>
      </c>
      <c r="E20" s="18">
        <v>13.7</v>
      </c>
      <c r="F20" s="2">
        <v>0.55000000000000004</v>
      </c>
      <c r="G20" s="3">
        <v>1044</v>
      </c>
    </row>
    <row r="21" spans="1:7" x14ac:dyDescent="0.3">
      <c r="A21">
        <v>20</v>
      </c>
      <c r="B21" t="s">
        <v>10</v>
      </c>
      <c r="C21" s="18">
        <v>36.799999999999997</v>
      </c>
      <c r="D21" s="3">
        <v>3</v>
      </c>
      <c r="E21" s="18">
        <v>17.8</v>
      </c>
      <c r="F21" s="2">
        <v>0.21666666666666667</v>
      </c>
      <c r="G21" s="3">
        <v>227</v>
      </c>
    </row>
    <row r="22" spans="1:7" x14ac:dyDescent="0.3">
      <c r="A22">
        <v>21</v>
      </c>
      <c r="B22" t="s">
        <v>38</v>
      </c>
      <c r="C22" s="18">
        <v>35.200000000000003</v>
      </c>
      <c r="D22" s="3">
        <v>6</v>
      </c>
      <c r="E22" s="18">
        <v>9.1999999999999993</v>
      </c>
      <c r="F22" s="2">
        <v>0.35208333333333336</v>
      </c>
      <c r="G22" s="3">
        <v>558</v>
      </c>
    </row>
    <row r="23" spans="1:7" x14ac:dyDescent="0.3">
      <c r="A23">
        <v>22</v>
      </c>
      <c r="B23" t="s">
        <v>48</v>
      </c>
      <c r="C23" s="18">
        <v>34</v>
      </c>
      <c r="D23" s="3">
        <v>3</v>
      </c>
      <c r="E23" s="18">
        <v>21</v>
      </c>
      <c r="F23" s="2">
        <v>0.25</v>
      </c>
      <c r="G23" s="3">
        <v>219</v>
      </c>
    </row>
    <row r="24" spans="1:7" x14ac:dyDescent="0.3">
      <c r="A24">
        <v>23</v>
      </c>
      <c r="B24" t="s">
        <v>70</v>
      </c>
      <c r="C24" s="18">
        <v>33.9</v>
      </c>
      <c r="D24" s="3">
        <v>3</v>
      </c>
      <c r="E24" s="18">
        <v>20.8</v>
      </c>
      <c r="F24" s="2">
        <v>0.28125</v>
      </c>
      <c r="G24" s="3">
        <v>220</v>
      </c>
    </row>
    <row r="25" spans="1:7" x14ac:dyDescent="0.3">
      <c r="A25">
        <v>24</v>
      </c>
      <c r="B25" t="s">
        <v>23</v>
      </c>
      <c r="C25" s="18">
        <v>33.6</v>
      </c>
      <c r="D25" s="3">
        <v>3</v>
      </c>
      <c r="E25" s="18">
        <v>15.5</v>
      </c>
      <c r="F25" s="2">
        <v>0.30486111111111114</v>
      </c>
      <c r="G25" s="3">
        <v>800</v>
      </c>
    </row>
    <row r="26" spans="1:7" x14ac:dyDescent="0.3">
      <c r="A26">
        <v>25</v>
      </c>
      <c r="B26" t="s">
        <v>17</v>
      </c>
      <c r="C26" s="18">
        <v>30.5</v>
      </c>
      <c r="D26" s="3">
        <v>3</v>
      </c>
      <c r="E26" s="18">
        <v>12.5</v>
      </c>
      <c r="F26" s="2">
        <v>0.34166666666666667</v>
      </c>
      <c r="G26" s="3">
        <v>807</v>
      </c>
    </row>
    <row r="27" spans="1:7" x14ac:dyDescent="0.3">
      <c r="A27">
        <v>26</v>
      </c>
      <c r="B27" t="s">
        <v>62</v>
      </c>
      <c r="C27" s="18">
        <v>30</v>
      </c>
      <c r="D27" s="3">
        <v>3</v>
      </c>
      <c r="E27" s="18">
        <v>20</v>
      </c>
      <c r="F27" s="2">
        <v>0.27013888888888887</v>
      </c>
      <c r="G27" s="3">
        <v>467</v>
      </c>
    </row>
    <row r="28" spans="1:7" x14ac:dyDescent="0.3">
      <c r="A28">
        <v>27</v>
      </c>
      <c r="B28" t="s">
        <v>175</v>
      </c>
      <c r="C28" s="18">
        <v>29.9</v>
      </c>
      <c r="D28" s="3">
        <v>2</v>
      </c>
      <c r="E28" s="18">
        <v>15.5</v>
      </c>
      <c r="F28" s="2">
        <v>0.26250000000000001</v>
      </c>
      <c r="G28" s="3">
        <v>199</v>
      </c>
    </row>
    <row r="29" spans="1:7" x14ac:dyDescent="0.3">
      <c r="A29">
        <v>28</v>
      </c>
      <c r="B29" t="s">
        <v>39</v>
      </c>
      <c r="C29" s="18">
        <v>29.7</v>
      </c>
      <c r="D29" s="3">
        <v>3</v>
      </c>
      <c r="E29" s="18">
        <v>14.3</v>
      </c>
      <c r="F29" s="2">
        <v>0.34236111111111112</v>
      </c>
      <c r="G29" s="3">
        <v>783</v>
      </c>
    </row>
    <row r="30" spans="1:7" x14ac:dyDescent="0.3">
      <c r="A30">
        <v>29</v>
      </c>
      <c r="B30" t="s">
        <v>31</v>
      </c>
      <c r="C30" s="18">
        <v>28.6</v>
      </c>
      <c r="D30" s="3">
        <v>3</v>
      </c>
      <c r="E30" s="18">
        <v>11.4</v>
      </c>
      <c r="F30" s="2">
        <v>0.2326388888888889</v>
      </c>
      <c r="G30" s="3">
        <v>226</v>
      </c>
    </row>
    <row r="31" spans="1:7" x14ac:dyDescent="0.3">
      <c r="A31">
        <v>30</v>
      </c>
      <c r="B31" t="s">
        <v>76</v>
      </c>
      <c r="C31" s="18">
        <v>28</v>
      </c>
      <c r="D31" s="3">
        <v>3</v>
      </c>
      <c r="E31" s="18">
        <v>12.6</v>
      </c>
      <c r="F31" s="2">
        <v>0.25277777777777777</v>
      </c>
      <c r="G31" s="3">
        <v>343</v>
      </c>
    </row>
    <row r="32" spans="1:7" x14ac:dyDescent="0.3">
      <c r="A32">
        <v>31</v>
      </c>
      <c r="B32" t="s">
        <v>47</v>
      </c>
      <c r="C32" s="18">
        <v>27.2</v>
      </c>
      <c r="D32" s="3">
        <v>9</v>
      </c>
      <c r="E32" s="18">
        <v>10.5</v>
      </c>
      <c r="F32" s="2">
        <v>0.58263888888888893</v>
      </c>
      <c r="G32" s="3" t="s">
        <v>3</v>
      </c>
    </row>
    <row r="33" spans="1:7" x14ac:dyDescent="0.3">
      <c r="A33">
        <v>32</v>
      </c>
      <c r="B33" t="s">
        <v>41</v>
      </c>
      <c r="C33" s="18">
        <v>25.3</v>
      </c>
      <c r="D33" s="3">
        <v>2</v>
      </c>
      <c r="E33" s="18">
        <v>21.2</v>
      </c>
      <c r="F33" s="2">
        <v>0.25069444444444444</v>
      </c>
      <c r="G33" s="3">
        <v>148</v>
      </c>
    </row>
    <row r="34" spans="1:7" x14ac:dyDescent="0.3">
      <c r="A34">
        <v>33</v>
      </c>
      <c r="B34" t="s">
        <v>35</v>
      </c>
      <c r="C34" s="18">
        <v>25</v>
      </c>
      <c r="D34" s="3">
        <v>3</v>
      </c>
      <c r="E34" s="18">
        <v>10</v>
      </c>
      <c r="F34" s="2">
        <v>0.22430555555555556</v>
      </c>
      <c r="G34" s="3">
        <v>273</v>
      </c>
    </row>
    <row r="35" spans="1:7" x14ac:dyDescent="0.3">
      <c r="A35">
        <v>34</v>
      </c>
      <c r="B35" t="s">
        <v>49</v>
      </c>
      <c r="C35" s="18">
        <v>25</v>
      </c>
      <c r="D35" s="3">
        <v>4</v>
      </c>
      <c r="E35" s="18">
        <v>9.1999999999999993</v>
      </c>
      <c r="F35" s="2">
        <v>0.22638888888888889</v>
      </c>
      <c r="G35" s="3">
        <v>229</v>
      </c>
    </row>
    <row r="36" spans="1:7" x14ac:dyDescent="0.3">
      <c r="A36">
        <v>35</v>
      </c>
      <c r="B36" t="s">
        <v>219</v>
      </c>
      <c r="C36" s="18">
        <v>24.5</v>
      </c>
      <c r="D36" s="3">
        <v>4</v>
      </c>
      <c r="E36" s="18">
        <v>8.6</v>
      </c>
      <c r="F36" s="2">
        <v>0.45416666666666666</v>
      </c>
      <c r="G36" s="3">
        <v>253</v>
      </c>
    </row>
    <row r="37" spans="1:7" x14ac:dyDescent="0.3">
      <c r="A37">
        <v>36</v>
      </c>
      <c r="B37" t="s">
        <v>59</v>
      </c>
      <c r="C37" s="18">
        <v>23.7</v>
      </c>
      <c r="D37" s="3">
        <v>2</v>
      </c>
      <c r="E37" s="18">
        <v>16.3</v>
      </c>
      <c r="F37" s="2">
        <v>0.3888888888888889</v>
      </c>
      <c r="G37" s="3">
        <v>354</v>
      </c>
    </row>
    <row r="38" spans="1:7" x14ac:dyDescent="0.3">
      <c r="A38">
        <v>37</v>
      </c>
      <c r="B38" t="s">
        <v>75</v>
      </c>
      <c r="C38" s="18">
        <v>23.4</v>
      </c>
      <c r="D38" s="3">
        <v>2</v>
      </c>
      <c r="E38" s="18">
        <v>13.4</v>
      </c>
      <c r="F38" s="2">
        <v>0.32083333333333336</v>
      </c>
      <c r="G38" s="3">
        <v>368</v>
      </c>
    </row>
    <row r="39" spans="1:7" x14ac:dyDescent="0.3">
      <c r="A39">
        <v>38</v>
      </c>
      <c r="B39" t="s">
        <v>56</v>
      </c>
      <c r="C39" s="18">
        <v>22.8</v>
      </c>
      <c r="D39" s="3">
        <v>2</v>
      </c>
      <c r="E39" s="18">
        <v>14.8</v>
      </c>
      <c r="F39" s="2">
        <v>0.34652777777777777</v>
      </c>
      <c r="G39" s="3">
        <v>590</v>
      </c>
    </row>
    <row r="40" spans="1:7" x14ac:dyDescent="0.3">
      <c r="A40">
        <v>39</v>
      </c>
      <c r="B40" t="s">
        <v>5</v>
      </c>
      <c r="C40" s="18">
        <v>22.2</v>
      </c>
      <c r="D40" s="3">
        <v>2</v>
      </c>
      <c r="E40" s="18">
        <v>11.1</v>
      </c>
      <c r="F40" s="2">
        <v>0.18333333333333332</v>
      </c>
      <c r="G40" s="3">
        <v>638</v>
      </c>
    </row>
    <row r="41" spans="1:7" x14ac:dyDescent="0.3">
      <c r="A41">
        <v>40</v>
      </c>
      <c r="B41" t="s">
        <v>195</v>
      </c>
      <c r="C41" s="18">
        <v>21.1</v>
      </c>
      <c r="D41" s="3">
        <v>2</v>
      </c>
      <c r="E41" s="18">
        <v>11</v>
      </c>
      <c r="F41" s="2">
        <v>0.28958333333333336</v>
      </c>
      <c r="G41" s="3">
        <v>362</v>
      </c>
    </row>
    <row r="42" spans="1:7" x14ac:dyDescent="0.3">
      <c r="A42">
        <v>41</v>
      </c>
      <c r="B42" t="s">
        <v>43</v>
      </c>
      <c r="C42" s="18">
        <v>21.1</v>
      </c>
      <c r="D42" s="3">
        <v>1</v>
      </c>
      <c r="E42" s="18">
        <v>21.1</v>
      </c>
      <c r="F42" s="2">
        <v>0.30277777777777776</v>
      </c>
      <c r="G42" s="3">
        <v>95</v>
      </c>
    </row>
    <row r="43" spans="1:7" x14ac:dyDescent="0.3">
      <c r="A43">
        <v>42</v>
      </c>
      <c r="B43" t="s">
        <v>45</v>
      </c>
      <c r="C43" s="18">
        <v>20.3</v>
      </c>
      <c r="D43" s="3">
        <v>2</v>
      </c>
      <c r="E43" s="18">
        <v>10.199999999999999</v>
      </c>
      <c r="F43" s="2">
        <v>0.37083333333333335</v>
      </c>
      <c r="G43" s="3">
        <v>83</v>
      </c>
    </row>
    <row r="44" spans="1:7" x14ac:dyDescent="0.3">
      <c r="A44">
        <v>43</v>
      </c>
      <c r="B44" t="s">
        <v>37</v>
      </c>
      <c r="C44" s="18">
        <v>20.2</v>
      </c>
      <c r="D44" s="3">
        <v>2</v>
      </c>
      <c r="E44" s="18">
        <v>10.199999999999999</v>
      </c>
      <c r="F44" s="2">
        <v>0.28749999999999998</v>
      </c>
      <c r="G44" s="3">
        <v>309</v>
      </c>
    </row>
    <row r="45" spans="1:7" x14ac:dyDescent="0.3">
      <c r="A45">
        <v>44</v>
      </c>
      <c r="B45" t="s">
        <v>26</v>
      </c>
      <c r="C45" s="18">
        <v>20.2</v>
      </c>
      <c r="D45" s="3">
        <v>2</v>
      </c>
      <c r="E45" s="18">
        <v>10.1</v>
      </c>
      <c r="F45" s="2">
        <v>0.22916666666666666</v>
      </c>
      <c r="G45" s="3">
        <v>94</v>
      </c>
    </row>
    <row r="46" spans="1:7" x14ac:dyDescent="0.3">
      <c r="A46">
        <v>45</v>
      </c>
      <c r="B46" t="s">
        <v>6</v>
      </c>
      <c r="C46" s="18">
        <v>20.100000000000001</v>
      </c>
      <c r="D46" s="3">
        <v>2</v>
      </c>
      <c r="E46" s="18">
        <v>10.1</v>
      </c>
      <c r="F46" s="2">
        <v>0.26250000000000001</v>
      </c>
      <c r="G46" s="3">
        <v>211</v>
      </c>
    </row>
    <row r="47" spans="1:7" x14ac:dyDescent="0.3">
      <c r="A47">
        <v>46</v>
      </c>
      <c r="B47" t="s">
        <v>67</v>
      </c>
      <c r="C47" s="18">
        <v>19.399999999999999</v>
      </c>
      <c r="D47" s="3">
        <v>2</v>
      </c>
      <c r="E47" s="18">
        <v>10.4</v>
      </c>
      <c r="F47" s="2">
        <v>0.22291666666666668</v>
      </c>
      <c r="G47" s="3">
        <v>94</v>
      </c>
    </row>
    <row r="48" spans="1:7" x14ac:dyDescent="0.3">
      <c r="A48">
        <v>47</v>
      </c>
      <c r="B48" t="s">
        <v>65</v>
      </c>
      <c r="C48" s="18">
        <v>19.3</v>
      </c>
      <c r="D48" s="3">
        <v>2</v>
      </c>
      <c r="E48" s="18">
        <v>10.1</v>
      </c>
      <c r="F48" s="2">
        <v>0.25624999999999998</v>
      </c>
      <c r="G48" s="3">
        <v>164</v>
      </c>
    </row>
    <row r="49" spans="1:7" x14ac:dyDescent="0.3">
      <c r="A49">
        <v>48</v>
      </c>
      <c r="B49" t="s">
        <v>40</v>
      </c>
      <c r="C49" s="18">
        <v>18.2</v>
      </c>
      <c r="D49" s="3">
        <v>2</v>
      </c>
      <c r="E49" s="18">
        <v>10.5</v>
      </c>
      <c r="F49" s="2">
        <v>0.25208333333333333</v>
      </c>
      <c r="G49" s="3">
        <v>133</v>
      </c>
    </row>
    <row r="50" spans="1:7" x14ac:dyDescent="0.3">
      <c r="A50">
        <v>49</v>
      </c>
      <c r="B50" t="s">
        <v>73</v>
      </c>
      <c r="C50" s="18">
        <v>18</v>
      </c>
      <c r="D50" s="3">
        <v>2</v>
      </c>
      <c r="E50" s="18">
        <v>10</v>
      </c>
      <c r="F50" s="2">
        <v>0.26180555555555557</v>
      </c>
      <c r="G50" s="3">
        <v>111</v>
      </c>
    </row>
    <row r="51" spans="1:7" x14ac:dyDescent="0.3">
      <c r="A51">
        <v>50</v>
      </c>
      <c r="B51" t="s">
        <v>54</v>
      </c>
      <c r="C51" s="18">
        <v>16.7</v>
      </c>
      <c r="D51" s="3">
        <v>4</v>
      </c>
      <c r="E51" s="18">
        <v>8</v>
      </c>
      <c r="F51" s="2">
        <v>0.27013888888888887</v>
      </c>
      <c r="G51" s="3">
        <v>212</v>
      </c>
    </row>
    <row r="52" spans="1:7" x14ac:dyDescent="0.3">
      <c r="A52">
        <v>51</v>
      </c>
      <c r="B52" t="s">
        <v>22</v>
      </c>
      <c r="C52" s="18">
        <v>16</v>
      </c>
      <c r="D52" s="3">
        <v>1</v>
      </c>
      <c r="E52" s="18">
        <v>16</v>
      </c>
      <c r="F52" s="2">
        <v>0.26458333333333334</v>
      </c>
      <c r="G52" s="3">
        <v>520</v>
      </c>
    </row>
    <row r="53" spans="1:7" x14ac:dyDescent="0.3">
      <c r="A53">
        <v>52</v>
      </c>
      <c r="B53" t="s">
        <v>430</v>
      </c>
      <c r="C53" s="18">
        <v>15.1</v>
      </c>
      <c r="D53" s="3">
        <v>3</v>
      </c>
      <c r="E53" s="18">
        <v>6.7</v>
      </c>
      <c r="F53" s="2">
        <v>0.35138888888888886</v>
      </c>
      <c r="G53" s="3">
        <v>165</v>
      </c>
    </row>
    <row r="54" spans="1:7" x14ac:dyDescent="0.3">
      <c r="A54">
        <v>53</v>
      </c>
      <c r="B54" t="s">
        <v>173</v>
      </c>
      <c r="C54" s="18">
        <v>14.3</v>
      </c>
      <c r="D54" s="3">
        <v>1</v>
      </c>
      <c r="E54" s="18">
        <v>14.3</v>
      </c>
      <c r="F54" s="2">
        <v>0.33263888888888887</v>
      </c>
      <c r="G54" s="3">
        <v>535</v>
      </c>
    </row>
    <row r="55" spans="1:7" x14ac:dyDescent="0.3">
      <c r="A55">
        <v>54</v>
      </c>
      <c r="B55" t="s">
        <v>78</v>
      </c>
      <c r="C55" s="18">
        <v>13.5</v>
      </c>
      <c r="D55" s="3">
        <v>4</v>
      </c>
      <c r="E55" s="18">
        <v>7.6</v>
      </c>
      <c r="F55" s="2">
        <v>0.52222222222222225</v>
      </c>
      <c r="G55" s="3">
        <v>131</v>
      </c>
    </row>
    <row r="56" spans="1:7" x14ac:dyDescent="0.3">
      <c r="A56">
        <v>55</v>
      </c>
      <c r="B56" t="s">
        <v>196</v>
      </c>
      <c r="C56" s="18">
        <v>13.3</v>
      </c>
      <c r="D56" s="3">
        <v>1</v>
      </c>
      <c r="E56" s="18">
        <v>13.3</v>
      </c>
      <c r="F56" s="2">
        <v>0.34375</v>
      </c>
      <c r="G56" s="3">
        <v>528</v>
      </c>
    </row>
    <row r="57" spans="1:7" x14ac:dyDescent="0.3">
      <c r="A57">
        <v>56</v>
      </c>
      <c r="B57" t="s">
        <v>404</v>
      </c>
      <c r="C57" s="18">
        <v>13.3</v>
      </c>
      <c r="D57" s="3">
        <v>1</v>
      </c>
      <c r="E57" s="18">
        <v>13.3</v>
      </c>
      <c r="F57" s="2">
        <v>0.28680555555555554</v>
      </c>
      <c r="G57" s="3">
        <v>325</v>
      </c>
    </row>
    <row r="58" spans="1:7" x14ac:dyDescent="0.3">
      <c r="A58">
        <v>57</v>
      </c>
      <c r="B58" t="s">
        <v>14</v>
      </c>
      <c r="C58" s="18">
        <v>13</v>
      </c>
      <c r="D58" s="3">
        <v>2</v>
      </c>
      <c r="E58" s="18">
        <v>7</v>
      </c>
      <c r="F58" s="2">
        <v>0.23333333333333334</v>
      </c>
      <c r="G58" s="3">
        <v>53</v>
      </c>
    </row>
    <row r="59" spans="1:7" x14ac:dyDescent="0.3">
      <c r="A59">
        <v>58</v>
      </c>
      <c r="B59" t="s">
        <v>400</v>
      </c>
      <c r="C59" s="18">
        <v>12.8</v>
      </c>
      <c r="D59" s="3">
        <v>2</v>
      </c>
      <c r="E59" s="18">
        <v>7.3</v>
      </c>
      <c r="F59" s="2">
        <v>0.22916666666666666</v>
      </c>
      <c r="G59" s="3">
        <v>86</v>
      </c>
    </row>
    <row r="60" spans="1:7" x14ac:dyDescent="0.3">
      <c r="A60">
        <v>59</v>
      </c>
      <c r="B60" t="s">
        <v>58</v>
      </c>
      <c r="C60" s="18">
        <v>12</v>
      </c>
      <c r="D60" s="3">
        <v>2</v>
      </c>
      <c r="E60" s="18">
        <v>8</v>
      </c>
      <c r="F60" s="2">
        <v>0.32777777777777778</v>
      </c>
      <c r="G60" s="3">
        <v>105</v>
      </c>
    </row>
    <row r="61" spans="1:7" x14ac:dyDescent="0.3">
      <c r="A61">
        <v>60</v>
      </c>
      <c r="B61" t="s">
        <v>19</v>
      </c>
      <c r="C61" s="18">
        <v>10.6</v>
      </c>
      <c r="D61" s="3">
        <v>2</v>
      </c>
      <c r="E61" s="18">
        <v>7.6</v>
      </c>
      <c r="F61" s="2">
        <v>0.18541666666666667</v>
      </c>
      <c r="G61" s="3">
        <v>91</v>
      </c>
    </row>
    <row r="62" spans="1:7" x14ac:dyDescent="0.3">
      <c r="A62">
        <v>61</v>
      </c>
      <c r="B62" t="s">
        <v>81</v>
      </c>
      <c r="C62" s="18">
        <v>10.199999999999999</v>
      </c>
      <c r="D62" s="3">
        <v>1</v>
      </c>
      <c r="E62" s="18">
        <v>10.199999999999999</v>
      </c>
      <c r="F62" s="2">
        <v>0.26180555555555557</v>
      </c>
      <c r="G62" s="3">
        <v>14</v>
      </c>
    </row>
    <row r="63" spans="1:7" x14ac:dyDescent="0.3">
      <c r="A63">
        <v>62</v>
      </c>
      <c r="B63" t="s">
        <v>176</v>
      </c>
      <c r="C63" s="18">
        <v>10</v>
      </c>
      <c r="D63" s="3">
        <v>1</v>
      </c>
      <c r="E63" s="18">
        <v>10</v>
      </c>
      <c r="F63" s="2">
        <v>0.29652777777777778</v>
      </c>
      <c r="G63" s="3">
        <v>135</v>
      </c>
    </row>
    <row r="64" spans="1:7" x14ac:dyDescent="0.3">
      <c r="A64">
        <v>63</v>
      </c>
      <c r="B64" t="s">
        <v>72</v>
      </c>
      <c r="C64" s="18">
        <v>10</v>
      </c>
      <c r="D64" s="3">
        <v>2</v>
      </c>
      <c r="E64" s="18">
        <v>6</v>
      </c>
      <c r="F64" s="2">
        <v>0.26111111111111113</v>
      </c>
      <c r="G64" s="3">
        <v>126</v>
      </c>
    </row>
    <row r="65" spans="1:7" x14ac:dyDescent="0.3">
      <c r="A65">
        <v>64</v>
      </c>
      <c r="B65" t="s">
        <v>179</v>
      </c>
      <c r="C65" s="18">
        <v>10</v>
      </c>
      <c r="D65" s="3">
        <v>1</v>
      </c>
      <c r="E65" s="18">
        <v>10</v>
      </c>
      <c r="F65" s="2">
        <v>0.28055555555555556</v>
      </c>
      <c r="G65" s="3">
        <v>136</v>
      </c>
    </row>
    <row r="66" spans="1:7" x14ac:dyDescent="0.3">
      <c r="A66">
        <v>65</v>
      </c>
      <c r="B66" t="s">
        <v>178</v>
      </c>
      <c r="C66" s="18">
        <v>10</v>
      </c>
      <c r="D66" s="3">
        <v>1</v>
      </c>
      <c r="E66" s="18">
        <v>10</v>
      </c>
      <c r="F66" s="2">
        <v>0.27430555555555558</v>
      </c>
      <c r="G66" s="3">
        <v>131</v>
      </c>
    </row>
    <row r="67" spans="1:7" x14ac:dyDescent="0.3">
      <c r="A67">
        <v>66</v>
      </c>
      <c r="B67" t="s">
        <v>63</v>
      </c>
      <c r="C67" s="18">
        <v>10</v>
      </c>
      <c r="D67" s="3">
        <v>2</v>
      </c>
      <c r="E67" s="18">
        <v>5</v>
      </c>
      <c r="F67" s="2">
        <v>0.27638888888888891</v>
      </c>
      <c r="G67" s="3">
        <v>11</v>
      </c>
    </row>
    <row r="68" spans="1:7" x14ac:dyDescent="0.3">
      <c r="A68">
        <v>67</v>
      </c>
      <c r="B68" t="s">
        <v>198</v>
      </c>
      <c r="C68" s="18">
        <v>7.9</v>
      </c>
      <c r="D68" s="3">
        <v>1</v>
      </c>
      <c r="E68" s="18">
        <v>7.9</v>
      </c>
      <c r="F68" s="2">
        <v>0.38541666666666669</v>
      </c>
      <c r="G68" s="3">
        <v>65</v>
      </c>
    </row>
    <row r="69" spans="1:7" x14ac:dyDescent="0.3">
      <c r="A69">
        <v>68</v>
      </c>
      <c r="B69" t="s">
        <v>61</v>
      </c>
      <c r="C69" s="18">
        <v>7.9</v>
      </c>
      <c r="D69" s="3">
        <v>1</v>
      </c>
      <c r="E69" s="18">
        <v>7.9</v>
      </c>
      <c r="F69" s="2">
        <v>0.27986111111111112</v>
      </c>
      <c r="G69" s="3">
        <v>85</v>
      </c>
    </row>
    <row r="70" spans="1:7" x14ac:dyDescent="0.3">
      <c r="A70">
        <v>69</v>
      </c>
      <c r="B70" t="s">
        <v>36</v>
      </c>
      <c r="C70" s="18">
        <v>7.8</v>
      </c>
      <c r="D70" s="3">
        <v>1</v>
      </c>
      <c r="E70" s="18">
        <v>7.8</v>
      </c>
      <c r="F70" s="2">
        <v>0.29236111111111113</v>
      </c>
      <c r="G70" s="3">
        <v>76</v>
      </c>
    </row>
    <row r="71" spans="1:7" x14ac:dyDescent="0.3">
      <c r="A71">
        <v>70</v>
      </c>
      <c r="B71" t="s">
        <v>197</v>
      </c>
      <c r="C71" s="18">
        <v>7</v>
      </c>
      <c r="D71" s="3">
        <v>1</v>
      </c>
      <c r="E71" s="18">
        <v>7</v>
      </c>
      <c r="F71" s="2">
        <v>0.34305555555555556</v>
      </c>
      <c r="G71" s="3">
        <v>14</v>
      </c>
    </row>
    <row r="72" spans="1:7" x14ac:dyDescent="0.3">
      <c r="A72">
        <v>71</v>
      </c>
      <c r="B72" t="s">
        <v>30</v>
      </c>
      <c r="C72" s="18">
        <v>6.9</v>
      </c>
      <c r="D72" s="3">
        <v>4</v>
      </c>
      <c r="E72" s="18">
        <v>1.9</v>
      </c>
      <c r="F72" s="2">
        <v>0.26458333333333334</v>
      </c>
      <c r="G72" s="3">
        <v>69</v>
      </c>
    </row>
    <row r="73" spans="1:7" x14ac:dyDescent="0.3">
      <c r="A73">
        <v>72</v>
      </c>
      <c r="B73" t="s">
        <v>24</v>
      </c>
      <c r="C73" s="18">
        <v>6</v>
      </c>
      <c r="D73" s="3">
        <v>1</v>
      </c>
      <c r="E73" s="18">
        <v>6</v>
      </c>
      <c r="F73" s="2">
        <v>0.28680555555555554</v>
      </c>
      <c r="G73" s="3">
        <v>80</v>
      </c>
    </row>
    <row r="74" spans="1:7" x14ac:dyDescent="0.3">
      <c r="A74">
        <v>73</v>
      </c>
      <c r="B74" t="s">
        <v>28</v>
      </c>
      <c r="C74" s="18">
        <v>6</v>
      </c>
      <c r="D74" s="3">
        <v>1</v>
      </c>
      <c r="E74" s="18">
        <v>6</v>
      </c>
      <c r="F74" s="2">
        <v>0.31111111111111112</v>
      </c>
      <c r="G74" s="3">
        <v>14</v>
      </c>
    </row>
    <row r="75" spans="1:7" x14ac:dyDescent="0.3">
      <c r="A75">
        <v>74</v>
      </c>
      <c r="B75" t="s">
        <v>214</v>
      </c>
      <c r="C75" s="18">
        <v>4</v>
      </c>
      <c r="D75" s="3">
        <v>1</v>
      </c>
      <c r="E75" s="18">
        <v>4</v>
      </c>
      <c r="F75" s="2">
        <v>0.24236111111111111</v>
      </c>
      <c r="G75" s="3">
        <v>32</v>
      </c>
    </row>
    <row r="76" spans="1:7" x14ac:dyDescent="0.3">
      <c r="A76">
        <v>75</v>
      </c>
      <c r="B76" t="s">
        <v>174</v>
      </c>
      <c r="C76" s="18">
        <v>3.9</v>
      </c>
      <c r="D76" s="3">
        <v>1</v>
      </c>
      <c r="E76" s="18">
        <v>3.9</v>
      </c>
      <c r="F76" s="2">
        <v>0.69722222222222219</v>
      </c>
      <c r="G76" s="3">
        <v>28</v>
      </c>
    </row>
  </sheetData>
  <autoFilter ref="A1:I77" xr:uid="{D7DE90D2-E864-4B93-AD52-54E442BD8DD9}"/>
  <pageMargins left="0.7" right="0.7" top="0.75" bottom="0.75" header="0.3" footer="0.3"/>
  <headerFooter>
    <oddFooter>&amp;C_x000D_&amp;1#&amp;"Calibri"&amp;8&amp;K000000 Public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64978-5BA7-4D87-B14A-2B4D6BB52477}">
  <sheetPr filterMode="1"/>
  <dimension ref="A1:H76"/>
  <sheetViews>
    <sheetView workbookViewId="0">
      <selection activeCell="B76" sqref="B76"/>
    </sheetView>
  </sheetViews>
  <sheetFormatPr defaultRowHeight="14.4" x14ac:dyDescent="0.3"/>
  <cols>
    <col min="2" max="2" width="8.88671875" customWidth="1"/>
  </cols>
  <sheetData>
    <row r="1" spans="1:8" x14ac:dyDescent="0.3">
      <c r="A1" s="1" t="s">
        <v>0</v>
      </c>
      <c r="B1" s="1" t="s">
        <v>1</v>
      </c>
      <c r="C1" s="1" t="s">
        <v>82</v>
      </c>
      <c r="D1" s="1" t="s">
        <v>2</v>
      </c>
      <c r="E1" s="1" t="s">
        <v>83</v>
      </c>
      <c r="F1" s="1" t="s">
        <v>84</v>
      </c>
      <c r="G1" s="1" t="s">
        <v>85</v>
      </c>
    </row>
    <row r="2" spans="1:8" hidden="1" x14ac:dyDescent="0.3">
      <c r="A2">
        <v>1</v>
      </c>
      <c r="B2" t="s">
        <v>4</v>
      </c>
      <c r="C2" s="18">
        <v>125.9</v>
      </c>
      <c r="D2" s="3">
        <v>8</v>
      </c>
      <c r="E2" s="18">
        <v>26</v>
      </c>
      <c r="F2" s="2">
        <v>0.24305555555555555</v>
      </c>
      <c r="G2" s="3">
        <v>1959</v>
      </c>
      <c r="H2" t="str">
        <f>VLOOKUP(B2,TOTAL!$B$3:$B$105,1,0)</f>
        <v>Sérgio Miguel Sérgio Miguel</v>
      </c>
    </row>
    <row r="3" spans="1:8" hidden="1" x14ac:dyDescent="0.3">
      <c r="A3">
        <v>2</v>
      </c>
      <c r="B3" t="s">
        <v>13</v>
      </c>
      <c r="C3" s="18">
        <v>97</v>
      </c>
      <c r="D3" s="3">
        <v>7</v>
      </c>
      <c r="E3" s="18">
        <v>30.6</v>
      </c>
      <c r="F3" s="2">
        <v>0.27291666666666664</v>
      </c>
      <c r="G3" s="3">
        <v>2734</v>
      </c>
      <c r="H3" t="str">
        <f>VLOOKUP(B3,TOTAL!$B$3:$B$105,1,0)</f>
        <v>Sara Pedrosa Sara Pedrosa</v>
      </c>
    </row>
    <row r="4" spans="1:8" hidden="1" x14ac:dyDescent="0.3">
      <c r="A4">
        <v>3</v>
      </c>
      <c r="B4" t="s">
        <v>9</v>
      </c>
      <c r="C4" s="18">
        <v>85.6</v>
      </c>
      <c r="D4" s="3">
        <v>6</v>
      </c>
      <c r="E4" s="18">
        <v>30</v>
      </c>
      <c r="F4" s="2">
        <v>0.25763888888888886</v>
      </c>
      <c r="G4" s="3">
        <v>1059</v>
      </c>
      <c r="H4" t="str">
        <f>VLOOKUP(B4,TOTAL!$B$3:$B$105,1,0)</f>
        <v>Carlos Vaz Vignolo Carlos Vaz Vignolo</v>
      </c>
    </row>
    <row r="5" spans="1:8" hidden="1" x14ac:dyDescent="0.3">
      <c r="A5">
        <v>4</v>
      </c>
      <c r="B5" t="s">
        <v>34</v>
      </c>
      <c r="C5" s="18">
        <v>80.7</v>
      </c>
      <c r="D5" s="3">
        <v>5</v>
      </c>
      <c r="E5" s="18">
        <v>25.4</v>
      </c>
      <c r="F5" s="2">
        <v>0.31527777777777777</v>
      </c>
      <c r="G5" s="3">
        <v>2221</v>
      </c>
      <c r="H5" t="str">
        <f>VLOOKUP(B5,TOTAL!$B$3:$B$105,1,0)</f>
        <v>Marina Marques Marina Marques</v>
      </c>
    </row>
    <row r="6" spans="1:8" hidden="1" x14ac:dyDescent="0.3">
      <c r="A6">
        <v>5</v>
      </c>
      <c r="B6" t="s">
        <v>10</v>
      </c>
      <c r="C6" s="18">
        <v>70.3</v>
      </c>
      <c r="D6" s="3">
        <v>5</v>
      </c>
      <c r="E6" s="18">
        <v>42.7</v>
      </c>
      <c r="F6" s="2">
        <v>0.25763888888888886</v>
      </c>
      <c r="G6" s="3">
        <v>253</v>
      </c>
      <c r="H6" t="str">
        <f>VLOOKUP(B6,TOTAL!$B$3:$B$105,1,0)</f>
        <v>João Veiga João Veiga</v>
      </c>
    </row>
    <row r="7" spans="1:8" hidden="1" x14ac:dyDescent="0.3">
      <c r="A7">
        <v>6</v>
      </c>
      <c r="B7" t="s">
        <v>6</v>
      </c>
      <c r="C7" s="18">
        <v>59</v>
      </c>
      <c r="D7" s="3">
        <v>5</v>
      </c>
      <c r="E7" s="18">
        <v>18.8</v>
      </c>
      <c r="F7" s="2">
        <v>0.32847222222222222</v>
      </c>
      <c r="G7" s="3">
        <v>1713</v>
      </c>
      <c r="H7" t="str">
        <f>VLOOKUP(B7,TOTAL!$B$3:$B$105,1,0)</f>
        <v>Carmen Ferreira Carmen Ferreira</v>
      </c>
    </row>
    <row r="8" spans="1:8" hidden="1" x14ac:dyDescent="0.3">
      <c r="A8">
        <v>7</v>
      </c>
      <c r="B8" t="s">
        <v>12</v>
      </c>
      <c r="C8" s="18">
        <v>50.6</v>
      </c>
      <c r="D8" s="3">
        <v>5</v>
      </c>
      <c r="E8" s="18">
        <v>21.3</v>
      </c>
      <c r="F8" s="2">
        <v>0.26944444444444443</v>
      </c>
      <c r="G8" s="3">
        <v>170</v>
      </c>
      <c r="H8" t="str">
        <f>VLOOKUP(B8,TOTAL!$B$3:$B$105,1,0)</f>
        <v>Adalberto Grilo Adalberto Grilo</v>
      </c>
    </row>
    <row r="9" spans="1:8" hidden="1" x14ac:dyDescent="0.3">
      <c r="A9">
        <v>8</v>
      </c>
      <c r="B9" t="s">
        <v>15</v>
      </c>
      <c r="C9" s="18">
        <v>50</v>
      </c>
      <c r="D9" s="3">
        <v>4</v>
      </c>
      <c r="E9" s="18">
        <v>18.7</v>
      </c>
      <c r="F9" s="2">
        <v>0.33333333333333331</v>
      </c>
      <c r="G9" s="3">
        <v>1823</v>
      </c>
      <c r="H9" t="str">
        <f>VLOOKUP(B9,TOTAL!$B$3:$B$105,1,0)</f>
        <v>Sandra Romano Sandra Romano</v>
      </c>
    </row>
    <row r="10" spans="1:8" hidden="1" x14ac:dyDescent="0.3">
      <c r="A10">
        <v>9</v>
      </c>
      <c r="B10" t="s">
        <v>42</v>
      </c>
      <c r="C10" s="18">
        <v>46.3</v>
      </c>
      <c r="D10" s="3">
        <v>4</v>
      </c>
      <c r="E10" s="18">
        <v>27.8</v>
      </c>
      <c r="F10" s="2">
        <v>0.22777777777777777</v>
      </c>
      <c r="G10" s="3">
        <v>123</v>
      </c>
      <c r="H10" t="str">
        <f>VLOOKUP(B10,TOTAL!$B$3:$B$105,1,0)</f>
        <v>Vitor Pires Vitor Pires</v>
      </c>
    </row>
    <row r="11" spans="1:8" hidden="1" x14ac:dyDescent="0.3">
      <c r="A11">
        <v>10</v>
      </c>
      <c r="B11" t="s">
        <v>52</v>
      </c>
      <c r="C11" s="18">
        <v>43.2</v>
      </c>
      <c r="D11" s="3">
        <v>5</v>
      </c>
      <c r="E11" s="18">
        <v>21.3</v>
      </c>
      <c r="F11" s="2">
        <v>0.2388888888888889</v>
      </c>
      <c r="G11" s="3">
        <v>72</v>
      </c>
      <c r="H11" t="str">
        <f>VLOOKUP(B11,TOTAL!$B$3:$B$105,1,0)</f>
        <v>Fernando Rosete  Fernando Rosete</v>
      </c>
    </row>
    <row r="12" spans="1:8" hidden="1" x14ac:dyDescent="0.3">
      <c r="A12">
        <v>11</v>
      </c>
      <c r="B12" t="s">
        <v>23</v>
      </c>
      <c r="C12" s="18">
        <v>42.7</v>
      </c>
      <c r="D12" s="3">
        <v>1</v>
      </c>
      <c r="E12" s="18">
        <v>42.7</v>
      </c>
      <c r="F12" s="2">
        <v>0.33402777777777776</v>
      </c>
      <c r="G12" s="3">
        <v>713</v>
      </c>
      <c r="H12" t="str">
        <f>VLOOKUP(B12,TOTAL!$B$3:$B$105,1,0)</f>
        <v>Teodoro Trindade Teodoro Trindade</v>
      </c>
    </row>
    <row r="13" spans="1:8" hidden="1" x14ac:dyDescent="0.3">
      <c r="A13">
        <v>12</v>
      </c>
      <c r="B13" t="s">
        <v>26</v>
      </c>
      <c r="C13" s="18">
        <v>41.5</v>
      </c>
      <c r="D13" s="3">
        <v>3</v>
      </c>
      <c r="E13" s="18">
        <v>21.3</v>
      </c>
      <c r="F13" s="2">
        <v>0.22638888888888889</v>
      </c>
      <c r="G13" s="3">
        <v>17</v>
      </c>
      <c r="H13" t="str">
        <f>VLOOKUP(B13,TOTAL!$B$3:$B$105,1,0)</f>
        <v>Jorge Paulo Jorge Paulo</v>
      </c>
    </row>
    <row r="14" spans="1:8" hidden="1" x14ac:dyDescent="0.3">
      <c r="A14">
        <v>13</v>
      </c>
      <c r="B14" t="s">
        <v>8</v>
      </c>
      <c r="C14" s="18">
        <v>39.700000000000003</v>
      </c>
      <c r="D14" s="3">
        <v>3</v>
      </c>
      <c r="E14" s="18">
        <v>22</v>
      </c>
      <c r="F14" s="2">
        <v>0.20694444444444443</v>
      </c>
      <c r="G14" s="3">
        <v>323</v>
      </c>
      <c r="H14" t="str">
        <f>VLOOKUP(B14,TOTAL!$B$3:$B$105,1,0)</f>
        <v>Miguel Amaral Miguel Amaral</v>
      </c>
    </row>
    <row r="15" spans="1:8" hidden="1" x14ac:dyDescent="0.3">
      <c r="A15">
        <v>14</v>
      </c>
      <c r="B15" t="s">
        <v>31</v>
      </c>
      <c r="C15" s="18">
        <v>38.200000000000003</v>
      </c>
      <c r="D15" s="3">
        <v>3</v>
      </c>
      <c r="E15" s="18">
        <v>21.2</v>
      </c>
      <c r="F15" s="2">
        <v>0.22569444444444445</v>
      </c>
      <c r="G15" s="3">
        <v>425</v>
      </c>
      <c r="H15" t="str">
        <f>VLOOKUP(B15,TOTAL!$B$3:$B$105,1,0)</f>
        <v>Paulo Machado Paulo Machado</v>
      </c>
    </row>
    <row r="16" spans="1:8" hidden="1" x14ac:dyDescent="0.3">
      <c r="A16">
        <v>15</v>
      </c>
      <c r="B16" t="s">
        <v>76</v>
      </c>
      <c r="C16" s="18">
        <v>38.1</v>
      </c>
      <c r="D16" s="3">
        <v>3</v>
      </c>
      <c r="E16" s="18">
        <v>21.2</v>
      </c>
      <c r="F16" s="2">
        <v>0.23194444444444445</v>
      </c>
      <c r="G16" s="3">
        <v>232</v>
      </c>
      <c r="H16" t="str">
        <f>VLOOKUP(B16,TOTAL!$B$3:$B$105,1,0)</f>
        <v>Nuno Alves Nuno Alves</v>
      </c>
    </row>
    <row r="17" spans="1:8" hidden="1" x14ac:dyDescent="0.3">
      <c r="A17">
        <v>16</v>
      </c>
      <c r="B17" t="s">
        <v>69</v>
      </c>
      <c r="C17" s="18">
        <v>37.799999999999997</v>
      </c>
      <c r="D17" s="3">
        <v>3</v>
      </c>
      <c r="E17" s="18">
        <v>17</v>
      </c>
      <c r="F17" s="2">
        <v>0.37083333333333335</v>
      </c>
      <c r="G17" s="3">
        <v>1220</v>
      </c>
      <c r="H17" t="str">
        <f>VLOOKUP(B17,TOTAL!$B$3:$B$105,1,0)</f>
        <v>Rafaela Dinis Rafaela Dinis</v>
      </c>
    </row>
    <row r="18" spans="1:8" hidden="1" x14ac:dyDescent="0.3">
      <c r="A18">
        <v>17</v>
      </c>
      <c r="B18" t="s">
        <v>47</v>
      </c>
      <c r="C18" s="18">
        <v>37.1</v>
      </c>
      <c r="D18" s="3">
        <v>12</v>
      </c>
      <c r="E18" s="18">
        <v>13.1</v>
      </c>
      <c r="F18" s="2">
        <v>0.64236111111111116</v>
      </c>
      <c r="G18" s="3">
        <v>176</v>
      </c>
      <c r="H18" t="str">
        <f>VLOOKUP(B18,TOTAL!$B$3:$B$105,1,0)</f>
        <v>Cesar Moreira Cesar Moreira</v>
      </c>
    </row>
    <row r="19" spans="1:8" hidden="1" x14ac:dyDescent="0.3">
      <c r="A19">
        <v>18</v>
      </c>
      <c r="B19" t="s">
        <v>49</v>
      </c>
      <c r="C19" s="18">
        <v>33.9</v>
      </c>
      <c r="D19" s="3">
        <v>4</v>
      </c>
      <c r="E19" s="18">
        <v>12.6</v>
      </c>
      <c r="F19" s="2">
        <v>0.23055555555555557</v>
      </c>
      <c r="G19" s="3">
        <v>160</v>
      </c>
      <c r="H19" t="str">
        <f>VLOOKUP(B19,TOTAL!$B$3:$B$105,1,0)</f>
        <v>Paulo Vintém Oliveira Paulo Vintém Oliveira</v>
      </c>
    </row>
    <row r="20" spans="1:8" hidden="1" x14ac:dyDescent="0.3">
      <c r="A20">
        <v>19</v>
      </c>
      <c r="B20" t="s">
        <v>14</v>
      </c>
      <c r="C20" s="18">
        <v>33</v>
      </c>
      <c r="D20" s="3">
        <v>2</v>
      </c>
      <c r="E20" s="18">
        <v>17</v>
      </c>
      <c r="F20" s="2">
        <v>0.25069444444444444</v>
      </c>
      <c r="G20" s="3">
        <v>277</v>
      </c>
      <c r="H20" t="str">
        <f>VLOOKUP(B20,TOTAL!$B$3:$B$105,1,0)</f>
        <v>Alexandre Jorge Alexandre Jorge</v>
      </c>
    </row>
    <row r="21" spans="1:8" hidden="1" x14ac:dyDescent="0.3">
      <c r="A21">
        <v>20</v>
      </c>
      <c r="B21" t="s">
        <v>32</v>
      </c>
      <c r="C21" s="18">
        <v>27.1</v>
      </c>
      <c r="D21" s="3">
        <v>4</v>
      </c>
      <c r="E21" s="18">
        <v>10.1</v>
      </c>
      <c r="F21" s="2">
        <v>0.25</v>
      </c>
      <c r="G21" s="3">
        <v>252</v>
      </c>
      <c r="H21" t="str">
        <f>VLOOKUP(B21,TOTAL!$B$3:$B$105,1,0)</f>
        <v>Rita Vicente Rita Vicente</v>
      </c>
    </row>
    <row r="22" spans="1:8" hidden="1" x14ac:dyDescent="0.3">
      <c r="A22">
        <v>21</v>
      </c>
      <c r="B22" t="s">
        <v>30</v>
      </c>
      <c r="C22" s="18">
        <v>24.9</v>
      </c>
      <c r="D22" s="3">
        <v>8</v>
      </c>
      <c r="E22" s="18">
        <v>10.1</v>
      </c>
      <c r="F22" s="2">
        <v>0.30138888888888887</v>
      </c>
      <c r="G22" s="3">
        <v>323</v>
      </c>
      <c r="H22" t="str">
        <f>VLOOKUP(B22,TOTAL!$B$3:$B$105,1,0)</f>
        <v>António Carlos Teixeira Duarte António Carlos Teixeira Duarte</v>
      </c>
    </row>
    <row r="23" spans="1:8" hidden="1" x14ac:dyDescent="0.3">
      <c r="A23">
        <v>22</v>
      </c>
      <c r="B23" t="s">
        <v>51</v>
      </c>
      <c r="C23" s="18">
        <v>23.4</v>
      </c>
      <c r="D23" s="3">
        <v>3</v>
      </c>
      <c r="E23" s="18">
        <v>8.6999999999999993</v>
      </c>
      <c r="F23" s="2">
        <v>0.2673611111111111</v>
      </c>
      <c r="G23" s="3">
        <v>152</v>
      </c>
      <c r="H23" t="str">
        <f>VLOOKUP(B23,TOTAL!$B$3:$B$105,1,0)</f>
        <v>Ana Rute Matos Ana Rute Matos</v>
      </c>
    </row>
    <row r="24" spans="1:8" hidden="1" x14ac:dyDescent="0.3">
      <c r="A24">
        <v>23</v>
      </c>
      <c r="B24" t="s">
        <v>195</v>
      </c>
      <c r="C24" s="18">
        <v>22.8</v>
      </c>
      <c r="D24" s="3">
        <v>2</v>
      </c>
      <c r="E24" s="18">
        <v>12.5</v>
      </c>
      <c r="F24" s="2">
        <v>0.26874999999999999</v>
      </c>
      <c r="G24" s="3">
        <v>325</v>
      </c>
      <c r="H24" t="str">
        <f>VLOOKUP(B24,TOTAL!$B$3:$B$105,1,0)</f>
        <v>André Amaral André Amaral</v>
      </c>
    </row>
    <row r="25" spans="1:8" hidden="1" x14ac:dyDescent="0.3">
      <c r="A25">
        <v>24</v>
      </c>
      <c r="B25" t="s">
        <v>54</v>
      </c>
      <c r="C25" s="18">
        <v>22.7</v>
      </c>
      <c r="D25" s="3">
        <v>3</v>
      </c>
      <c r="E25" s="18">
        <v>8</v>
      </c>
      <c r="F25" s="2">
        <v>0.25833333333333336</v>
      </c>
      <c r="G25" s="3">
        <v>496</v>
      </c>
      <c r="H25" t="str">
        <f>VLOOKUP(B25,TOTAL!$B$3:$B$105,1,0)</f>
        <v>António  Rego ???????? António Rego ????????</v>
      </c>
    </row>
    <row r="26" spans="1:8" hidden="1" x14ac:dyDescent="0.3">
      <c r="A26">
        <v>25</v>
      </c>
      <c r="B26" t="s">
        <v>178</v>
      </c>
      <c r="C26" s="18">
        <v>22.6</v>
      </c>
      <c r="D26" s="3">
        <v>2</v>
      </c>
      <c r="E26" s="18">
        <v>12.6</v>
      </c>
      <c r="F26" s="2">
        <v>0.29791666666666666</v>
      </c>
      <c r="G26" s="3">
        <v>205</v>
      </c>
      <c r="H26" t="str">
        <f>VLOOKUP(B26,TOTAL!$B$3:$B$105,1,0)</f>
        <v>Rui Próspero Rui Próspero</v>
      </c>
    </row>
    <row r="27" spans="1:8" hidden="1" x14ac:dyDescent="0.3">
      <c r="A27">
        <v>26</v>
      </c>
      <c r="B27" t="s">
        <v>61</v>
      </c>
      <c r="C27" s="18">
        <v>22.6</v>
      </c>
      <c r="D27" s="3">
        <v>2</v>
      </c>
      <c r="E27" s="18">
        <v>12.6</v>
      </c>
      <c r="F27" s="2">
        <v>0.29583333333333334</v>
      </c>
      <c r="G27" s="3">
        <v>272</v>
      </c>
      <c r="H27" t="str">
        <f>VLOOKUP(B27,TOTAL!$B$3:$B$105,1,0)</f>
        <v>Sandra S Sandra S</v>
      </c>
    </row>
    <row r="28" spans="1:8" hidden="1" x14ac:dyDescent="0.3">
      <c r="A28">
        <v>27</v>
      </c>
      <c r="B28" t="s">
        <v>53</v>
      </c>
      <c r="C28" s="18">
        <v>22.4</v>
      </c>
      <c r="D28" s="3">
        <v>2</v>
      </c>
      <c r="E28" s="18">
        <v>12.1</v>
      </c>
      <c r="F28" s="2">
        <v>0.22291666666666668</v>
      </c>
      <c r="G28" s="3">
        <v>199</v>
      </c>
      <c r="H28" t="str">
        <f>VLOOKUP(B28,TOTAL!$B$3:$B$105,1,0)</f>
        <v>Emanuel Silva Emanuel Silva</v>
      </c>
    </row>
    <row r="29" spans="1:8" hidden="1" x14ac:dyDescent="0.3">
      <c r="A29">
        <v>28</v>
      </c>
      <c r="B29" t="s">
        <v>21</v>
      </c>
      <c r="C29" s="18">
        <v>22.4</v>
      </c>
      <c r="D29" s="3">
        <v>2</v>
      </c>
      <c r="E29" s="18">
        <v>12.1</v>
      </c>
      <c r="F29" s="2">
        <v>0.28611111111111109</v>
      </c>
      <c r="G29" s="3">
        <v>88</v>
      </c>
      <c r="H29" t="str">
        <f>VLOOKUP(B29,TOTAL!$B$3:$B$105,1,0)</f>
        <v>Carla Rebelo Carla Rebelo</v>
      </c>
    </row>
    <row r="30" spans="1:8" hidden="1" x14ac:dyDescent="0.3">
      <c r="A30">
        <v>29</v>
      </c>
      <c r="B30" t="s">
        <v>44</v>
      </c>
      <c r="C30" s="18">
        <v>22.3</v>
      </c>
      <c r="D30" s="3">
        <v>2</v>
      </c>
      <c r="E30" s="18">
        <v>12</v>
      </c>
      <c r="F30" s="2">
        <v>0.2673611111111111</v>
      </c>
      <c r="G30" s="3">
        <v>385</v>
      </c>
      <c r="H30" t="str">
        <f>VLOOKUP(B30,TOTAL!$B$3:$B$105,1,0)</f>
        <v>Pedro Simões Pedro Simões</v>
      </c>
    </row>
    <row r="31" spans="1:8" hidden="1" x14ac:dyDescent="0.3">
      <c r="A31">
        <v>30</v>
      </c>
      <c r="B31" t="s">
        <v>17</v>
      </c>
      <c r="C31" s="18">
        <v>22.2</v>
      </c>
      <c r="D31" s="3">
        <v>2</v>
      </c>
      <c r="E31" s="18">
        <v>13.1</v>
      </c>
      <c r="F31" s="2">
        <v>0.30069444444444443</v>
      </c>
      <c r="G31" s="3">
        <v>521</v>
      </c>
      <c r="H31" t="str">
        <f>VLOOKUP(B31,TOTAL!$B$3:$B$105,1,0)</f>
        <v>Guida Monteiro Guida Monteiro</v>
      </c>
    </row>
    <row r="32" spans="1:8" hidden="1" x14ac:dyDescent="0.3">
      <c r="A32">
        <v>31</v>
      </c>
      <c r="B32" t="s">
        <v>179</v>
      </c>
      <c r="C32" s="18">
        <v>21.5</v>
      </c>
      <c r="D32" s="3">
        <v>2</v>
      </c>
      <c r="E32" s="18">
        <v>11.8</v>
      </c>
      <c r="F32" s="2">
        <v>0.28888888888888886</v>
      </c>
      <c r="G32" s="3">
        <v>207</v>
      </c>
      <c r="H32" t="str">
        <f>VLOOKUP(B32,TOTAL!$B$3:$B$105,1,0)</f>
        <v>Pedro Silva Pedro Silva</v>
      </c>
    </row>
    <row r="33" spans="1:8" hidden="1" x14ac:dyDescent="0.3">
      <c r="A33">
        <v>32</v>
      </c>
      <c r="B33" t="s">
        <v>37</v>
      </c>
      <c r="C33" s="18">
        <v>21.3</v>
      </c>
      <c r="D33" s="3">
        <v>2</v>
      </c>
      <c r="E33" s="18">
        <v>11.1</v>
      </c>
      <c r="F33" s="2">
        <v>0.29375000000000001</v>
      </c>
      <c r="G33" s="3">
        <v>441</v>
      </c>
      <c r="H33" t="str">
        <f>VLOOKUP(B33,TOTAL!$B$3:$B$105,1,0)</f>
        <v>Gonçalo Fontes de Melo Gonçalo Fontes de Melo</v>
      </c>
    </row>
    <row r="34" spans="1:8" hidden="1" x14ac:dyDescent="0.3">
      <c r="A34">
        <v>33</v>
      </c>
      <c r="B34" t="s">
        <v>175</v>
      </c>
      <c r="C34" s="18">
        <v>21.1</v>
      </c>
      <c r="D34" s="3">
        <v>1</v>
      </c>
      <c r="E34" s="18">
        <v>21.1</v>
      </c>
      <c r="F34" s="2">
        <v>0.27083333333333331</v>
      </c>
      <c r="G34" s="3">
        <v>179</v>
      </c>
      <c r="H34" t="str">
        <f>VLOOKUP(B34,TOTAL!$B$3:$B$105,1,0)</f>
        <v>João Bettencourt João Bettencourt</v>
      </c>
    </row>
    <row r="35" spans="1:8" hidden="1" x14ac:dyDescent="0.3">
      <c r="A35">
        <v>34</v>
      </c>
      <c r="B35" t="s">
        <v>24</v>
      </c>
      <c r="C35" s="18">
        <v>21</v>
      </c>
      <c r="D35" s="3">
        <v>2</v>
      </c>
      <c r="E35" s="18">
        <v>11</v>
      </c>
      <c r="F35" s="2">
        <v>0.31180555555555556</v>
      </c>
      <c r="G35" s="3">
        <v>369</v>
      </c>
      <c r="H35" t="str">
        <f>VLOOKUP(B35,TOTAL!$B$3:$B$105,1,0)</f>
        <v>João Antunes ???? João Antunes ????</v>
      </c>
    </row>
    <row r="36" spans="1:8" hidden="1" x14ac:dyDescent="0.3">
      <c r="A36">
        <v>35</v>
      </c>
      <c r="B36" t="s">
        <v>45</v>
      </c>
      <c r="C36" s="18">
        <v>20.3</v>
      </c>
      <c r="D36" s="3">
        <v>2</v>
      </c>
      <c r="E36" s="18">
        <v>10.1</v>
      </c>
      <c r="F36" s="2">
        <v>0.36805555555555558</v>
      </c>
      <c r="G36" s="3">
        <v>97</v>
      </c>
      <c r="H36" t="str">
        <f>VLOOKUP(B36,TOTAL!$B$3:$B$105,1,0)</f>
        <v>Pedro Machado Pedro Machado</v>
      </c>
    </row>
    <row r="37" spans="1:8" hidden="1" x14ac:dyDescent="0.3">
      <c r="A37">
        <v>36</v>
      </c>
      <c r="B37" t="s">
        <v>63</v>
      </c>
      <c r="C37" s="18">
        <v>20</v>
      </c>
      <c r="D37" s="3">
        <v>3</v>
      </c>
      <c r="E37" s="18">
        <v>9</v>
      </c>
      <c r="F37" s="2">
        <v>0.2951388888888889</v>
      </c>
      <c r="G37" s="3">
        <v>79</v>
      </c>
      <c r="H37" t="str">
        <f>VLOOKUP(B37,TOTAL!$B$3:$B$105,1,0)</f>
        <v>Pedro Morgado Pedro Morgado</v>
      </c>
    </row>
    <row r="38" spans="1:8" hidden="1" x14ac:dyDescent="0.3">
      <c r="A38">
        <v>37</v>
      </c>
      <c r="B38" t="s">
        <v>39</v>
      </c>
      <c r="C38" s="18">
        <v>18.899999999999999</v>
      </c>
      <c r="D38" s="3">
        <v>2</v>
      </c>
      <c r="E38" s="18">
        <v>12.4</v>
      </c>
      <c r="F38" s="2">
        <v>0.33680555555555558</v>
      </c>
      <c r="G38" s="3">
        <v>515</v>
      </c>
      <c r="H38" t="str">
        <f>VLOOKUP(B38,TOTAL!$B$3:$B$105,1,0)</f>
        <v>Paulo Raposo Paulo Raposo</v>
      </c>
    </row>
    <row r="39" spans="1:8" hidden="1" x14ac:dyDescent="0.3">
      <c r="A39">
        <v>38</v>
      </c>
      <c r="B39" t="s">
        <v>27</v>
      </c>
      <c r="C39" s="18">
        <v>18.899999999999999</v>
      </c>
      <c r="D39" s="3">
        <v>2</v>
      </c>
      <c r="E39" s="18">
        <v>10.7</v>
      </c>
      <c r="F39" s="2">
        <v>0.32777777777777778</v>
      </c>
      <c r="G39" s="3">
        <v>297</v>
      </c>
      <c r="H39" t="str">
        <f>VLOOKUP(B39,TOTAL!$B$3:$B$105,1,0)</f>
        <v>Ana Chocalheiro Ana Chocalheiro</v>
      </c>
    </row>
    <row r="40" spans="1:8" hidden="1" x14ac:dyDescent="0.3">
      <c r="A40">
        <v>39</v>
      </c>
      <c r="B40" t="s">
        <v>430</v>
      </c>
      <c r="C40" s="18">
        <v>18.600000000000001</v>
      </c>
      <c r="D40" s="3">
        <v>3</v>
      </c>
      <c r="E40" s="18">
        <v>10</v>
      </c>
      <c r="F40" s="2">
        <v>0.33263888888888887</v>
      </c>
      <c r="G40" s="3">
        <v>145</v>
      </c>
      <c r="H40" t="str">
        <f>VLOOKUP(B40,TOTAL!$B$3:$B$105,1,0)</f>
        <v>João Ralha João Ralha</v>
      </c>
    </row>
    <row r="41" spans="1:8" hidden="1" x14ac:dyDescent="0.3">
      <c r="A41">
        <v>40</v>
      </c>
      <c r="B41" t="s">
        <v>50</v>
      </c>
      <c r="C41" s="18">
        <v>18.100000000000001</v>
      </c>
      <c r="D41" s="3">
        <v>2</v>
      </c>
      <c r="E41" s="18">
        <v>12.1</v>
      </c>
      <c r="F41" s="2">
        <v>0.25555555555555554</v>
      </c>
      <c r="G41" s="3">
        <v>20</v>
      </c>
      <c r="H41" t="str">
        <f>VLOOKUP(B41,TOTAL!$B$3:$B$105,1,0)</f>
        <v>Francisco Sanches-Osorio Francisco Sanches-Osorio</v>
      </c>
    </row>
    <row r="42" spans="1:8" hidden="1" x14ac:dyDescent="0.3">
      <c r="A42">
        <v>41</v>
      </c>
      <c r="B42" t="s">
        <v>40</v>
      </c>
      <c r="C42" s="18">
        <v>18</v>
      </c>
      <c r="D42" s="3">
        <v>3</v>
      </c>
      <c r="E42" s="18">
        <v>13.4</v>
      </c>
      <c r="F42" s="2">
        <v>0.28263888888888888</v>
      </c>
      <c r="G42" s="3">
        <v>233</v>
      </c>
      <c r="H42" t="str">
        <f>VLOOKUP(B42,TOTAL!$B$3:$B$105,1,0)</f>
        <v>Marta Pereira Marta Pereira</v>
      </c>
    </row>
    <row r="43" spans="1:8" hidden="1" x14ac:dyDescent="0.3">
      <c r="A43">
        <v>42</v>
      </c>
      <c r="B43" t="s">
        <v>73</v>
      </c>
      <c r="C43" s="18">
        <v>18</v>
      </c>
      <c r="D43" s="3">
        <v>2</v>
      </c>
      <c r="E43" s="18">
        <v>10</v>
      </c>
      <c r="F43" s="2">
        <v>0.26041666666666669</v>
      </c>
      <c r="G43" s="3">
        <v>109</v>
      </c>
      <c r="H43" t="str">
        <f>VLOOKUP(B43,TOTAL!$B$3:$B$105,1,0)</f>
        <v>Patrícia Calado Patrícia Calado</v>
      </c>
    </row>
    <row r="44" spans="1:8" hidden="1" x14ac:dyDescent="0.3">
      <c r="A44">
        <v>43</v>
      </c>
      <c r="B44" t="s">
        <v>38</v>
      </c>
      <c r="C44" s="18">
        <v>17.5</v>
      </c>
      <c r="D44" s="3">
        <v>3</v>
      </c>
      <c r="E44" s="18">
        <v>6.4</v>
      </c>
      <c r="F44" s="2">
        <v>0.2673611111111111</v>
      </c>
      <c r="G44" s="3">
        <v>69</v>
      </c>
      <c r="H44" t="str">
        <f>VLOOKUP(B44,TOTAL!$B$3:$B$105,1,0)</f>
        <v>Gabriela Grade Gabriela Grade</v>
      </c>
    </row>
    <row r="45" spans="1:8" hidden="1" x14ac:dyDescent="0.3">
      <c r="A45">
        <v>44</v>
      </c>
      <c r="B45" t="s">
        <v>20</v>
      </c>
      <c r="C45" s="18">
        <v>17.5</v>
      </c>
      <c r="D45" s="3">
        <v>2</v>
      </c>
      <c r="E45" s="18">
        <v>15</v>
      </c>
      <c r="F45" s="2">
        <v>0.24166666666666667</v>
      </c>
      <c r="G45" s="3">
        <v>136</v>
      </c>
      <c r="H45" t="str">
        <f>VLOOKUP(B45,TOTAL!$B$3:$B$105,1,0)</f>
        <v>Inês Sepúlveda Inês Sepúlveda</v>
      </c>
    </row>
    <row r="46" spans="1:8" hidden="1" x14ac:dyDescent="0.3">
      <c r="A46">
        <v>45</v>
      </c>
      <c r="B46" t="s">
        <v>19</v>
      </c>
      <c r="C46" s="18">
        <v>16.600000000000001</v>
      </c>
      <c r="D46" s="3">
        <v>1</v>
      </c>
      <c r="E46" s="18">
        <v>16.600000000000001</v>
      </c>
      <c r="F46" s="2">
        <v>0.22291666666666668</v>
      </c>
      <c r="G46" s="3">
        <v>233</v>
      </c>
      <c r="H46" t="str">
        <f>VLOOKUP(B46,TOTAL!$B$3:$B$105,1,0)</f>
        <v>Paulo Dias Paulo Dias</v>
      </c>
    </row>
    <row r="47" spans="1:8" hidden="1" x14ac:dyDescent="0.3">
      <c r="A47">
        <v>46</v>
      </c>
      <c r="B47" t="s">
        <v>29</v>
      </c>
      <c r="C47" s="18">
        <v>16</v>
      </c>
      <c r="D47" s="3">
        <v>2</v>
      </c>
      <c r="E47" s="18">
        <v>8</v>
      </c>
      <c r="F47" s="2">
        <v>0.25694444444444442</v>
      </c>
      <c r="G47" s="3">
        <v>97</v>
      </c>
      <c r="H47" t="str">
        <f>VLOOKUP(B47,TOTAL!$B$3:$B$105,1,0)</f>
        <v>Sara Catita Sara Catita</v>
      </c>
    </row>
    <row r="48" spans="1:8" hidden="1" x14ac:dyDescent="0.3">
      <c r="A48">
        <v>47</v>
      </c>
      <c r="B48" t="s">
        <v>58</v>
      </c>
      <c r="C48" s="18">
        <v>15.6</v>
      </c>
      <c r="D48" s="3">
        <v>2</v>
      </c>
      <c r="E48" s="18">
        <v>10.3</v>
      </c>
      <c r="F48" s="2">
        <v>0.27569444444444446</v>
      </c>
      <c r="G48" s="3" t="s">
        <v>3</v>
      </c>
      <c r="H48" t="str">
        <f>VLOOKUP(B48,TOTAL!$B$3:$B$105,1,0)</f>
        <v>claudia pargana claudia pargana</v>
      </c>
    </row>
    <row r="49" spans="1:8" hidden="1" x14ac:dyDescent="0.3">
      <c r="A49">
        <v>48</v>
      </c>
      <c r="B49" t="s">
        <v>404</v>
      </c>
      <c r="C49" s="18">
        <v>14.3</v>
      </c>
      <c r="D49" s="3">
        <v>1</v>
      </c>
      <c r="E49" s="18">
        <v>14.3</v>
      </c>
      <c r="F49" s="2">
        <v>0.26805555555555555</v>
      </c>
      <c r="G49" s="3">
        <v>319</v>
      </c>
      <c r="H49" t="str">
        <f>VLOOKUP(B49,TOTAL!$B$3:$B$105,1,0)</f>
        <v>Joaquim José Monteiro Joaquim José Monteiro</v>
      </c>
    </row>
    <row r="50" spans="1:8" hidden="1" x14ac:dyDescent="0.3">
      <c r="A50">
        <v>49</v>
      </c>
      <c r="B50" t="s">
        <v>5</v>
      </c>
      <c r="C50" s="18">
        <v>14</v>
      </c>
      <c r="D50" s="3">
        <v>2</v>
      </c>
      <c r="E50" s="18">
        <v>9</v>
      </c>
      <c r="F50" s="2">
        <v>0.22777777777777777</v>
      </c>
      <c r="G50" s="3">
        <v>379</v>
      </c>
      <c r="H50" t="str">
        <f>VLOOKUP(B50,TOTAL!$B$3:$B$105,1,0)</f>
        <v>João Abreu João Abreu</v>
      </c>
    </row>
    <row r="51" spans="1:8" hidden="1" x14ac:dyDescent="0.3">
      <c r="A51">
        <v>50</v>
      </c>
      <c r="B51" t="s">
        <v>173</v>
      </c>
      <c r="C51" s="18">
        <v>12.9</v>
      </c>
      <c r="D51" s="3">
        <v>1</v>
      </c>
      <c r="E51" s="18">
        <v>12.9</v>
      </c>
      <c r="F51" s="2">
        <v>0.37013888888888891</v>
      </c>
      <c r="G51" s="3">
        <v>332</v>
      </c>
      <c r="H51" t="str">
        <f>VLOOKUP(B51,TOTAL!$B$3:$B$105,1,0)</f>
        <v>Raúl Matos Raúl Matos</v>
      </c>
    </row>
    <row r="52" spans="1:8" hidden="1" x14ac:dyDescent="0.3">
      <c r="A52">
        <v>51</v>
      </c>
      <c r="B52" t="s">
        <v>64</v>
      </c>
      <c r="C52" s="18">
        <v>12.7</v>
      </c>
      <c r="D52" s="3">
        <v>1</v>
      </c>
      <c r="E52" s="18">
        <v>12.7</v>
      </c>
      <c r="F52" s="2">
        <v>0.29444444444444445</v>
      </c>
      <c r="G52" s="3">
        <v>226</v>
      </c>
      <c r="H52" t="str">
        <f>VLOOKUP(B52,TOTAL!$B$3:$B$105,1,0)</f>
        <v>Luis Madeira Luis Madeira</v>
      </c>
    </row>
    <row r="53" spans="1:8" hidden="1" x14ac:dyDescent="0.3">
      <c r="A53">
        <v>52</v>
      </c>
      <c r="B53" t="s">
        <v>66</v>
      </c>
      <c r="C53" s="18">
        <v>12.5</v>
      </c>
      <c r="D53" s="3">
        <v>1</v>
      </c>
      <c r="E53" s="18">
        <v>12.5</v>
      </c>
      <c r="F53" s="2">
        <v>0.3298611111111111</v>
      </c>
      <c r="G53" s="3">
        <v>227</v>
      </c>
      <c r="H53" t="str">
        <f>VLOOKUP(B53,TOTAL!$B$3:$B$105,1,0)</f>
        <v>rita felizol rita felizol</v>
      </c>
    </row>
    <row r="54" spans="1:8" hidden="1" x14ac:dyDescent="0.3">
      <c r="A54">
        <v>53</v>
      </c>
      <c r="B54" t="s">
        <v>196</v>
      </c>
      <c r="C54" s="18">
        <v>12</v>
      </c>
      <c r="D54" s="3">
        <v>1</v>
      </c>
      <c r="E54" s="18">
        <v>12</v>
      </c>
      <c r="F54" s="2">
        <v>0.26250000000000001</v>
      </c>
      <c r="G54" s="3">
        <v>137</v>
      </c>
      <c r="H54" t="str">
        <f>VLOOKUP(B54,TOTAL!$B$3:$B$105,1,0)</f>
        <v>Rogério Matos Rogério Matos</v>
      </c>
    </row>
    <row r="55" spans="1:8" hidden="1" x14ac:dyDescent="0.3">
      <c r="A55">
        <v>54</v>
      </c>
      <c r="B55" t="s">
        <v>67</v>
      </c>
      <c r="C55" s="18">
        <v>10.8</v>
      </c>
      <c r="D55" s="3">
        <v>1</v>
      </c>
      <c r="E55" s="18">
        <v>10.8</v>
      </c>
      <c r="F55" s="2">
        <v>0.31874999999999998</v>
      </c>
      <c r="G55" s="3">
        <v>243</v>
      </c>
      <c r="H55" t="str">
        <f>VLOOKUP(B55,TOTAL!$B$3:$B$105,1,0)</f>
        <v>Pedro Fonseca Pedro Fonseca</v>
      </c>
    </row>
    <row r="56" spans="1:8" hidden="1" x14ac:dyDescent="0.3">
      <c r="A56">
        <v>55</v>
      </c>
      <c r="B56" t="s">
        <v>219</v>
      </c>
      <c r="C56" s="18">
        <v>10.6</v>
      </c>
      <c r="D56" s="3">
        <v>2</v>
      </c>
      <c r="E56" s="18">
        <v>6</v>
      </c>
      <c r="F56" s="2">
        <v>0.94722222222222219</v>
      </c>
      <c r="G56" s="3">
        <v>212</v>
      </c>
      <c r="H56" t="str">
        <f>VLOOKUP(B56,TOTAL!$B$3:$B$105,1,0)</f>
        <v>Elizabeth Silva Elizabeth Silva</v>
      </c>
    </row>
    <row r="57" spans="1:8" hidden="1" x14ac:dyDescent="0.3">
      <c r="A57">
        <v>56</v>
      </c>
      <c r="B57" t="s">
        <v>36</v>
      </c>
      <c r="C57" s="18">
        <v>10.6</v>
      </c>
      <c r="D57" s="3">
        <v>2</v>
      </c>
      <c r="E57" s="18">
        <v>5.4</v>
      </c>
      <c r="F57" s="2">
        <v>0.28055555555555556</v>
      </c>
      <c r="G57" s="3">
        <v>160</v>
      </c>
      <c r="H57" t="str">
        <f>VLOOKUP(B57,TOTAL!$B$3:$B$105,1,0)</f>
        <v>Rute Fernandes Rute Fernandes</v>
      </c>
    </row>
    <row r="58" spans="1:8" hidden="1" x14ac:dyDescent="0.3">
      <c r="A58">
        <v>57</v>
      </c>
      <c r="B58" t="s">
        <v>400</v>
      </c>
      <c r="C58" s="18">
        <v>10.5</v>
      </c>
      <c r="D58" s="3">
        <v>1</v>
      </c>
      <c r="E58" s="18">
        <v>10.5</v>
      </c>
      <c r="F58" s="2">
        <v>0.2388888888888889</v>
      </c>
      <c r="G58" s="3">
        <v>29</v>
      </c>
      <c r="H58" t="str">
        <f>VLOOKUP(B58,TOTAL!$B$3:$B$105,1,0)</f>
        <v>Orlando Ferreira Orlando Ferreira</v>
      </c>
    </row>
    <row r="59" spans="1:8" hidden="1" x14ac:dyDescent="0.3">
      <c r="A59">
        <v>58</v>
      </c>
      <c r="B59" t="s">
        <v>56</v>
      </c>
      <c r="C59" s="18">
        <v>10.1</v>
      </c>
      <c r="D59" s="3">
        <v>1</v>
      </c>
      <c r="E59" s="18">
        <v>10.1</v>
      </c>
      <c r="F59" s="2">
        <v>0.26458333333333334</v>
      </c>
      <c r="G59" s="3">
        <v>62</v>
      </c>
      <c r="H59" t="str">
        <f>VLOOKUP(B59,TOTAL!$B$3:$B$105,1,0)</f>
        <v>Pedro  Ribeiro Pedro Ribeiro</v>
      </c>
    </row>
    <row r="60" spans="1:8" hidden="1" x14ac:dyDescent="0.3">
      <c r="A60">
        <v>59</v>
      </c>
      <c r="B60" t="s">
        <v>59</v>
      </c>
      <c r="C60" s="18">
        <v>10</v>
      </c>
      <c r="D60" s="3">
        <v>1</v>
      </c>
      <c r="E60" s="18">
        <v>10</v>
      </c>
      <c r="F60" s="2">
        <v>0.29930555555555555</v>
      </c>
      <c r="G60" s="3">
        <v>21</v>
      </c>
      <c r="H60" t="str">
        <f>VLOOKUP(B60,TOTAL!$B$3:$B$105,1,0)</f>
        <v>Andreia Oliveira Andreia Oliveira</v>
      </c>
    </row>
    <row r="61" spans="1:8" hidden="1" x14ac:dyDescent="0.3">
      <c r="A61">
        <v>60</v>
      </c>
      <c r="B61" t="s">
        <v>62</v>
      </c>
      <c r="C61" s="18">
        <v>10</v>
      </c>
      <c r="D61" s="3">
        <v>1</v>
      </c>
      <c r="E61" s="18">
        <v>10</v>
      </c>
      <c r="F61" s="2">
        <v>0.25208333333333333</v>
      </c>
      <c r="G61" s="3">
        <v>297</v>
      </c>
      <c r="H61" t="str">
        <f>VLOOKUP(B61,TOTAL!$B$3:$B$105,1,0)</f>
        <v>Ruben Costa Ruben Costa</v>
      </c>
    </row>
    <row r="62" spans="1:8" hidden="1" x14ac:dyDescent="0.3">
      <c r="A62">
        <v>61</v>
      </c>
      <c r="B62" t="s">
        <v>177</v>
      </c>
      <c r="C62" s="18">
        <v>10</v>
      </c>
      <c r="D62" s="3">
        <v>1</v>
      </c>
      <c r="E62" s="18">
        <v>10</v>
      </c>
      <c r="F62" s="2">
        <v>0.24930555555555556</v>
      </c>
      <c r="G62" s="3">
        <v>85</v>
      </c>
      <c r="H62" t="str">
        <f>VLOOKUP(B62,TOTAL!$B$3:$B$105,1,0)</f>
        <v>Bruno Pinto Bruno Pinto</v>
      </c>
    </row>
    <row r="63" spans="1:8" hidden="1" x14ac:dyDescent="0.3">
      <c r="A63">
        <v>62</v>
      </c>
      <c r="B63" t="s">
        <v>193</v>
      </c>
      <c r="C63" s="18">
        <v>9.6</v>
      </c>
      <c r="D63" s="3">
        <v>1</v>
      </c>
      <c r="E63" s="18">
        <v>9.6</v>
      </c>
      <c r="F63" s="2">
        <v>0.2986111111111111</v>
      </c>
      <c r="G63" s="3">
        <v>131</v>
      </c>
      <c r="H63" t="str">
        <f>VLOOKUP(B63,TOTAL!$B$3:$B$105,1,0)</f>
        <v>Luis Afonso Luis Afonso</v>
      </c>
    </row>
    <row r="64" spans="1:8" hidden="1" x14ac:dyDescent="0.3">
      <c r="A64">
        <v>63</v>
      </c>
      <c r="B64" t="s">
        <v>41</v>
      </c>
      <c r="C64" s="18">
        <v>9.3000000000000007</v>
      </c>
      <c r="D64" s="3">
        <v>1</v>
      </c>
      <c r="E64" s="18">
        <v>9.3000000000000007</v>
      </c>
      <c r="F64" s="2">
        <v>0.33124999999999999</v>
      </c>
      <c r="G64" s="3">
        <v>227</v>
      </c>
      <c r="H64" t="str">
        <f>VLOOKUP(B64,TOTAL!$B$3:$B$105,1,0)</f>
        <v>Francisco Afonso Francisco Afonso</v>
      </c>
    </row>
    <row r="65" spans="1:8" hidden="1" x14ac:dyDescent="0.3">
      <c r="A65">
        <v>64</v>
      </c>
      <c r="B65" t="s">
        <v>65</v>
      </c>
      <c r="C65" s="18">
        <v>9.1</v>
      </c>
      <c r="D65" s="3">
        <v>1</v>
      </c>
      <c r="E65" s="18">
        <v>9.1</v>
      </c>
      <c r="F65" s="2">
        <v>0.25694444444444442</v>
      </c>
      <c r="G65" s="3">
        <v>78</v>
      </c>
      <c r="H65" t="str">
        <f>VLOOKUP(B65,TOTAL!$B$3:$B$105,1,0)</f>
        <v>Fernando Carvalhão ?? Fernando Carvalhão ??</v>
      </c>
    </row>
    <row r="66" spans="1:8" hidden="1" x14ac:dyDescent="0.3">
      <c r="A66">
        <v>65</v>
      </c>
      <c r="B66" t="s">
        <v>43</v>
      </c>
      <c r="C66" s="18">
        <v>9</v>
      </c>
      <c r="D66" s="3">
        <v>1</v>
      </c>
      <c r="E66" s="18">
        <v>9</v>
      </c>
      <c r="F66" s="2">
        <v>0.35347222222222224</v>
      </c>
      <c r="G66" s="3">
        <v>249</v>
      </c>
      <c r="H66" t="str">
        <f>VLOOKUP(B66,TOTAL!$B$3:$B$105,1,0)</f>
        <v>Cristina Morgado Cristina Morgado</v>
      </c>
    </row>
    <row r="67" spans="1:8" hidden="1" x14ac:dyDescent="0.3">
      <c r="A67">
        <v>66</v>
      </c>
      <c r="B67" t="s">
        <v>25</v>
      </c>
      <c r="C67" s="18">
        <v>8.1</v>
      </c>
      <c r="D67" s="3">
        <v>1</v>
      </c>
      <c r="E67" s="18">
        <v>8.1</v>
      </c>
      <c r="F67" s="2">
        <v>0.37638888888888888</v>
      </c>
      <c r="G67" s="3">
        <v>231</v>
      </c>
      <c r="H67" t="str">
        <f>VLOOKUP(B67,TOTAL!$B$3:$B$105,1,0)</f>
        <v>Rui Faria Rui Faria</v>
      </c>
    </row>
    <row r="68" spans="1:8" hidden="1" x14ac:dyDescent="0.3">
      <c r="A68">
        <v>67</v>
      </c>
      <c r="B68" t="s">
        <v>35</v>
      </c>
      <c r="C68" s="18">
        <v>8</v>
      </c>
      <c r="D68" s="3">
        <v>1</v>
      </c>
      <c r="E68" s="18">
        <v>8</v>
      </c>
      <c r="F68" s="2">
        <v>0.22916666666666666</v>
      </c>
      <c r="G68" s="3">
        <v>99</v>
      </c>
      <c r="H68" t="str">
        <f>VLOOKUP(B68,TOTAL!$B$3:$B$105,1,0)</f>
        <v>Tiago Martins Tiago Martins</v>
      </c>
    </row>
    <row r="69" spans="1:8" hidden="1" x14ac:dyDescent="0.3">
      <c r="A69">
        <v>68</v>
      </c>
      <c r="B69" t="s">
        <v>22</v>
      </c>
      <c r="C69" s="18">
        <v>7.1</v>
      </c>
      <c r="D69" s="3">
        <v>1</v>
      </c>
      <c r="E69" s="18">
        <v>7.1</v>
      </c>
      <c r="F69" s="2">
        <v>0.27916666666666667</v>
      </c>
      <c r="G69" s="3">
        <v>258</v>
      </c>
      <c r="H69" t="str">
        <f>VLOOKUP(B69,TOTAL!$B$3:$B$105,1,0)</f>
        <v>Miguel Dias Miguel Dias</v>
      </c>
    </row>
    <row r="70" spans="1:8" hidden="1" x14ac:dyDescent="0.3">
      <c r="A70">
        <v>69</v>
      </c>
      <c r="B70" t="s">
        <v>78</v>
      </c>
      <c r="C70" s="18">
        <v>5</v>
      </c>
      <c r="D70" s="3">
        <v>1</v>
      </c>
      <c r="E70" s="18">
        <v>5</v>
      </c>
      <c r="F70" s="2">
        <v>0.25763888888888886</v>
      </c>
      <c r="G70" s="3">
        <v>64</v>
      </c>
      <c r="H70" t="str">
        <f>VLOOKUP(B70,TOTAL!$B$3:$B$105,1,0)</f>
        <v>Zana Duarte Zana Duarte</v>
      </c>
    </row>
    <row r="71" spans="1:8" hidden="1" x14ac:dyDescent="0.3">
      <c r="A71">
        <v>70</v>
      </c>
      <c r="B71" t="s">
        <v>176</v>
      </c>
      <c r="C71" s="18">
        <v>4.0999999999999996</v>
      </c>
      <c r="D71" s="3">
        <v>1</v>
      </c>
      <c r="E71" s="18">
        <v>4.0999999999999996</v>
      </c>
      <c r="F71" s="2">
        <v>0.28541666666666665</v>
      </c>
      <c r="G71" s="3">
        <v>44</v>
      </c>
      <c r="H71" t="str">
        <f>VLOOKUP(B71,TOTAL!$B$3:$B$105,1,0)</f>
        <v>Pedro Rodrigues Pedro Rodrigues</v>
      </c>
    </row>
    <row r="72" spans="1:8" hidden="1" x14ac:dyDescent="0.3">
      <c r="A72">
        <v>71</v>
      </c>
      <c r="B72" t="s">
        <v>79</v>
      </c>
      <c r="C72" s="18">
        <v>3.9</v>
      </c>
      <c r="D72" s="3">
        <v>1</v>
      </c>
      <c r="E72" s="18">
        <v>3.9</v>
      </c>
      <c r="F72" s="2">
        <v>0.3347222222222222</v>
      </c>
      <c r="G72" s="3">
        <v>59</v>
      </c>
      <c r="H72" t="str">
        <f>VLOOKUP(B72,TOTAL!$B$3:$B$105,1,0)</f>
        <v>Vítor Martins Vítor Martins</v>
      </c>
    </row>
    <row r="73" spans="1:8" hidden="1" x14ac:dyDescent="0.3">
      <c r="A73">
        <v>72</v>
      </c>
      <c r="B73" t="s">
        <v>80</v>
      </c>
      <c r="C73" s="18">
        <v>3.1</v>
      </c>
      <c r="D73" s="3">
        <v>2</v>
      </c>
      <c r="E73" s="18">
        <v>2.1</v>
      </c>
      <c r="F73" s="2">
        <v>0.30625000000000002</v>
      </c>
      <c r="G73" s="3">
        <v>1</v>
      </c>
      <c r="H73" t="str">
        <f>VLOOKUP(B73,TOTAL!$B$3:$B$105,1,0)</f>
        <v>Luis Matos Ferreira | dorsal1967.blogspot.com Luis Matos Ferreira | dorsal1967.blogspot.com</v>
      </c>
    </row>
    <row r="74" spans="1:8" hidden="1" x14ac:dyDescent="0.3">
      <c r="A74">
        <v>73</v>
      </c>
      <c r="B74" t="s">
        <v>72</v>
      </c>
      <c r="C74" s="18">
        <v>2.9</v>
      </c>
      <c r="D74" s="3">
        <v>1</v>
      </c>
      <c r="E74" s="18">
        <v>2.9</v>
      </c>
      <c r="F74" s="2">
        <v>0.34722222222222221</v>
      </c>
      <c r="G74" s="3">
        <v>6</v>
      </c>
      <c r="H74" t="str">
        <f>VLOOKUP(B74,TOTAL!$B$3:$B$105,1,0)</f>
        <v>Ana Melo Ana Melo</v>
      </c>
    </row>
    <row r="75" spans="1:8" hidden="1" x14ac:dyDescent="0.3">
      <c r="A75">
        <v>74</v>
      </c>
      <c r="B75" t="s">
        <v>33</v>
      </c>
      <c r="C75" s="18">
        <v>2.8</v>
      </c>
      <c r="D75" s="3">
        <v>2</v>
      </c>
      <c r="E75" s="18">
        <v>1.6</v>
      </c>
      <c r="F75" s="2">
        <v>0.46805555555555556</v>
      </c>
      <c r="G75" s="3" t="s">
        <v>3</v>
      </c>
      <c r="H75" t="str">
        <f>VLOOKUP(B75,TOTAL!$B$3:$B$105,1,0)</f>
        <v>Jose Matos Jose Matos</v>
      </c>
    </row>
    <row r="76" spans="1:8" x14ac:dyDescent="0.3">
      <c r="A76">
        <v>75</v>
      </c>
      <c r="B76" t="s">
        <v>474</v>
      </c>
      <c r="C76" s="18">
        <v>0.5</v>
      </c>
      <c r="D76" s="3">
        <v>1</v>
      </c>
      <c r="E76" s="18">
        <v>0.5</v>
      </c>
      <c r="F76" s="2">
        <v>0.19791666666666666</v>
      </c>
      <c r="G76" s="3" t="s">
        <v>3</v>
      </c>
      <c r="H76" t="str">
        <f>VLOOKUP(B76,TOTAL!$B$3:$B$105,1,0)</f>
        <v>Débora Almeida Débora Almeida</v>
      </c>
    </row>
  </sheetData>
  <autoFilter ref="A1:I76" xr:uid="{D7DE90D2-E864-4B93-AD52-54E442BD8DD9}">
    <filterColumn colId="7">
      <filters>
        <filter val="#N/A"/>
      </filters>
    </filterColumn>
  </autoFilter>
  <pageMargins left="0.7" right="0.7" top="0.75" bottom="0.75" header="0.3" footer="0.3"/>
  <headerFooter>
    <oddFooter>&amp;C_x000D_&amp;1#&amp;"Calibri"&amp;8&amp;K000000 Public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EE1CD-A136-4B3F-ABC1-BD5E22BDD29C}">
  <dimension ref="A1:H77"/>
  <sheetViews>
    <sheetView workbookViewId="0">
      <selection activeCell="C2" sqref="C2:G2"/>
    </sheetView>
  </sheetViews>
  <sheetFormatPr defaultRowHeight="14.4" x14ac:dyDescent="0.3"/>
  <cols>
    <col min="2" max="2" width="8.88671875" customWidth="1"/>
  </cols>
  <sheetData>
    <row r="1" spans="1:8" x14ac:dyDescent="0.3">
      <c r="A1" s="1" t="s">
        <v>0</v>
      </c>
      <c r="B1" s="1" t="s">
        <v>1</v>
      </c>
      <c r="C1" s="1" t="s">
        <v>82</v>
      </c>
      <c r="D1" s="1" t="s">
        <v>2</v>
      </c>
      <c r="E1" s="1" t="s">
        <v>83</v>
      </c>
      <c r="F1" s="1" t="s">
        <v>84</v>
      </c>
      <c r="G1" s="1" t="s">
        <v>85</v>
      </c>
    </row>
    <row r="2" spans="1:8" x14ac:dyDescent="0.3">
      <c r="A2">
        <v>1</v>
      </c>
      <c r="B2" t="s">
        <v>4</v>
      </c>
      <c r="C2" s="18">
        <v>138.30000000000001</v>
      </c>
      <c r="D2" s="3">
        <v>7</v>
      </c>
      <c r="E2" s="18">
        <v>45</v>
      </c>
      <c r="F2" s="2">
        <v>0.25</v>
      </c>
      <c r="G2" s="3">
        <v>2800</v>
      </c>
      <c r="H2" t="str">
        <f>VLOOKUP(B2,TOTAL!$B$3:$B$106,1,0)</f>
        <v>Sérgio Miguel Sérgio Miguel</v>
      </c>
    </row>
    <row r="3" spans="1:8" x14ac:dyDescent="0.3">
      <c r="A3">
        <v>2</v>
      </c>
      <c r="B3" t="s">
        <v>5</v>
      </c>
      <c r="C3" s="18">
        <v>105.3</v>
      </c>
      <c r="D3" s="3">
        <v>1</v>
      </c>
      <c r="E3" s="18">
        <v>105.3</v>
      </c>
      <c r="F3" s="2">
        <v>0.35069444444444442</v>
      </c>
      <c r="G3" s="3">
        <v>1773</v>
      </c>
      <c r="H3" t="str">
        <f>VLOOKUP(B3,TOTAL!$B$3:$B$106,1,0)</f>
        <v>João Abreu João Abreu</v>
      </c>
    </row>
    <row r="4" spans="1:8" x14ac:dyDescent="0.3">
      <c r="A4">
        <v>3</v>
      </c>
      <c r="B4" t="s">
        <v>13</v>
      </c>
      <c r="C4" s="18">
        <v>80.3</v>
      </c>
      <c r="D4" s="3">
        <v>7</v>
      </c>
      <c r="E4" s="18">
        <v>25.3</v>
      </c>
      <c r="F4" s="2">
        <v>0.2638888888888889</v>
      </c>
      <c r="G4" s="3">
        <v>2118</v>
      </c>
      <c r="H4" t="str">
        <f>VLOOKUP(B4,TOTAL!$B$3:$B$106,1,0)</f>
        <v>Sara Pedrosa Sara Pedrosa</v>
      </c>
    </row>
    <row r="5" spans="1:8" x14ac:dyDescent="0.3">
      <c r="A5">
        <v>4</v>
      </c>
      <c r="B5" t="s">
        <v>24</v>
      </c>
      <c r="C5" s="18">
        <v>67.5</v>
      </c>
      <c r="D5" s="3">
        <v>3</v>
      </c>
      <c r="E5" s="18">
        <v>45.6</v>
      </c>
      <c r="F5" s="2">
        <v>0.34236111111111112</v>
      </c>
      <c r="G5" s="3">
        <v>2194</v>
      </c>
      <c r="H5" t="str">
        <f>VLOOKUP(B5,TOTAL!$B$3:$B$106,1,0)</f>
        <v>João Antunes ???? João Antunes ????</v>
      </c>
    </row>
    <row r="6" spans="1:8" x14ac:dyDescent="0.3">
      <c r="A6">
        <v>5</v>
      </c>
      <c r="B6" t="s">
        <v>6</v>
      </c>
      <c r="C6" s="18">
        <v>66.099999999999994</v>
      </c>
      <c r="D6" s="3">
        <v>3</v>
      </c>
      <c r="E6" s="18">
        <v>45.6</v>
      </c>
      <c r="F6" s="2">
        <v>0.34861111111111109</v>
      </c>
      <c r="G6" s="20">
        <f>2624-700</f>
        <v>1924</v>
      </c>
      <c r="H6" t="str">
        <f>VLOOKUP(B6,TOTAL!$B$3:$B$106,1,0)</f>
        <v>Carmen Ferreira Carmen Ferreira</v>
      </c>
    </row>
    <row r="7" spans="1:8" x14ac:dyDescent="0.3">
      <c r="A7">
        <v>6</v>
      </c>
      <c r="B7" t="s">
        <v>42</v>
      </c>
      <c r="C7" s="18">
        <v>65.2</v>
      </c>
      <c r="D7" s="3">
        <v>5</v>
      </c>
      <c r="E7" s="18">
        <v>31.5</v>
      </c>
      <c r="F7" s="2">
        <v>0.22430555555555556</v>
      </c>
      <c r="G7" s="3">
        <v>93</v>
      </c>
      <c r="H7" t="str">
        <f>VLOOKUP(B7,TOTAL!$B$3:$B$106,1,0)</f>
        <v>Vitor Pires Vitor Pires</v>
      </c>
    </row>
    <row r="8" spans="1:8" x14ac:dyDescent="0.3">
      <c r="A8">
        <v>7</v>
      </c>
      <c r="B8" t="s">
        <v>9</v>
      </c>
      <c r="C8" s="18">
        <v>64.5</v>
      </c>
      <c r="D8" s="3">
        <v>5</v>
      </c>
      <c r="E8" s="18">
        <v>30.1</v>
      </c>
      <c r="F8" s="2">
        <v>0.25416666666666665</v>
      </c>
      <c r="G8" s="3">
        <v>777</v>
      </c>
      <c r="H8" t="str">
        <f>VLOOKUP(B8,TOTAL!$B$3:$B$106,1,0)</f>
        <v>Carlos Vaz Vignolo Carlos Vaz Vignolo</v>
      </c>
    </row>
    <row r="9" spans="1:8" x14ac:dyDescent="0.3">
      <c r="A9">
        <v>8</v>
      </c>
      <c r="B9" t="s">
        <v>50</v>
      </c>
      <c r="C9" s="18">
        <v>50.9</v>
      </c>
      <c r="D9" s="3">
        <v>4</v>
      </c>
      <c r="E9" s="18">
        <v>20.2</v>
      </c>
      <c r="F9" s="2">
        <v>0.24444444444444444</v>
      </c>
      <c r="G9" s="3">
        <v>80</v>
      </c>
      <c r="H9" t="str">
        <f>VLOOKUP(B9,TOTAL!$B$3:$B$106,1,0)</f>
        <v>Francisco Sanches-Osorio Francisco Sanches-Osorio</v>
      </c>
    </row>
    <row r="10" spans="1:8" x14ac:dyDescent="0.3">
      <c r="A10">
        <v>9</v>
      </c>
      <c r="B10" t="s">
        <v>51</v>
      </c>
      <c r="C10" s="18">
        <v>48.3</v>
      </c>
      <c r="D10" s="3">
        <v>4</v>
      </c>
      <c r="E10" s="18">
        <v>24.3</v>
      </c>
      <c r="F10" s="2">
        <v>0.26805555555555555</v>
      </c>
      <c r="G10" s="3">
        <v>262</v>
      </c>
      <c r="H10" t="str">
        <f>VLOOKUP(B10,TOTAL!$B$3:$B$106,1,0)</f>
        <v>Ana Rute Matos Ana Rute Matos</v>
      </c>
    </row>
    <row r="11" spans="1:8" x14ac:dyDescent="0.3">
      <c r="A11">
        <v>10</v>
      </c>
      <c r="B11" t="s">
        <v>21</v>
      </c>
      <c r="C11" s="18">
        <v>48.3</v>
      </c>
      <c r="D11" s="3">
        <v>4</v>
      </c>
      <c r="E11" s="18">
        <v>16</v>
      </c>
      <c r="F11" s="2">
        <v>0.25833333333333336</v>
      </c>
      <c r="G11" s="3">
        <v>132</v>
      </c>
      <c r="H11" t="str">
        <f>VLOOKUP(B11,TOTAL!$B$3:$B$106,1,0)</f>
        <v>Carla Rebelo Carla Rebelo</v>
      </c>
    </row>
    <row r="12" spans="1:8" x14ac:dyDescent="0.3">
      <c r="A12">
        <v>11</v>
      </c>
      <c r="B12" t="s">
        <v>60</v>
      </c>
      <c r="C12" s="18">
        <v>45.5</v>
      </c>
      <c r="D12" s="3">
        <v>5</v>
      </c>
      <c r="E12" s="18">
        <v>16</v>
      </c>
      <c r="F12" s="2">
        <v>0.24236111111111111</v>
      </c>
      <c r="G12" s="3">
        <v>132</v>
      </c>
      <c r="H12" t="str">
        <f>VLOOKUP(B12,TOTAL!$B$3:$B$106,1,0)</f>
        <v>Jose Magalhaes Jose Magalhaes</v>
      </c>
    </row>
    <row r="13" spans="1:8" x14ac:dyDescent="0.3">
      <c r="A13">
        <v>12</v>
      </c>
      <c r="B13" t="s">
        <v>58</v>
      </c>
      <c r="C13" s="18">
        <v>43.8</v>
      </c>
      <c r="D13" s="3">
        <v>6</v>
      </c>
      <c r="E13" s="18">
        <v>14.9</v>
      </c>
      <c r="F13" s="2">
        <v>0.36388888888888887</v>
      </c>
      <c r="G13" s="3">
        <v>627</v>
      </c>
      <c r="H13" t="str">
        <f>VLOOKUP(B13,TOTAL!$B$3:$B$106,1,0)</f>
        <v>claudia pargana claudia pargana</v>
      </c>
    </row>
    <row r="14" spans="1:8" x14ac:dyDescent="0.3">
      <c r="A14">
        <v>13</v>
      </c>
      <c r="B14" t="s">
        <v>10</v>
      </c>
      <c r="C14" s="18">
        <v>40.5</v>
      </c>
      <c r="D14" s="3">
        <v>5</v>
      </c>
      <c r="E14" s="18">
        <v>11.2</v>
      </c>
      <c r="F14" s="2">
        <v>0.22847222222222222</v>
      </c>
      <c r="G14" s="3">
        <v>206</v>
      </c>
      <c r="H14" t="str">
        <f>VLOOKUP(B14,TOTAL!$B$3:$B$106,1,0)</f>
        <v>João Veiga João Veiga</v>
      </c>
    </row>
    <row r="15" spans="1:8" x14ac:dyDescent="0.3">
      <c r="A15">
        <v>14</v>
      </c>
      <c r="B15" t="s">
        <v>11</v>
      </c>
      <c r="C15" s="18">
        <v>40.5</v>
      </c>
      <c r="D15" s="3">
        <v>3</v>
      </c>
      <c r="E15" s="18">
        <v>16.3</v>
      </c>
      <c r="F15" s="2">
        <v>0.21597222222222223</v>
      </c>
      <c r="G15" s="3">
        <v>257</v>
      </c>
      <c r="H15" t="str">
        <f>VLOOKUP(B15,TOTAL!$B$3:$B$106,1,0)</f>
        <v>Luís Carvalho Luís Carvalho</v>
      </c>
    </row>
    <row r="16" spans="1:8" x14ac:dyDescent="0.3">
      <c r="A16">
        <v>15</v>
      </c>
      <c r="B16" t="s">
        <v>27</v>
      </c>
      <c r="C16" s="18">
        <v>39.9</v>
      </c>
      <c r="D16" s="3">
        <v>3</v>
      </c>
      <c r="E16" s="18">
        <v>18.600000000000001</v>
      </c>
      <c r="F16" s="2">
        <v>0.36249999999999999</v>
      </c>
      <c r="G16" s="3">
        <v>1178</v>
      </c>
      <c r="H16" t="str">
        <f>VLOOKUP(B16,TOTAL!$B$3:$B$106,1,0)</f>
        <v>Ana Chocalheiro Ana Chocalheiro</v>
      </c>
    </row>
    <row r="17" spans="1:8" x14ac:dyDescent="0.3">
      <c r="A17">
        <v>16</v>
      </c>
      <c r="B17" t="s">
        <v>38</v>
      </c>
      <c r="C17" s="18">
        <v>38.200000000000003</v>
      </c>
      <c r="D17" s="3">
        <v>5</v>
      </c>
      <c r="E17" s="18">
        <v>10</v>
      </c>
      <c r="F17" s="2">
        <v>0.31111111111111112</v>
      </c>
      <c r="G17" s="3">
        <v>532</v>
      </c>
      <c r="H17" t="str">
        <f>VLOOKUP(B17,TOTAL!$B$3:$B$106,1,0)</f>
        <v>Gabriela Grade Gabriela Grade</v>
      </c>
    </row>
    <row r="18" spans="1:8" x14ac:dyDescent="0.3">
      <c r="A18">
        <v>17</v>
      </c>
      <c r="B18" t="s">
        <v>15</v>
      </c>
      <c r="C18" s="18">
        <v>37.9</v>
      </c>
      <c r="D18" s="3">
        <v>2</v>
      </c>
      <c r="E18" s="18">
        <v>27.5</v>
      </c>
      <c r="F18" s="2">
        <v>0.27569444444444446</v>
      </c>
      <c r="G18" s="3">
        <v>1428</v>
      </c>
      <c r="H18" t="str">
        <f>VLOOKUP(B18,TOTAL!$B$3:$B$106,1,0)</f>
        <v>Sandra Romano Sandra Romano</v>
      </c>
    </row>
    <row r="19" spans="1:8" x14ac:dyDescent="0.3">
      <c r="A19">
        <v>18</v>
      </c>
      <c r="B19" t="s">
        <v>17</v>
      </c>
      <c r="C19" s="18">
        <v>35.9</v>
      </c>
      <c r="D19" s="3">
        <v>3</v>
      </c>
      <c r="E19" s="18">
        <v>18.600000000000001</v>
      </c>
      <c r="F19" s="2">
        <v>0.36458333333333331</v>
      </c>
      <c r="G19" s="3">
        <v>1452</v>
      </c>
      <c r="H19" t="str">
        <f>VLOOKUP(B19,TOTAL!$B$3:$B$106,1,0)</f>
        <v>Guida Monteiro Guida Monteiro</v>
      </c>
    </row>
    <row r="20" spans="1:8" x14ac:dyDescent="0.3">
      <c r="A20">
        <v>19</v>
      </c>
      <c r="B20" t="s">
        <v>47</v>
      </c>
      <c r="C20" s="18">
        <v>35.799999999999997</v>
      </c>
      <c r="D20" s="3">
        <v>8</v>
      </c>
      <c r="E20" s="18">
        <v>10.6</v>
      </c>
      <c r="F20" s="2">
        <v>0.52430555555555558</v>
      </c>
      <c r="G20" s="3">
        <v>83</v>
      </c>
      <c r="H20" t="str">
        <f>VLOOKUP(B20,TOTAL!$B$3:$B$106,1,0)</f>
        <v>Cesar Moreira Cesar Moreira</v>
      </c>
    </row>
    <row r="21" spans="1:8" x14ac:dyDescent="0.3">
      <c r="A21">
        <v>20</v>
      </c>
      <c r="B21" t="s">
        <v>14</v>
      </c>
      <c r="C21" s="18">
        <v>34</v>
      </c>
      <c r="D21" s="3">
        <v>4</v>
      </c>
      <c r="E21" s="18">
        <v>10</v>
      </c>
      <c r="F21" s="2">
        <v>0.23333333333333334</v>
      </c>
      <c r="G21" s="3">
        <v>311</v>
      </c>
      <c r="H21" t="str">
        <f>VLOOKUP(B21,TOTAL!$B$3:$B$106,1,0)</f>
        <v>Alexandre Jorge Alexandre Jorge</v>
      </c>
    </row>
    <row r="22" spans="1:8" x14ac:dyDescent="0.3">
      <c r="A22">
        <v>21</v>
      </c>
      <c r="B22" t="s">
        <v>36</v>
      </c>
      <c r="C22" s="18">
        <v>32.200000000000003</v>
      </c>
      <c r="D22" s="3">
        <v>3</v>
      </c>
      <c r="E22" s="18">
        <v>13.6</v>
      </c>
      <c r="F22" s="2">
        <v>0.44305555555555554</v>
      </c>
      <c r="G22" s="3">
        <v>1119</v>
      </c>
      <c r="H22" t="str">
        <f>VLOOKUP(B22,TOTAL!$B$3:$B$106,1,0)</f>
        <v>Rute Fernandes Rute Fernandes</v>
      </c>
    </row>
    <row r="23" spans="1:8" x14ac:dyDescent="0.3">
      <c r="A23">
        <v>22</v>
      </c>
      <c r="B23" t="s">
        <v>54</v>
      </c>
      <c r="C23" s="18">
        <v>32.1</v>
      </c>
      <c r="D23" s="3">
        <v>4</v>
      </c>
      <c r="E23" s="18">
        <v>10.1</v>
      </c>
      <c r="F23" s="2">
        <v>0.25763888888888886</v>
      </c>
      <c r="G23" s="3">
        <v>494</v>
      </c>
      <c r="H23" t="str">
        <f>VLOOKUP(B23,TOTAL!$B$3:$B$106,1,0)</f>
        <v>António  Rego ???????? António Rego ????????</v>
      </c>
    </row>
    <row r="24" spans="1:8" x14ac:dyDescent="0.3">
      <c r="A24">
        <v>23</v>
      </c>
      <c r="B24" t="s">
        <v>33</v>
      </c>
      <c r="C24" s="18">
        <v>29.2</v>
      </c>
      <c r="D24" s="3">
        <v>5</v>
      </c>
      <c r="E24" s="18">
        <v>10.5</v>
      </c>
      <c r="F24" s="2">
        <v>0.29722222222222222</v>
      </c>
      <c r="G24" s="3">
        <v>198</v>
      </c>
      <c r="H24" t="str">
        <f>VLOOKUP(B24,TOTAL!$B$3:$B$106,1,0)</f>
        <v>Jose Matos Jose Matos</v>
      </c>
    </row>
    <row r="25" spans="1:8" x14ac:dyDescent="0.3">
      <c r="A25">
        <v>24</v>
      </c>
      <c r="B25" t="s">
        <v>12</v>
      </c>
      <c r="C25" s="18">
        <v>28.4</v>
      </c>
      <c r="D25" s="3">
        <v>5</v>
      </c>
      <c r="E25" s="18">
        <v>10</v>
      </c>
      <c r="F25" s="2">
        <v>0.27430555555555558</v>
      </c>
      <c r="G25" s="3">
        <v>206</v>
      </c>
      <c r="H25" t="str">
        <f>VLOOKUP(B25,TOTAL!$B$3:$B$106,1,0)</f>
        <v>Adalberto Grilo Adalberto Grilo</v>
      </c>
    </row>
    <row r="26" spans="1:8" x14ac:dyDescent="0.3">
      <c r="A26">
        <v>25</v>
      </c>
      <c r="B26" t="s">
        <v>30</v>
      </c>
      <c r="C26" s="18">
        <v>28.3</v>
      </c>
      <c r="D26" s="3">
        <v>13</v>
      </c>
      <c r="E26" s="18">
        <v>5.5</v>
      </c>
      <c r="F26" s="2">
        <v>0.29236111111111113</v>
      </c>
      <c r="G26" s="3">
        <v>257</v>
      </c>
      <c r="H26" t="str">
        <f>VLOOKUP(B26,TOTAL!$B$3:$B$106,1,0)</f>
        <v>António Carlos Teixeira Duarte António Carlos Teixeira Duarte</v>
      </c>
    </row>
    <row r="27" spans="1:8" x14ac:dyDescent="0.3">
      <c r="A27">
        <v>26</v>
      </c>
      <c r="B27" t="s">
        <v>8</v>
      </c>
      <c r="C27" s="18">
        <v>27.8</v>
      </c>
      <c r="D27" s="3">
        <v>2</v>
      </c>
      <c r="E27" s="18">
        <v>17.2</v>
      </c>
      <c r="F27" s="2">
        <v>0.19236111111111112</v>
      </c>
      <c r="G27" s="3">
        <v>80</v>
      </c>
      <c r="H27" t="str">
        <f>VLOOKUP(B27,TOTAL!$B$3:$B$106,1,0)</f>
        <v>Miguel Amaral Miguel Amaral</v>
      </c>
    </row>
    <row r="28" spans="1:8" x14ac:dyDescent="0.3">
      <c r="A28">
        <v>27</v>
      </c>
      <c r="B28" t="s">
        <v>69</v>
      </c>
      <c r="C28" s="18">
        <v>27.7</v>
      </c>
      <c r="D28" s="3">
        <v>1</v>
      </c>
      <c r="E28" s="18">
        <v>27.7</v>
      </c>
      <c r="F28" s="2">
        <v>0.40625</v>
      </c>
      <c r="G28" s="3">
        <v>1419</v>
      </c>
      <c r="H28" t="str">
        <f>VLOOKUP(B28,TOTAL!$B$3:$B$106,1,0)</f>
        <v>Rafaela Dinis Rafaela Dinis</v>
      </c>
    </row>
    <row r="29" spans="1:8" x14ac:dyDescent="0.3">
      <c r="A29">
        <v>28</v>
      </c>
      <c r="B29" t="s">
        <v>61</v>
      </c>
      <c r="C29" s="18">
        <v>27.3</v>
      </c>
      <c r="D29" s="3">
        <v>2</v>
      </c>
      <c r="E29" s="18">
        <v>14.2</v>
      </c>
      <c r="F29" s="2">
        <v>0.40208333333333335</v>
      </c>
      <c r="G29" s="3">
        <v>681</v>
      </c>
      <c r="H29" t="str">
        <f>VLOOKUP(B29,TOTAL!$B$3:$B$106,1,0)</f>
        <v>Sandra S Sandra S</v>
      </c>
    </row>
    <row r="30" spans="1:8" x14ac:dyDescent="0.3">
      <c r="A30">
        <v>29</v>
      </c>
      <c r="B30" t="s">
        <v>19</v>
      </c>
      <c r="C30" s="18">
        <v>27.1</v>
      </c>
      <c r="D30" s="3">
        <v>2</v>
      </c>
      <c r="E30" s="18">
        <v>17</v>
      </c>
      <c r="F30" s="2">
        <v>0.20902777777777778</v>
      </c>
      <c r="G30" s="3">
        <v>149</v>
      </c>
      <c r="H30" t="str">
        <f>VLOOKUP(B30,TOTAL!$B$3:$B$106,1,0)</f>
        <v>Paulo Dias Paulo Dias</v>
      </c>
    </row>
    <row r="31" spans="1:8" x14ac:dyDescent="0.3">
      <c r="A31">
        <v>30</v>
      </c>
      <c r="B31" t="s">
        <v>35</v>
      </c>
      <c r="C31" s="18">
        <v>27</v>
      </c>
      <c r="D31" s="3">
        <v>2</v>
      </c>
      <c r="E31" s="18">
        <v>15</v>
      </c>
      <c r="F31" s="2">
        <v>0.23125000000000001</v>
      </c>
      <c r="G31" s="3">
        <v>287</v>
      </c>
      <c r="H31" t="str">
        <f>VLOOKUP(B31,TOTAL!$B$3:$B$106,1,0)</f>
        <v>Tiago Martins Tiago Martins</v>
      </c>
    </row>
    <row r="32" spans="1:8" x14ac:dyDescent="0.3">
      <c r="A32">
        <v>31</v>
      </c>
      <c r="B32" t="s">
        <v>25</v>
      </c>
      <c r="C32" s="18">
        <v>26.3</v>
      </c>
      <c r="D32" s="3">
        <v>2</v>
      </c>
      <c r="E32" s="18">
        <v>13.4</v>
      </c>
      <c r="F32" s="2">
        <v>0.5805555555555556</v>
      </c>
      <c r="G32" s="3">
        <v>1184</v>
      </c>
      <c r="H32" t="str">
        <f>VLOOKUP(B32,TOTAL!$B$3:$B$106,1,0)</f>
        <v>Rui Faria Rui Faria</v>
      </c>
    </row>
    <row r="33" spans="1:8" x14ac:dyDescent="0.3">
      <c r="A33">
        <v>32</v>
      </c>
      <c r="B33" t="s">
        <v>44</v>
      </c>
      <c r="C33" s="18">
        <v>26.2</v>
      </c>
      <c r="D33" s="3">
        <v>2</v>
      </c>
      <c r="E33" s="18">
        <v>14.2</v>
      </c>
      <c r="F33" s="2">
        <v>0.29444444444444445</v>
      </c>
      <c r="G33" s="3">
        <v>436</v>
      </c>
      <c r="H33" t="str">
        <f>VLOOKUP(B33,TOTAL!$B$3:$B$106,1,0)</f>
        <v>Pedro Simões Pedro Simões</v>
      </c>
    </row>
    <row r="34" spans="1:8" x14ac:dyDescent="0.3">
      <c r="A34">
        <v>33</v>
      </c>
      <c r="B34" t="s">
        <v>34</v>
      </c>
      <c r="C34" s="18">
        <v>25.4</v>
      </c>
      <c r="D34" s="3">
        <v>3</v>
      </c>
      <c r="E34" s="18">
        <v>9.5</v>
      </c>
      <c r="F34" s="2">
        <v>0.28541666666666665</v>
      </c>
      <c r="G34" s="3">
        <v>135</v>
      </c>
      <c r="H34" t="str">
        <f>VLOOKUP(B34,TOTAL!$B$3:$B$106,1,0)</f>
        <v>Marina Marques Marina Marques</v>
      </c>
    </row>
    <row r="35" spans="1:8" x14ac:dyDescent="0.3">
      <c r="A35">
        <v>34</v>
      </c>
      <c r="B35" t="s">
        <v>52</v>
      </c>
      <c r="C35" s="18">
        <v>22.9</v>
      </c>
      <c r="D35" s="3">
        <v>4</v>
      </c>
      <c r="E35" s="18">
        <v>8</v>
      </c>
      <c r="F35" s="2">
        <v>0.26944444444444443</v>
      </c>
      <c r="G35" s="3">
        <v>183</v>
      </c>
      <c r="H35" t="str">
        <f>VLOOKUP(B35,TOTAL!$B$3:$B$106,1,0)</f>
        <v>Fernando Rosete  Fernando Rosete</v>
      </c>
    </row>
    <row r="36" spans="1:8" x14ac:dyDescent="0.3">
      <c r="A36">
        <v>35</v>
      </c>
      <c r="B36" t="s">
        <v>26</v>
      </c>
      <c r="C36" s="18">
        <v>22.6</v>
      </c>
      <c r="D36" s="3">
        <v>3</v>
      </c>
      <c r="E36" s="18">
        <v>12</v>
      </c>
      <c r="F36" s="2">
        <v>0.23680555555555555</v>
      </c>
      <c r="G36" s="3">
        <v>91</v>
      </c>
      <c r="H36" t="str">
        <f>VLOOKUP(B36,TOTAL!$B$3:$B$106,1,0)</f>
        <v>Jorge Paulo Jorge Paulo</v>
      </c>
    </row>
    <row r="37" spans="1:8" x14ac:dyDescent="0.3">
      <c r="A37">
        <v>36</v>
      </c>
      <c r="B37" t="s">
        <v>195</v>
      </c>
      <c r="C37" s="18">
        <v>22.3</v>
      </c>
      <c r="D37" s="3">
        <v>2</v>
      </c>
      <c r="E37" s="18">
        <v>12.3</v>
      </c>
      <c r="F37" s="2">
        <v>0.29722222222222222</v>
      </c>
      <c r="G37" s="3">
        <v>437</v>
      </c>
      <c r="H37" t="str">
        <f>VLOOKUP(B37,TOTAL!$B$3:$B$106,1,0)</f>
        <v>André Amaral André Amaral</v>
      </c>
    </row>
    <row r="38" spans="1:8" x14ac:dyDescent="0.3">
      <c r="A38">
        <v>37</v>
      </c>
      <c r="B38" t="s">
        <v>53</v>
      </c>
      <c r="C38" s="18">
        <v>22.1</v>
      </c>
      <c r="D38" s="3">
        <v>2</v>
      </c>
      <c r="E38" s="18">
        <v>12</v>
      </c>
      <c r="F38" s="2">
        <v>0.20347222222222222</v>
      </c>
      <c r="G38" s="3">
        <v>253</v>
      </c>
      <c r="H38" t="str">
        <f>VLOOKUP(B38,TOTAL!$B$3:$B$106,1,0)</f>
        <v>Emanuel Silva Emanuel Silva</v>
      </c>
    </row>
    <row r="39" spans="1:8" x14ac:dyDescent="0.3">
      <c r="A39">
        <v>38</v>
      </c>
      <c r="B39" t="s">
        <v>67</v>
      </c>
      <c r="C39" s="18">
        <v>21.9</v>
      </c>
      <c r="D39" s="3">
        <v>2</v>
      </c>
      <c r="E39" s="18">
        <v>12.8</v>
      </c>
      <c r="F39" s="2">
        <v>0.27152777777777776</v>
      </c>
      <c r="G39" s="3">
        <v>228</v>
      </c>
      <c r="H39" t="str">
        <f>VLOOKUP(B39,TOTAL!$B$3:$B$106,1,0)</f>
        <v>Pedro Fonseca Pedro Fonseca</v>
      </c>
    </row>
    <row r="40" spans="1:8" x14ac:dyDescent="0.3">
      <c r="A40">
        <v>39</v>
      </c>
      <c r="B40" t="s">
        <v>179</v>
      </c>
      <c r="C40" s="18">
        <v>20.8</v>
      </c>
      <c r="D40" s="3">
        <v>2</v>
      </c>
      <c r="E40" s="18">
        <v>10.7</v>
      </c>
      <c r="F40" s="2">
        <v>0.28125</v>
      </c>
      <c r="G40" s="3">
        <v>249</v>
      </c>
      <c r="H40" t="str">
        <f>VLOOKUP(B40,TOTAL!$B$3:$B$106,1,0)</f>
        <v>Pedro Silva Pedro Silva</v>
      </c>
    </row>
    <row r="41" spans="1:8" x14ac:dyDescent="0.3">
      <c r="A41">
        <v>40</v>
      </c>
      <c r="B41" t="s">
        <v>177</v>
      </c>
      <c r="C41" s="18">
        <v>19.7</v>
      </c>
      <c r="D41" s="3">
        <v>2</v>
      </c>
      <c r="E41" s="18">
        <v>10</v>
      </c>
      <c r="F41" s="2">
        <v>0.25347222222222221</v>
      </c>
      <c r="G41" s="3">
        <v>222</v>
      </c>
      <c r="H41" t="str">
        <f>VLOOKUP(B41,TOTAL!$B$3:$B$106,1,0)</f>
        <v>Bruno Pinto Bruno Pinto</v>
      </c>
    </row>
    <row r="42" spans="1:8" x14ac:dyDescent="0.3">
      <c r="A42">
        <v>41</v>
      </c>
      <c r="B42" t="s">
        <v>29</v>
      </c>
      <c r="C42" s="18">
        <v>18.600000000000001</v>
      </c>
      <c r="D42" s="3">
        <v>2</v>
      </c>
      <c r="E42" s="18">
        <v>11.4</v>
      </c>
      <c r="F42" s="2">
        <v>0.2638888888888889</v>
      </c>
      <c r="G42" s="3">
        <v>143</v>
      </c>
      <c r="H42" t="str">
        <f>VLOOKUP(B42,TOTAL!$B$3:$B$106,1,0)</f>
        <v>Sara Catita Sara Catita</v>
      </c>
    </row>
    <row r="43" spans="1:8" x14ac:dyDescent="0.3">
      <c r="A43">
        <v>42</v>
      </c>
      <c r="B43" t="s">
        <v>22</v>
      </c>
      <c r="C43" s="18">
        <v>18.399999999999999</v>
      </c>
      <c r="D43" s="3">
        <v>2</v>
      </c>
      <c r="E43" s="18">
        <v>10.199999999999999</v>
      </c>
      <c r="F43" s="2">
        <v>0.24583333333333332</v>
      </c>
      <c r="G43" s="3">
        <v>393</v>
      </c>
      <c r="H43" t="str">
        <f>VLOOKUP(B43,TOTAL!$B$3:$B$106,1,0)</f>
        <v>Miguel Dias Miguel Dias</v>
      </c>
    </row>
    <row r="44" spans="1:8" x14ac:dyDescent="0.3">
      <c r="A44">
        <v>43</v>
      </c>
      <c r="B44" t="s">
        <v>78</v>
      </c>
      <c r="C44" s="18">
        <v>18.2</v>
      </c>
      <c r="D44" s="3">
        <v>2</v>
      </c>
      <c r="E44" s="18">
        <v>10</v>
      </c>
      <c r="F44" s="2">
        <v>0.25694444444444442</v>
      </c>
      <c r="G44" s="3">
        <v>103</v>
      </c>
      <c r="H44" t="str">
        <f>VLOOKUP(B44,TOTAL!$B$3:$B$106,1,0)</f>
        <v>Zana Duarte Zana Duarte</v>
      </c>
    </row>
    <row r="45" spans="1:8" x14ac:dyDescent="0.3">
      <c r="A45">
        <v>44</v>
      </c>
      <c r="B45" t="s">
        <v>68</v>
      </c>
      <c r="C45" s="18">
        <v>18</v>
      </c>
      <c r="D45" s="3">
        <v>2</v>
      </c>
      <c r="E45" s="18">
        <v>10</v>
      </c>
      <c r="F45" s="2">
        <v>0.23125000000000001</v>
      </c>
      <c r="G45" s="3">
        <v>58</v>
      </c>
      <c r="H45" t="str">
        <f>VLOOKUP(B45,TOTAL!$B$3:$B$106,1,0)</f>
        <v>joão sousa joão sousa</v>
      </c>
    </row>
    <row r="46" spans="1:8" x14ac:dyDescent="0.3">
      <c r="A46">
        <v>45</v>
      </c>
      <c r="B46" t="s">
        <v>32</v>
      </c>
      <c r="C46" s="18">
        <v>18</v>
      </c>
      <c r="D46" s="3">
        <v>1</v>
      </c>
      <c r="E46" s="18">
        <v>18</v>
      </c>
      <c r="F46" s="2">
        <v>0.36666666666666664</v>
      </c>
      <c r="G46" s="3">
        <v>295</v>
      </c>
      <c r="H46" t="str">
        <f>VLOOKUP(B46,TOTAL!$B$3:$B$106,1,0)</f>
        <v>Rita Vicente Rita Vicente</v>
      </c>
    </row>
    <row r="47" spans="1:8" x14ac:dyDescent="0.3">
      <c r="A47">
        <v>46</v>
      </c>
      <c r="B47" t="s">
        <v>49</v>
      </c>
      <c r="C47" s="18">
        <v>17.3</v>
      </c>
      <c r="D47" s="3">
        <v>3</v>
      </c>
      <c r="E47" s="18">
        <v>8.5</v>
      </c>
      <c r="F47" s="2">
        <v>0.27430555555555558</v>
      </c>
      <c r="G47" s="3">
        <v>126</v>
      </c>
      <c r="H47" t="str">
        <f>VLOOKUP(B47,TOTAL!$B$3:$B$106,1,0)</f>
        <v>Paulo Vintém Oliveira Paulo Vintém Oliveira</v>
      </c>
    </row>
    <row r="48" spans="1:8" x14ac:dyDescent="0.3">
      <c r="A48">
        <v>47</v>
      </c>
      <c r="B48" t="s">
        <v>7</v>
      </c>
      <c r="C48" s="18">
        <v>17</v>
      </c>
      <c r="D48" s="3">
        <v>1</v>
      </c>
      <c r="E48" s="18">
        <v>17</v>
      </c>
      <c r="F48" s="2">
        <v>0.3972222222222222</v>
      </c>
      <c r="G48" s="3">
        <v>1128</v>
      </c>
      <c r="H48" t="str">
        <f>VLOOKUP(B48,TOTAL!$B$3:$B$106,1,0)</f>
        <v>José Manso José Manso</v>
      </c>
    </row>
    <row r="49" spans="1:8" x14ac:dyDescent="0.3">
      <c r="A49">
        <v>48</v>
      </c>
      <c r="B49" t="s">
        <v>41</v>
      </c>
      <c r="C49" s="18">
        <v>16.7</v>
      </c>
      <c r="D49" s="3">
        <v>3</v>
      </c>
      <c r="E49" s="18">
        <v>7.6</v>
      </c>
      <c r="F49" s="2">
        <v>0.32777777777777778</v>
      </c>
      <c r="G49" s="3">
        <v>76</v>
      </c>
      <c r="H49" t="str">
        <f>VLOOKUP(B49,TOTAL!$B$3:$B$106,1,0)</f>
        <v>Francisco Afonso Francisco Afonso</v>
      </c>
    </row>
    <row r="50" spans="1:8" x14ac:dyDescent="0.3">
      <c r="A50">
        <v>49</v>
      </c>
      <c r="B50" t="s">
        <v>31</v>
      </c>
      <c r="C50" s="18">
        <v>16.600000000000001</v>
      </c>
      <c r="D50" s="3">
        <v>2</v>
      </c>
      <c r="E50" s="18">
        <v>11</v>
      </c>
      <c r="F50" s="2">
        <v>0.22222222222222221</v>
      </c>
      <c r="G50" s="3">
        <v>9</v>
      </c>
      <c r="H50" t="str">
        <f>VLOOKUP(B50,TOTAL!$B$3:$B$106,1,0)</f>
        <v>Paulo Machado Paulo Machado</v>
      </c>
    </row>
    <row r="51" spans="1:8" x14ac:dyDescent="0.3">
      <c r="A51">
        <v>50</v>
      </c>
      <c r="B51" t="s">
        <v>76</v>
      </c>
      <c r="C51" s="18">
        <v>16.600000000000001</v>
      </c>
      <c r="D51" s="3">
        <v>2</v>
      </c>
      <c r="E51" s="18">
        <v>9.9</v>
      </c>
      <c r="F51" s="2">
        <v>0.22916666666666666</v>
      </c>
      <c r="G51" s="3">
        <v>224</v>
      </c>
      <c r="H51" t="str">
        <f>VLOOKUP(B51,TOTAL!$B$3:$B$106,1,0)</f>
        <v>Nuno Alves Nuno Alves</v>
      </c>
    </row>
    <row r="52" spans="1:8" x14ac:dyDescent="0.3">
      <c r="A52">
        <v>51</v>
      </c>
      <c r="B52" t="s">
        <v>40</v>
      </c>
      <c r="C52" s="18">
        <v>16.5</v>
      </c>
      <c r="D52" s="3">
        <v>2</v>
      </c>
      <c r="E52" s="18">
        <v>10</v>
      </c>
      <c r="F52" s="2">
        <v>0.24305555555555555</v>
      </c>
      <c r="G52" s="3">
        <v>76</v>
      </c>
      <c r="H52" t="str">
        <f>VLOOKUP(B52,TOTAL!$B$3:$B$106,1,0)</f>
        <v>Marta Pereira Marta Pereira</v>
      </c>
    </row>
    <row r="53" spans="1:8" x14ac:dyDescent="0.3">
      <c r="A53">
        <v>52</v>
      </c>
      <c r="B53" t="s">
        <v>219</v>
      </c>
      <c r="C53" s="18">
        <v>16.3</v>
      </c>
      <c r="D53" s="3">
        <v>2</v>
      </c>
      <c r="E53" s="18">
        <v>10</v>
      </c>
      <c r="F53" s="2">
        <v>0.30277777777777776</v>
      </c>
      <c r="G53" s="3">
        <v>159</v>
      </c>
      <c r="H53" t="str">
        <f>VLOOKUP(B53,TOTAL!$B$3:$B$106,1,0)</f>
        <v>Elizabeth Silva Elizabeth Silva</v>
      </c>
    </row>
    <row r="54" spans="1:8" x14ac:dyDescent="0.3">
      <c r="A54">
        <v>53</v>
      </c>
      <c r="B54" t="s">
        <v>404</v>
      </c>
      <c r="C54" s="18">
        <v>16.3</v>
      </c>
      <c r="D54" s="3">
        <v>1</v>
      </c>
      <c r="E54" s="18">
        <v>16.3</v>
      </c>
      <c r="F54" s="2">
        <v>0.31805555555555554</v>
      </c>
      <c r="G54" s="3">
        <v>530</v>
      </c>
      <c r="H54" t="str">
        <f>VLOOKUP(B54,TOTAL!$B$3:$B$106,1,0)</f>
        <v>Joaquim José Monteiro Joaquim José Monteiro</v>
      </c>
    </row>
    <row r="55" spans="1:8" x14ac:dyDescent="0.3">
      <c r="A55">
        <v>54</v>
      </c>
      <c r="B55" t="s">
        <v>430</v>
      </c>
      <c r="C55" s="18">
        <v>15.4</v>
      </c>
      <c r="D55" s="3">
        <v>3</v>
      </c>
      <c r="E55" s="18">
        <v>10.5</v>
      </c>
      <c r="F55" s="2">
        <v>0.42986111111111114</v>
      </c>
      <c r="G55" s="3">
        <v>402</v>
      </c>
      <c r="H55" t="str">
        <f>VLOOKUP(B55,TOTAL!$B$3:$B$106,1,0)</f>
        <v>João Ralha João Ralha</v>
      </c>
    </row>
    <row r="56" spans="1:8" x14ac:dyDescent="0.3">
      <c r="A56">
        <v>55</v>
      </c>
      <c r="B56" t="s">
        <v>20</v>
      </c>
      <c r="C56" s="18">
        <v>15.3</v>
      </c>
      <c r="D56" s="3">
        <v>3</v>
      </c>
      <c r="E56" s="18">
        <v>7</v>
      </c>
      <c r="F56" s="2">
        <v>0.25069444444444444</v>
      </c>
      <c r="G56" s="3">
        <v>52</v>
      </c>
      <c r="H56" t="str">
        <f>VLOOKUP(B56,TOTAL!$B$3:$B$106,1,0)</f>
        <v>Inês Sepúlveda Inês Sepúlveda</v>
      </c>
    </row>
    <row r="57" spans="1:8" x14ac:dyDescent="0.3">
      <c r="A57">
        <v>56</v>
      </c>
      <c r="B57" t="s">
        <v>56</v>
      </c>
      <c r="C57" s="18">
        <v>15.1</v>
      </c>
      <c r="D57" s="3">
        <v>1</v>
      </c>
      <c r="E57" s="18">
        <v>15.1</v>
      </c>
      <c r="F57" s="2">
        <v>0.18888888888888888</v>
      </c>
      <c r="G57" s="3">
        <v>124</v>
      </c>
      <c r="H57" t="str">
        <f>VLOOKUP(B57,TOTAL!$B$3:$B$106,1,0)</f>
        <v>Pedro  Ribeiro Pedro Ribeiro</v>
      </c>
    </row>
    <row r="58" spans="1:8" x14ac:dyDescent="0.3">
      <c r="A58">
        <v>57</v>
      </c>
      <c r="B58" t="s">
        <v>59</v>
      </c>
      <c r="C58" s="18">
        <v>14.1</v>
      </c>
      <c r="D58" s="3">
        <v>1</v>
      </c>
      <c r="E58" s="18">
        <v>14.1</v>
      </c>
      <c r="F58" s="2">
        <v>0.3347222222222222</v>
      </c>
      <c r="G58" s="3">
        <v>14</v>
      </c>
      <c r="H58" t="str">
        <f>VLOOKUP(B58,TOTAL!$B$3:$B$106,1,0)</f>
        <v>Andreia Oliveira Andreia Oliveira</v>
      </c>
    </row>
    <row r="59" spans="1:8" x14ac:dyDescent="0.3">
      <c r="A59">
        <v>58</v>
      </c>
      <c r="B59" t="s">
        <v>474</v>
      </c>
      <c r="C59" s="18">
        <v>13.5</v>
      </c>
      <c r="D59" s="3">
        <v>2</v>
      </c>
      <c r="E59" s="18">
        <v>10</v>
      </c>
      <c r="F59" s="2">
        <v>0.29652777777777778</v>
      </c>
      <c r="G59" s="3">
        <v>99</v>
      </c>
      <c r="H59" t="str">
        <f>VLOOKUP(B59,TOTAL!$B$3:$B$106,1,0)</f>
        <v>Débora Almeida Débora Almeida</v>
      </c>
    </row>
    <row r="60" spans="1:8" x14ac:dyDescent="0.3">
      <c r="A60">
        <v>59</v>
      </c>
      <c r="B60" t="s">
        <v>37</v>
      </c>
      <c r="C60" s="18">
        <v>12.5</v>
      </c>
      <c r="D60" s="3">
        <v>1</v>
      </c>
      <c r="E60" s="18">
        <v>12.5</v>
      </c>
      <c r="F60" s="2">
        <v>0.28888888888888886</v>
      </c>
      <c r="G60" s="3">
        <v>235</v>
      </c>
      <c r="H60" t="str">
        <f>VLOOKUP(B60,TOTAL!$B$3:$B$106,1,0)</f>
        <v>Gonçalo Fontes de Melo Gonçalo Fontes de Melo</v>
      </c>
    </row>
    <row r="61" spans="1:8" x14ac:dyDescent="0.3">
      <c r="A61">
        <v>60</v>
      </c>
      <c r="B61" t="s">
        <v>400</v>
      </c>
      <c r="C61" s="18">
        <v>11.3</v>
      </c>
      <c r="D61" s="3">
        <v>2</v>
      </c>
      <c r="E61" s="18">
        <v>5.8</v>
      </c>
      <c r="F61" s="2">
        <v>0.2298611111111111</v>
      </c>
      <c r="G61" s="3">
        <v>58</v>
      </c>
      <c r="H61" t="str">
        <f>VLOOKUP(B61,TOTAL!$B$3:$B$106,1,0)</f>
        <v>Orlando Ferreira Orlando Ferreira</v>
      </c>
    </row>
    <row r="62" spans="1:8" x14ac:dyDescent="0.3">
      <c r="A62">
        <v>61</v>
      </c>
      <c r="B62" t="s">
        <v>214</v>
      </c>
      <c r="C62" s="18">
        <v>10.1</v>
      </c>
      <c r="D62" s="3">
        <v>1</v>
      </c>
      <c r="E62" s="18">
        <v>10.1</v>
      </c>
      <c r="F62" s="2">
        <v>0.24930555555555556</v>
      </c>
      <c r="G62" s="3">
        <v>101</v>
      </c>
      <c r="H62" t="str">
        <f>VLOOKUP(B62,TOTAL!$B$3:$B$106,1,0)</f>
        <v>Yoko Tsuno Yoko Tsuno</v>
      </c>
    </row>
    <row r="63" spans="1:8" x14ac:dyDescent="0.3">
      <c r="A63">
        <v>62</v>
      </c>
      <c r="B63" t="s">
        <v>178</v>
      </c>
      <c r="C63" s="18">
        <v>10</v>
      </c>
      <c r="D63" s="3">
        <v>1</v>
      </c>
      <c r="E63" s="18">
        <v>10</v>
      </c>
      <c r="F63" s="2">
        <v>0.27430555555555558</v>
      </c>
      <c r="G63" s="3">
        <v>119</v>
      </c>
      <c r="H63" t="str">
        <f>VLOOKUP(B63,TOTAL!$B$3:$B$106,1,0)</f>
        <v>Rui Próspero Rui Próspero</v>
      </c>
    </row>
    <row r="64" spans="1:8" x14ac:dyDescent="0.3">
      <c r="A64">
        <v>63</v>
      </c>
      <c r="B64" t="s">
        <v>176</v>
      </c>
      <c r="C64" s="18">
        <v>10</v>
      </c>
      <c r="D64" s="3">
        <v>1</v>
      </c>
      <c r="E64" s="18">
        <v>10</v>
      </c>
      <c r="F64" s="2">
        <v>0.28541666666666665</v>
      </c>
      <c r="G64" s="3">
        <v>124</v>
      </c>
      <c r="H64" t="str">
        <f>VLOOKUP(B64,TOTAL!$B$3:$B$106,1,0)</f>
        <v>Pedro Rodrigues Pedro Rodrigues</v>
      </c>
    </row>
    <row r="65" spans="1:8" x14ac:dyDescent="0.3">
      <c r="A65">
        <v>64</v>
      </c>
      <c r="B65" t="s">
        <v>73</v>
      </c>
      <c r="C65" s="18">
        <v>10</v>
      </c>
      <c r="D65" s="3">
        <v>1</v>
      </c>
      <c r="E65" s="18">
        <v>10</v>
      </c>
      <c r="F65" s="2">
        <v>0.26458333333333334</v>
      </c>
      <c r="G65" s="3">
        <v>55</v>
      </c>
      <c r="H65" t="str">
        <f>VLOOKUP(B65,TOTAL!$B$3:$B$106,1,0)</f>
        <v>Patrícia Calado Patrícia Calado</v>
      </c>
    </row>
    <row r="66" spans="1:8" x14ac:dyDescent="0.3">
      <c r="A66">
        <v>65</v>
      </c>
      <c r="B66" t="s">
        <v>194</v>
      </c>
      <c r="C66" s="18">
        <v>9.8000000000000007</v>
      </c>
      <c r="D66" s="3">
        <v>1</v>
      </c>
      <c r="E66" s="18">
        <v>9.8000000000000007</v>
      </c>
      <c r="F66" s="2">
        <v>0.43611111111111112</v>
      </c>
      <c r="G66" s="3">
        <v>43</v>
      </c>
      <c r="H66" t="str">
        <f>VLOOKUP(B66,TOTAL!$B$3:$B$106,1,0)</f>
        <v>Odília Pereira ???? Odília Pereira ????</v>
      </c>
    </row>
    <row r="67" spans="1:8" x14ac:dyDescent="0.3">
      <c r="A67">
        <v>66</v>
      </c>
      <c r="B67" t="s">
        <v>45</v>
      </c>
      <c r="C67" s="18">
        <v>9.6</v>
      </c>
      <c r="D67" s="3">
        <v>1</v>
      </c>
      <c r="E67" s="18">
        <v>9.6</v>
      </c>
      <c r="F67" s="2">
        <v>0.35902777777777778</v>
      </c>
      <c r="G67" s="3">
        <v>36</v>
      </c>
      <c r="H67" t="str">
        <f>VLOOKUP(B67,TOTAL!$B$3:$B$106,1,0)</f>
        <v>Pedro Machado Pedro Machado</v>
      </c>
    </row>
    <row r="68" spans="1:8" x14ac:dyDescent="0.3">
      <c r="A68">
        <v>67</v>
      </c>
      <c r="B68" t="s">
        <v>43</v>
      </c>
      <c r="C68" s="18">
        <v>9.5</v>
      </c>
      <c r="D68" s="3">
        <v>2</v>
      </c>
      <c r="E68" s="18">
        <v>7.5</v>
      </c>
      <c r="F68" s="2">
        <v>0.3659722222222222</v>
      </c>
      <c r="G68" s="3">
        <v>64</v>
      </c>
      <c r="H68" t="str">
        <f>VLOOKUP(B68,TOTAL!$B$3:$B$106,1,0)</f>
        <v>Cristina Morgado Cristina Morgado</v>
      </c>
    </row>
    <row r="69" spans="1:8" x14ac:dyDescent="0.3">
      <c r="A69">
        <v>68</v>
      </c>
      <c r="B69" t="s">
        <v>181</v>
      </c>
      <c r="C69" s="18">
        <v>9</v>
      </c>
      <c r="D69" s="3">
        <v>3</v>
      </c>
      <c r="E69" s="18">
        <v>4.5999999999999996</v>
      </c>
      <c r="F69" s="2">
        <v>0.54305555555555551</v>
      </c>
      <c r="G69" s="3">
        <v>84</v>
      </c>
      <c r="H69" t="str">
        <f>VLOOKUP(B69,TOTAL!$B$3:$B$106,1,0)</f>
        <v>Tiago Ribeiro Tiago Ribeiro</v>
      </c>
    </row>
    <row r="70" spans="1:8" x14ac:dyDescent="0.3">
      <c r="A70">
        <v>69</v>
      </c>
      <c r="B70" t="s">
        <v>48</v>
      </c>
      <c r="C70" s="18">
        <v>7.8</v>
      </c>
      <c r="D70" s="3">
        <v>1</v>
      </c>
      <c r="E70" s="18">
        <v>7.8</v>
      </c>
      <c r="F70" s="2">
        <v>0.22361111111111112</v>
      </c>
      <c r="G70" s="3">
        <v>59</v>
      </c>
      <c r="H70" t="str">
        <f>VLOOKUP(B70,TOTAL!$B$3:$B$106,1,0)</f>
        <v>Ricardo Mateus Ricardo Mateus</v>
      </c>
    </row>
    <row r="71" spans="1:8" x14ac:dyDescent="0.3">
      <c r="A71">
        <v>70</v>
      </c>
      <c r="B71" t="s">
        <v>70</v>
      </c>
      <c r="C71" s="18">
        <v>6.1</v>
      </c>
      <c r="D71" s="3">
        <v>1</v>
      </c>
      <c r="E71" s="18">
        <v>6.1</v>
      </c>
      <c r="F71" s="2">
        <v>0.26944444444444443</v>
      </c>
      <c r="G71" s="3">
        <v>30</v>
      </c>
      <c r="H71" t="str">
        <f>VLOOKUP(B71,TOTAL!$B$3:$B$106,1,0)</f>
        <v>Nayara Pinheiro Nayara Pinheiro</v>
      </c>
    </row>
    <row r="72" spans="1:8" x14ac:dyDescent="0.3">
      <c r="A72">
        <v>71</v>
      </c>
      <c r="B72" t="s">
        <v>63</v>
      </c>
      <c r="C72" s="18">
        <v>6</v>
      </c>
      <c r="D72" s="3">
        <v>1</v>
      </c>
      <c r="E72" s="18">
        <v>6</v>
      </c>
      <c r="F72" s="2">
        <v>0.27569444444444446</v>
      </c>
      <c r="G72" s="3">
        <v>2</v>
      </c>
      <c r="H72" t="str">
        <f>VLOOKUP(B72,TOTAL!$B$3:$B$106,1,0)</f>
        <v>Pedro Morgado Pedro Morgado</v>
      </c>
    </row>
    <row r="73" spans="1:8" x14ac:dyDescent="0.3">
      <c r="A73">
        <v>72</v>
      </c>
      <c r="B73" t="s">
        <v>65</v>
      </c>
      <c r="C73" s="18">
        <v>5.0999999999999996</v>
      </c>
      <c r="D73" s="3">
        <v>1</v>
      </c>
      <c r="E73" s="18">
        <v>5.0999999999999996</v>
      </c>
      <c r="F73" s="2">
        <v>0.22569444444444445</v>
      </c>
      <c r="G73" s="3">
        <v>15</v>
      </c>
      <c r="H73" t="str">
        <f>VLOOKUP(B73,TOTAL!$B$3:$B$106,1,0)</f>
        <v>Fernando Carvalhão ?? Fernando Carvalhão ??</v>
      </c>
    </row>
    <row r="74" spans="1:8" x14ac:dyDescent="0.3">
      <c r="A74">
        <v>73</v>
      </c>
      <c r="B74" t="s">
        <v>62</v>
      </c>
      <c r="C74" s="18">
        <v>5</v>
      </c>
      <c r="D74" s="3">
        <v>1</v>
      </c>
      <c r="E74" s="18">
        <v>5</v>
      </c>
      <c r="F74" s="2">
        <v>0.36875000000000002</v>
      </c>
      <c r="G74" s="3">
        <v>306</v>
      </c>
      <c r="H74" t="str">
        <f>VLOOKUP(B74,TOTAL!$B$3:$B$106,1,0)</f>
        <v>Ruben Costa Ruben Costa</v>
      </c>
    </row>
    <row r="75" spans="1:8" x14ac:dyDescent="0.3">
      <c r="A75">
        <v>74</v>
      </c>
      <c r="B75" t="s">
        <v>220</v>
      </c>
      <c r="C75" s="18">
        <v>3.9</v>
      </c>
      <c r="D75" s="3">
        <v>1</v>
      </c>
      <c r="E75" s="18">
        <v>3.9</v>
      </c>
      <c r="F75" s="2">
        <v>0.29722222222222222</v>
      </c>
      <c r="G75" s="3">
        <v>69</v>
      </c>
      <c r="H75" t="str">
        <f>VLOOKUP(B75,TOTAL!$B$3:$B$106,1,0)</f>
        <v>Nuno Dias de Almeida Nuno Dias de Almeida</v>
      </c>
    </row>
    <row r="76" spans="1:8" x14ac:dyDescent="0.3">
      <c r="A76">
        <v>75</v>
      </c>
      <c r="B76" t="s">
        <v>72</v>
      </c>
      <c r="C76" s="18">
        <v>3.2</v>
      </c>
      <c r="D76" s="3">
        <v>1</v>
      </c>
      <c r="E76" s="18">
        <v>3.2</v>
      </c>
      <c r="F76" s="2">
        <v>0.24027777777777778</v>
      </c>
      <c r="G76" s="3">
        <v>6</v>
      </c>
      <c r="H76" t="str">
        <f>VLOOKUP(B76,TOTAL!$B$3:$B$106,1,0)</f>
        <v>Ana Melo Ana Melo</v>
      </c>
    </row>
    <row r="77" spans="1:8" x14ac:dyDescent="0.3">
      <c r="C77" s="18"/>
      <c r="D77" s="3"/>
      <c r="E77" s="18"/>
      <c r="F77" s="2"/>
      <c r="G77" s="3"/>
    </row>
  </sheetData>
  <autoFilter ref="A1:I78" xr:uid="{D7DE90D2-E864-4B93-AD52-54E442BD8DD9}"/>
  <pageMargins left="0.7" right="0.7" top="0.75" bottom="0.75" header="0.3" footer="0.3"/>
  <headerFooter>
    <oddFooter>&amp;C_x000D_&amp;1#&amp;"Calibri"&amp;8&amp;K000000 Public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E1D76-3709-4A5B-BE4D-53E9FF91097E}">
  <dimension ref="A1:H69"/>
  <sheetViews>
    <sheetView workbookViewId="0"/>
  </sheetViews>
  <sheetFormatPr defaultRowHeight="14.4" x14ac:dyDescent="0.3"/>
  <cols>
    <col min="2" max="2" width="8.88671875" customWidth="1"/>
  </cols>
  <sheetData>
    <row r="1" spans="1:8" x14ac:dyDescent="0.3">
      <c r="A1" s="1" t="s">
        <v>0</v>
      </c>
      <c r="B1" s="1" t="s">
        <v>1</v>
      </c>
      <c r="C1" s="1" t="s">
        <v>82</v>
      </c>
      <c r="D1" s="1" t="s">
        <v>2</v>
      </c>
      <c r="E1" s="1" t="s">
        <v>83</v>
      </c>
      <c r="F1" s="1" t="s">
        <v>84</v>
      </c>
      <c r="G1" s="1" t="s">
        <v>85</v>
      </c>
    </row>
    <row r="2" spans="1:8" x14ac:dyDescent="0.3">
      <c r="A2">
        <v>1</v>
      </c>
      <c r="B2" t="s">
        <v>4</v>
      </c>
      <c r="C2" s="18">
        <v>117.3</v>
      </c>
      <c r="D2" s="3">
        <v>7</v>
      </c>
      <c r="E2" s="18">
        <v>45.1</v>
      </c>
      <c r="F2" s="2">
        <v>0.26527777777777778</v>
      </c>
      <c r="G2" s="3">
        <v>2735</v>
      </c>
      <c r="H2" t="str">
        <f>VLOOKUP(B2,TOTAL!$B$3:$B$10000,1,0)</f>
        <v>Sérgio Miguel Sérgio Miguel</v>
      </c>
    </row>
    <row r="3" spans="1:8" x14ac:dyDescent="0.3">
      <c r="A3">
        <v>2</v>
      </c>
      <c r="B3" t="s">
        <v>7</v>
      </c>
      <c r="C3" s="18">
        <v>91.2</v>
      </c>
      <c r="D3" s="3">
        <v>6</v>
      </c>
      <c r="E3" s="18">
        <v>19</v>
      </c>
      <c r="F3" s="2">
        <v>0.31319444444444444</v>
      </c>
      <c r="G3" s="3">
        <v>2480</v>
      </c>
      <c r="H3" t="str">
        <f>VLOOKUP(B3,TOTAL!$B$3:$B$10000,1,0)</f>
        <v>José Manso José Manso</v>
      </c>
    </row>
    <row r="4" spans="1:8" x14ac:dyDescent="0.3">
      <c r="A4">
        <v>3</v>
      </c>
      <c r="B4" t="s">
        <v>13</v>
      </c>
      <c r="C4" s="18">
        <v>72.900000000000006</v>
      </c>
      <c r="D4" s="3">
        <v>7</v>
      </c>
      <c r="E4" s="18">
        <v>46.1</v>
      </c>
      <c r="F4" s="2">
        <v>0.25486111111111109</v>
      </c>
      <c r="G4" s="3">
        <v>2063</v>
      </c>
      <c r="H4" t="str">
        <f>VLOOKUP(B4,TOTAL!$B$3:$B$10000,1,0)</f>
        <v>Sara Pedrosa Sara Pedrosa</v>
      </c>
    </row>
    <row r="5" spans="1:8" x14ac:dyDescent="0.3">
      <c r="A5">
        <v>4</v>
      </c>
      <c r="B5" t="s">
        <v>51</v>
      </c>
      <c r="C5" s="18">
        <v>69.400000000000006</v>
      </c>
      <c r="D5" s="3">
        <v>5</v>
      </c>
      <c r="E5" s="18">
        <v>27</v>
      </c>
      <c r="F5" s="2">
        <v>0.26666666666666666</v>
      </c>
      <c r="G5" s="3">
        <v>177</v>
      </c>
      <c r="H5" t="str">
        <f>VLOOKUP(B5,TOTAL!$B$3:$B$10000,1,0)</f>
        <v>Ana Rute Matos Ana Rute Matos</v>
      </c>
    </row>
    <row r="6" spans="1:8" x14ac:dyDescent="0.3">
      <c r="A6">
        <v>5</v>
      </c>
      <c r="B6" t="s">
        <v>34</v>
      </c>
      <c r="C6" s="18">
        <v>65.8</v>
      </c>
      <c r="D6" s="3">
        <v>5</v>
      </c>
      <c r="E6" s="18">
        <v>31.6</v>
      </c>
      <c r="F6" s="2">
        <v>0.32708333333333334</v>
      </c>
      <c r="G6" s="3">
        <v>1612</v>
      </c>
      <c r="H6" t="str">
        <f>VLOOKUP(B6,TOTAL!$B$3:$B$10000,1,0)</f>
        <v>Marina Marques Marina Marques</v>
      </c>
    </row>
    <row r="7" spans="1:8" x14ac:dyDescent="0.3">
      <c r="A7">
        <v>6</v>
      </c>
      <c r="B7" t="s">
        <v>9</v>
      </c>
      <c r="C7" s="18">
        <v>65</v>
      </c>
      <c r="D7" s="3">
        <v>5</v>
      </c>
      <c r="E7" s="18">
        <v>17</v>
      </c>
      <c r="F7" s="2">
        <v>0.25486111111111109</v>
      </c>
      <c r="G7" s="3">
        <v>621</v>
      </c>
      <c r="H7" t="str">
        <f>VLOOKUP(B7,TOTAL!$B$3:$B$10000,1,0)</f>
        <v>Carlos Vaz Vignolo Carlos Vaz Vignolo</v>
      </c>
    </row>
    <row r="8" spans="1:8" x14ac:dyDescent="0.3">
      <c r="A8">
        <v>7</v>
      </c>
      <c r="B8" t="s">
        <v>15</v>
      </c>
      <c r="C8" s="18">
        <v>61.4</v>
      </c>
      <c r="D8" s="3">
        <v>4</v>
      </c>
      <c r="E8" s="18">
        <v>19</v>
      </c>
      <c r="F8" s="2">
        <v>0.3263888888888889</v>
      </c>
      <c r="G8" s="3">
        <v>2389</v>
      </c>
      <c r="H8" t="str">
        <f>VLOOKUP(B8,TOTAL!$B$3:$B$10000,1,0)</f>
        <v>Sandra Romano Sandra Romano</v>
      </c>
    </row>
    <row r="9" spans="1:8" x14ac:dyDescent="0.3">
      <c r="A9">
        <v>8</v>
      </c>
      <c r="B9" t="s">
        <v>10</v>
      </c>
      <c r="C9" s="18">
        <v>59.1</v>
      </c>
      <c r="D9" s="3">
        <v>5</v>
      </c>
      <c r="E9" s="18">
        <v>19.100000000000001</v>
      </c>
      <c r="F9" s="2">
        <v>0.22013888888888888</v>
      </c>
      <c r="G9" s="3">
        <v>242</v>
      </c>
      <c r="H9" t="str">
        <f>VLOOKUP(B9,TOTAL!$B$3:$B$10000,1,0)</f>
        <v>João Veiga João Veiga</v>
      </c>
    </row>
    <row r="10" spans="1:8" x14ac:dyDescent="0.3">
      <c r="A10">
        <v>9</v>
      </c>
      <c r="B10" t="s">
        <v>42</v>
      </c>
      <c r="C10" s="18">
        <v>57.6</v>
      </c>
      <c r="D10" s="3">
        <v>4</v>
      </c>
      <c r="E10" s="18">
        <v>28.3</v>
      </c>
      <c r="F10" s="2">
        <v>0.22013888888888888</v>
      </c>
      <c r="G10" s="3">
        <v>52</v>
      </c>
      <c r="H10" t="str">
        <f>VLOOKUP(B10,TOTAL!$B$3:$B$10000,1,0)</f>
        <v>Vitor Pires Vitor Pires</v>
      </c>
    </row>
    <row r="11" spans="1:8" x14ac:dyDescent="0.3">
      <c r="A11">
        <v>10</v>
      </c>
      <c r="B11" t="s">
        <v>69</v>
      </c>
      <c r="C11" s="18">
        <v>57.4</v>
      </c>
      <c r="D11" s="3">
        <v>4</v>
      </c>
      <c r="E11" s="18">
        <v>17.600000000000001</v>
      </c>
      <c r="F11" s="2">
        <v>0.37569444444444444</v>
      </c>
      <c r="G11" s="3">
        <v>2497</v>
      </c>
      <c r="H11" t="str">
        <f>VLOOKUP(B11,TOTAL!$B$3:$B$10000,1,0)</f>
        <v>Rafaela Dinis Rafaela Dinis</v>
      </c>
    </row>
    <row r="12" spans="1:8" x14ac:dyDescent="0.3">
      <c r="A12">
        <v>11</v>
      </c>
      <c r="B12" t="s">
        <v>21</v>
      </c>
      <c r="C12" s="18">
        <v>56.5</v>
      </c>
      <c r="D12" s="3">
        <v>4</v>
      </c>
      <c r="E12" s="18">
        <v>24</v>
      </c>
      <c r="F12" s="2">
        <v>0.25833333333333336</v>
      </c>
      <c r="G12" s="3">
        <v>152</v>
      </c>
      <c r="H12" t="str">
        <f>VLOOKUP(B12,TOTAL!$B$3:$B$10000,1,0)</f>
        <v>Carla Rebelo Carla Rebelo</v>
      </c>
    </row>
    <row r="13" spans="1:8" x14ac:dyDescent="0.3">
      <c r="A13">
        <v>12</v>
      </c>
      <c r="B13" t="s">
        <v>60</v>
      </c>
      <c r="C13" s="18">
        <v>52.1</v>
      </c>
      <c r="D13" s="3">
        <v>4</v>
      </c>
      <c r="E13" s="18">
        <v>24</v>
      </c>
      <c r="F13" s="2">
        <v>0.25347222222222221</v>
      </c>
      <c r="G13" s="3">
        <v>146</v>
      </c>
      <c r="H13" t="str">
        <f>VLOOKUP(B13,TOTAL!$B$3:$B$10000,1,0)</f>
        <v>Jose Magalhaes Jose Magalhaes</v>
      </c>
    </row>
    <row r="14" spans="1:8" x14ac:dyDescent="0.3">
      <c r="A14">
        <v>13</v>
      </c>
      <c r="B14" t="s">
        <v>8</v>
      </c>
      <c r="C14" s="18">
        <v>50.4</v>
      </c>
      <c r="D14" s="3">
        <v>3</v>
      </c>
      <c r="E14" s="18">
        <v>28</v>
      </c>
      <c r="F14" s="2">
        <v>0.19583333333333333</v>
      </c>
      <c r="G14" s="3">
        <v>167</v>
      </c>
      <c r="H14" t="str">
        <f>VLOOKUP(B14,TOTAL!$B$3:$B$10000,1,0)</f>
        <v>Miguel Amaral Miguel Amaral</v>
      </c>
    </row>
    <row r="15" spans="1:8" x14ac:dyDescent="0.3">
      <c r="A15">
        <v>14</v>
      </c>
      <c r="B15" t="s">
        <v>32</v>
      </c>
      <c r="C15" s="18">
        <v>47.7</v>
      </c>
      <c r="D15" s="3">
        <v>5</v>
      </c>
      <c r="E15" s="18">
        <v>14.5</v>
      </c>
      <c r="F15" s="2">
        <v>0.28819444444444442</v>
      </c>
      <c r="G15" s="3">
        <v>744</v>
      </c>
      <c r="H15" t="str">
        <f>VLOOKUP(B15,TOTAL!$B$3:$B$10000,1,0)</f>
        <v>Rita Vicente Rita Vicente</v>
      </c>
    </row>
    <row r="16" spans="1:8" x14ac:dyDescent="0.3">
      <c r="A16">
        <v>15</v>
      </c>
      <c r="B16" t="s">
        <v>19</v>
      </c>
      <c r="C16" s="18">
        <v>47.1</v>
      </c>
      <c r="D16" s="3">
        <v>3</v>
      </c>
      <c r="E16" s="18">
        <v>25.4</v>
      </c>
      <c r="F16" s="2">
        <v>0.21736111111111112</v>
      </c>
      <c r="G16" s="3">
        <v>659</v>
      </c>
      <c r="H16" t="str">
        <f>VLOOKUP(B16,TOTAL!$B$3:$B$10000,1,0)</f>
        <v>Paulo Dias Paulo Dias</v>
      </c>
    </row>
    <row r="17" spans="1:8" x14ac:dyDescent="0.3">
      <c r="A17">
        <v>16</v>
      </c>
      <c r="B17" t="s">
        <v>35</v>
      </c>
      <c r="C17" s="18">
        <v>46.5</v>
      </c>
      <c r="D17" s="3">
        <v>5</v>
      </c>
      <c r="E17" s="18">
        <v>10</v>
      </c>
      <c r="F17" s="2">
        <v>0.22638888888888889</v>
      </c>
      <c r="G17" s="3">
        <v>521</v>
      </c>
      <c r="H17" t="str">
        <f>VLOOKUP(B17,TOTAL!$B$3:$B$10000,1,0)</f>
        <v>Tiago Martins Tiago Martins</v>
      </c>
    </row>
    <row r="18" spans="1:8" x14ac:dyDescent="0.3">
      <c r="A18">
        <v>17</v>
      </c>
      <c r="B18" t="s">
        <v>38</v>
      </c>
      <c r="C18" s="18">
        <v>46.2</v>
      </c>
      <c r="D18" s="3">
        <v>7</v>
      </c>
      <c r="E18" s="18">
        <v>12</v>
      </c>
      <c r="F18" s="2">
        <v>0.31319444444444444</v>
      </c>
      <c r="G18" s="3">
        <v>329</v>
      </c>
      <c r="H18" t="str">
        <f>VLOOKUP(B18,TOTAL!$B$3:$B$10000,1,0)</f>
        <v>Gabriela Grade Gabriela Grade</v>
      </c>
    </row>
    <row r="19" spans="1:8" x14ac:dyDescent="0.3">
      <c r="A19">
        <v>18</v>
      </c>
      <c r="B19" t="s">
        <v>44</v>
      </c>
      <c r="C19" s="18">
        <v>41.5</v>
      </c>
      <c r="D19" s="3">
        <v>3</v>
      </c>
      <c r="E19" s="18">
        <v>17.5</v>
      </c>
      <c r="F19" s="2">
        <v>0.31597222222222221</v>
      </c>
      <c r="G19" s="3">
        <v>984</v>
      </c>
      <c r="H19" t="str">
        <f>VLOOKUP(B19,TOTAL!$B$3:$B$10000,1,0)</f>
        <v>Pedro Simões Pedro Simões</v>
      </c>
    </row>
    <row r="20" spans="1:8" x14ac:dyDescent="0.3">
      <c r="A20">
        <v>19</v>
      </c>
      <c r="B20" t="s">
        <v>56</v>
      </c>
      <c r="C20" s="18">
        <v>40.200000000000003</v>
      </c>
      <c r="D20" s="3">
        <v>3</v>
      </c>
      <c r="E20" s="18">
        <v>18.5</v>
      </c>
      <c r="F20" s="2">
        <v>0.37986111111111109</v>
      </c>
      <c r="G20" s="3">
        <v>1658</v>
      </c>
      <c r="H20" t="str">
        <f>VLOOKUP(B20,TOTAL!$B$3:$B$10000,1,0)</f>
        <v>Pedro  Ribeiro Pedro Ribeiro</v>
      </c>
    </row>
    <row r="21" spans="1:8" x14ac:dyDescent="0.3">
      <c r="A21">
        <v>20</v>
      </c>
      <c r="B21" t="s">
        <v>6</v>
      </c>
      <c r="C21" s="18">
        <v>39.799999999999997</v>
      </c>
      <c r="D21" s="3">
        <v>3</v>
      </c>
      <c r="E21" s="18">
        <v>19.3</v>
      </c>
      <c r="F21" s="2">
        <v>0.36875000000000002</v>
      </c>
      <c r="G21" s="3">
        <v>1612</v>
      </c>
      <c r="H21" t="str">
        <f>VLOOKUP(B21,TOTAL!$B$3:$B$10000,1,0)</f>
        <v>Carmen Ferreira Carmen Ferreira</v>
      </c>
    </row>
    <row r="22" spans="1:8" x14ac:dyDescent="0.3">
      <c r="A22">
        <v>21</v>
      </c>
      <c r="B22" t="s">
        <v>40</v>
      </c>
      <c r="C22" s="18">
        <v>39.299999999999997</v>
      </c>
      <c r="D22" s="3">
        <v>3</v>
      </c>
      <c r="E22" s="18">
        <v>19</v>
      </c>
      <c r="F22" s="2">
        <v>0.45208333333333334</v>
      </c>
      <c r="G22" s="3">
        <v>1128</v>
      </c>
      <c r="H22" t="str">
        <f>VLOOKUP(B22,TOTAL!$B$3:$B$10000,1,0)</f>
        <v>Marta Pereira Marta Pereira</v>
      </c>
    </row>
    <row r="23" spans="1:8" x14ac:dyDescent="0.3">
      <c r="A23">
        <v>22</v>
      </c>
      <c r="B23" t="s">
        <v>12</v>
      </c>
      <c r="C23" s="18">
        <v>38.200000000000003</v>
      </c>
      <c r="D23" s="3">
        <v>5</v>
      </c>
      <c r="E23" s="18">
        <v>10.1</v>
      </c>
      <c r="F23" s="2">
        <v>0.2722222222222222</v>
      </c>
      <c r="G23" s="3">
        <v>233</v>
      </c>
      <c r="H23" t="str">
        <f>VLOOKUP(B23,TOTAL!$B$3:$B$10000,1,0)</f>
        <v>Adalberto Grilo Adalberto Grilo</v>
      </c>
    </row>
    <row r="24" spans="1:8" x14ac:dyDescent="0.3">
      <c r="A24">
        <v>23</v>
      </c>
      <c r="B24" t="s">
        <v>54</v>
      </c>
      <c r="C24" s="18">
        <v>37.700000000000003</v>
      </c>
      <c r="D24" s="3">
        <v>4</v>
      </c>
      <c r="E24" s="18">
        <v>13.7</v>
      </c>
      <c r="F24" s="2">
        <v>0.2590277777777778</v>
      </c>
      <c r="G24" s="3">
        <v>193</v>
      </c>
      <c r="H24" t="str">
        <f>VLOOKUP(B24,TOTAL!$B$3:$B$10000,1,0)</f>
        <v>António  Rego ???????? António Rego ????????</v>
      </c>
    </row>
    <row r="25" spans="1:8" x14ac:dyDescent="0.3">
      <c r="A25">
        <v>24</v>
      </c>
      <c r="B25" t="s">
        <v>36</v>
      </c>
      <c r="C25" s="18">
        <v>36.700000000000003</v>
      </c>
      <c r="D25" s="3">
        <v>4</v>
      </c>
      <c r="E25" s="18">
        <v>12.3</v>
      </c>
      <c r="F25" s="2">
        <v>0.46875</v>
      </c>
      <c r="G25" s="3">
        <v>1001</v>
      </c>
      <c r="H25" t="str">
        <f>VLOOKUP(B25,TOTAL!$B$3:$B$10000,1,0)</f>
        <v>Rute Fernandes Rute Fernandes</v>
      </c>
    </row>
    <row r="26" spans="1:8" x14ac:dyDescent="0.3">
      <c r="A26">
        <v>25</v>
      </c>
      <c r="B26" t="s">
        <v>52</v>
      </c>
      <c r="C26" s="18">
        <v>36.700000000000003</v>
      </c>
      <c r="D26" s="3">
        <v>5</v>
      </c>
      <c r="E26" s="18">
        <v>10.7</v>
      </c>
      <c r="F26" s="2">
        <v>0.26250000000000001</v>
      </c>
      <c r="G26" s="3">
        <v>345</v>
      </c>
      <c r="H26" t="str">
        <f>VLOOKUP(B26,TOTAL!$B$3:$B$10000,1,0)</f>
        <v>Fernando Rosete  Fernando Rosete</v>
      </c>
    </row>
    <row r="27" spans="1:8" x14ac:dyDescent="0.3">
      <c r="A27">
        <v>26</v>
      </c>
      <c r="B27" t="s">
        <v>61</v>
      </c>
      <c r="C27" s="18">
        <v>35.6</v>
      </c>
      <c r="D27" s="3">
        <v>3</v>
      </c>
      <c r="E27" s="18">
        <v>17.600000000000001</v>
      </c>
      <c r="F27" s="2">
        <v>0.34375</v>
      </c>
      <c r="G27" s="3">
        <v>753</v>
      </c>
      <c r="H27" t="str">
        <f>VLOOKUP(B27,TOTAL!$B$3:$B$10000,1,0)</f>
        <v>Sandra S Sandra S</v>
      </c>
    </row>
    <row r="28" spans="1:8" x14ac:dyDescent="0.3">
      <c r="A28">
        <v>27</v>
      </c>
      <c r="B28" t="s">
        <v>53</v>
      </c>
      <c r="C28" s="18">
        <v>35.4</v>
      </c>
      <c r="D28" s="3">
        <v>3</v>
      </c>
      <c r="E28" s="18">
        <v>12.2</v>
      </c>
      <c r="F28" s="2">
        <v>0.21666666666666667</v>
      </c>
      <c r="G28" s="3">
        <v>375</v>
      </c>
      <c r="H28" t="str">
        <f>VLOOKUP(B28,TOTAL!$B$3:$B$10000,1,0)</f>
        <v>Emanuel Silva Emanuel Silva</v>
      </c>
    </row>
    <row r="29" spans="1:8" x14ac:dyDescent="0.3">
      <c r="A29">
        <v>28</v>
      </c>
      <c r="B29" t="s">
        <v>24</v>
      </c>
      <c r="C29" s="18">
        <v>33.799999999999997</v>
      </c>
      <c r="D29" s="3">
        <v>3</v>
      </c>
      <c r="E29" s="18">
        <v>18</v>
      </c>
      <c r="F29" s="2">
        <v>0.33333333333333331</v>
      </c>
      <c r="G29" s="3">
        <v>849</v>
      </c>
      <c r="H29" t="str">
        <f>VLOOKUP(B29,TOTAL!$B$3:$B$10000,1,0)</f>
        <v>João Antunes ???? João Antunes ????</v>
      </c>
    </row>
    <row r="30" spans="1:8" x14ac:dyDescent="0.3">
      <c r="A30">
        <v>29</v>
      </c>
      <c r="B30" t="s">
        <v>27</v>
      </c>
      <c r="C30" s="18">
        <v>33.200000000000003</v>
      </c>
      <c r="D30" s="3">
        <v>3</v>
      </c>
      <c r="E30" s="18">
        <v>17.5</v>
      </c>
      <c r="F30" s="2">
        <v>0.33541666666666664</v>
      </c>
      <c r="G30" s="3">
        <v>712</v>
      </c>
      <c r="H30" t="str">
        <f>VLOOKUP(B30,TOTAL!$B$3:$B$10000,1,0)</f>
        <v>Ana Chocalheiro Ana Chocalheiro</v>
      </c>
    </row>
    <row r="31" spans="1:8" x14ac:dyDescent="0.3">
      <c r="A31">
        <v>30</v>
      </c>
      <c r="B31" t="s">
        <v>29</v>
      </c>
      <c r="C31" s="18">
        <v>32.5</v>
      </c>
      <c r="D31" s="3">
        <v>3</v>
      </c>
      <c r="E31" s="18">
        <v>12.4</v>
      </c>
      <c r="F31" s="2">
        <v>0.38263888888888886</v>
      </c>
      <c r="G31" s="3">
        <v>595</v>
      </c>
      <c r="H31" t="str">
        <f>VLOOKUP(B31,TOTAL!$B$3:$B$10000,1,0)</f>
        <v>Sara Catita Sara Catita</v>
      </c>
    </row>
    <row r="32" spans="1:8" x14ac:dyDescent="0.3">
      <c r="A32">
        <v>31</v>
      </c>
      <c r="B32" t="s">
        <v>31</v>
      </c>
      <c r="C32" s="18">
        <v>32.4</v>
      </c>
      <c r="D32" s="3">
        <v>3</v>
      </c>
      <c r="E32" s="18">
        <v>13.1</v>
      </c>
      <c r="F32" s="2">
        <v>0.23749999999999999</v>
      </c>
      <c r="G32" s="3">
        <v>334</v>
      </c>
      <c r="H32" t="str">
        <f>VLOOKUP(B32,TOTAL!$B$3:$B$10000,1,0)</f>
        <v>Paulo Machado Paulo Machado</v>
      </c>
    </row>
    <row r="33" spans="1:8" x14ac:dyDescent="0.3">
      <c r="A33">
        <v>32</v>
      </c>
      <c r="B33" t="s">
        <v>14</v>
      </c>
      <c r="C33" s="18">
        <v>32</v>
      </c>
      <c r="D33" s="3">
        <v>2</v>
      </c>
      <c r="E33" s="18">
        <v>19</v>
      </c>
      <c r="F33" s="2">
        <v>0.27152777777777776</v>
      </c>
      <c r="G33" s="3">
        <v>374</v>
      </c>
      <c r="H33" t="str">
        <f>VLOOKUP(B33,TOTAL!$B$3:$B$10000,1,0)</f>
        <v>Alexandre Jorge Alexandre Jorge</v>
      </c>
    </row>
    <row r="34" spans="1:8" x14ac:dyDescent="0.3">
      <c r="A34">
        <v>33</v>
      </c>
      <c r="B34" t="s">
        <v>50</v>
      </c>
      <c r="C34" s="18">
        <v>31.8</v>
      </c>
      <c r="D34" s="3">
        <v>3</v>
      </c>
      <c r="E34" s="18">
        <v>13.2</v>
      </c>
      <c r="F34" s="2">
        <v>0.2326388888888889</v>
      </c>
      <c r="G34" s="3">
        <v>100</v>
      </c>
      <c r="H34" t="str">
        <f>VLOOKUP(B34,TOTAL!$B$3:$B$10000,1,0)</f>
        <v>Francisco Sanches-Osorio Francisco Sanches-Osorio</v>
      </c>
    </row>
    <row r="35" spans="1:8" x14ac:dyDescent="0.3">
      <c r="A35">
        <v>34</v>
      </c>
      <c r="B35" t="s">
        <v>68</v>
      </c>
      <c r="C35" s="18">
        <v>29.1</v>
      </c>
      <c r="D35" s="3">
        <v>3</v>
      </c>
      <c r="E35" s="18">
        <v>10</v>
      </c>
      <c r="F35" s="2">
        <v>0.2388888888888889</v>
      </c>
      <c r="G35" s="3">
        <v>591</v>
      </c>
      <c r="H35" t="str">
        <f>VLOOKUP(B35,TOTAL!$B$3:$B$10000,1,0)</f>
        <v>joão sousa joão sousa</v>
      </c>
    </row>
    <row r="36" spans="1:8" x14ac:dyDescent="0.3">
      <c r="A36">
        <v>35</v>
      </c>
      <c r="B36" t="s">
        <v>430</v>
      </c>
      <c r="C36" s="18">
        <v>27</v>
      </c>
      <c r="D36" s="3">
        <v>7</v>
      </c>
      <c r="E36" s="18">
        <v>6.8</v>
      </c>
      <c r="F36" s="2">
        <v>0.4152777777777778</v>
      </c>
      <c r="G36" s="3">
        <v>122</v>
      </c>
      <c r="H36" t="str">
        <f>VLOOKUP(B36,TOTAL!$B$3:$B$10000,1,0)</f>
        <v>João Ralha João Ralha</v>
      </c>
    </row>
    <row r="37" spans="1:8" x14ac:dyDescent="0.3">
      <c r="A37">
        <v>36</v>
      </c>
      <c r="B37" t="s">
        <v>11</v>
      </c>
      <c r="C37" s="18">
        <v>25.6</v>
      </c>
      <c r="D37" s="3">
        <v>2</v>
      </c>
      <c r="E37" s="18">
        <v>16</v>
      </c>
      <c r="F37" s="2">
        <v>0.23958333333333334</v>
      </c>
      <c r="G37" s="3">
        <v>273</v>
      </c>
      <c r="H37" t="str">
        <f>VLOOKUP(B37,TOTAL!$B$3:$B$10000,1,0)</f>
        <v>Luís Carvalho Luís Carvalho</v>
      </c>
    </row>
    <row r="38" spans="1:8" x14ac:dyDescent="0.3">
      <c r="A38">
        <v>37</v>
      </c>
      <c r="B38" t="s">
        <v>400</v>
      </c>
      <c r="C38" s="18">
        <v>24.8</v>
      </c>
      <c r="D38" s="3">
        <v>3</v>
      </c>
      <c r="E38" s="18">
        <v>10.4</v>
      </c>
      <c r="F38" s="2">
        <v>0.25694444444444442</v>
      </c>
      <c r="G38" s="3">
        <v>263</v>
      </c>
      <c r="H38" t="str">
        <f>VLOOKUP(B38,TOTAL!$B$3:$B$10000,1,0)</f>
        <v>Orlando Ferreira Orlando Ferreira</v>
      </c>
    </row>
    <row r="39" spans="1:8" x14ac:dyDescent="0.3">
      <c r="A39">
        <v>38</v>
      </c>
      <c r="B39" t="s">
        <v>47</v>
      </c>
      <c r="C39" s="18">
        <v>24.2</v>
      </c>
      <c r="D39" s="3">
        <v>6</v>
      </c>
      <c r="E39" s="18">
        <v>10</v>
      </c>
      <c r="F39" s="2">
        <v>0.5180555555555556</v>
      </c>
      <c r="G39" s="3">
        <v>68</v>
      </c>
      <c r="H39" t="str">
        <f>VLOOKUP(B39,TOTAL!$B$3:$B$10000,1,0)</f>
        <v>Cesar Moreira Cesar Moreira</v>
      </c>
    </row>
    <row r="40" spans="1:8" x14ac:dyDescent="0.3">
      <c r="A40">
        <v>39</v>
      </c>
      <c r="B40" t="s">
        <v>73</v>
      </c>
      <c r="C40" s="18">
        <v>24.2</v>
      </c>
      <c r="D40" s="3">
        <v>3</v>
      </c>
      <c r="E40" s="18">
        <v>8.1999999999999993</v>
      </c>
      <c r="F40" s="2">
        <v>0.30208333333333331</v>
      </c>
      <c r="G40" s="3">
        <v>162</v>
      </c>
      <c r="H40" t="str">
        <f>VLOOKUP(B40,TOTAL!$B$3:$B$10000,1,0)</f>
        <v>Patrícia Calado Patrícia Calado</v>
      </c>
    </row>
    <row r="41" spans="1:8" x14ac:dyDescent="0.3">
      <c r="A41">
        <v>40</v>
      </c>
      <c r="B41" t="s">
        <v>41</v>
      </c>
      <c r="C41" s="18">
        <v>23.7</v>
      </c>
      <c r="D41" s="3">
        <v>3</v>
      </c>
      <c r="E41" s="18">
        <v>10</v>
      </c>
      <c r="F41" s="2">
        <v>0.32847222222222222</v>
      </c>
      <c r="G41" s="3">
        <v>314</v>
      </c>
      <c r="H41" t="str">
        <f>VLOOKUP(B41,TOTAL!$B$3:$B$10000,1,0)</f>
        <v>Francisco Afonso Francisco Afonso</v>
      </c>
    </row>
    <row r="42" spans="1:8" x14ac:dyDescent="0.3">
      <c r="A42">
        <v>41</v>
      </c>
      <c r="B42" t="s">
        <v>195</v>
      </c>
      <c r="C42" s="18">
        <v>21.2</v>
      </c>
      <c r="D42" s="3">
        <v>2</v>
      </c>
      <c r="E42" s="18">
        <v>11.1</v>
      </c>
      <c r="F42" s="2">
        <v>0.27430555555555558</v>
      </c>
      <c r="G42" s="3">
        <v>349</v>
      </c>
      <c r="H42" t="str">
        <f>VLOOKUP(B42,TOTAL!$B$3:$B$10000,1,0)</f>
        <v>André Amaral André Amaral</v>
      </c>
    </row>
    <row r="43" spans="1:8" x14ac:dyDescent="0.3">
      <c r="A43">
        <v>42</v>
      </c>
      <c r="B43" t="s">
        <v>37</v>
      </c>
      <c r="C43" s="18">
        <v>20.5</v>
      </c>
      <c r="D43" s="3">
        <v>2</v>
      </c>
      <c r="E43" s="18">
        <v>10.4</v>
      </c>
      <c r="F43" s="2">
        <v>0.37569444444444444</v>
      </c>
      <c r="G43" s="3">
        <v>330</v>
      </c>
      <c r="H43" t="str">
        <f>VLOOKUP(B43,TOTAL!$B$3:$B$10000,1,0)</f>
        <v>Gonçalo Fontes de Melo Gonçalo Fontes de Melo</v>
      </c>
    </row>
    <row r="44" spans="1:8" x14ac:dyDescent="0.3">
      <c r="A44">
        <v>43</v>
      </c>
      <c r="B44" t="s">
        <v>20</v>
      </c>
      <c r="C44" s="18">
        <v>20.2</v>
      </c>
      <c r="D44" s="3">
        <v>2</v>
      </c>
      <c r="E44" s="18">
        <v>12</v>
      </c>
      <c r="F44" s="2">
        <v>0.3263888888888889</v>
      </c>
      <c r="G44" s="3">
        <v>81</v>
      </c>
      <c r="H44" t="str">
        <f>VLOOKUP(B44,TOTAL!$B$3:$B$10000,1,0)</f>
        <v>Inês Sepúlveda Inês Sepúlveda</v>
      </c>
    </row>
    <row r="45" spans="1:8" x14ac:dyDescent="0.3">
      <c r="A45">
        <v>44</v>
      </c>
      <c r="B45" t="s">
        <v>62</v>
      </c>
      <c r="C45" s="18">
        <v>20.2</v>
      </c>
      <c r="D45" s="3">
        <v>2</v>
      </c>
      <c r="E45" s="18">
        <v>15</v>
      </c>
      <c r="F45" s="2">
        <v>0.28055555555555556</v>
      </c>
      <c r="G45" s="3">
        <v>25</v>
      </c>
      <c r="H45" t="str">
        <f>VLOOKUP(B45,TOTAL!$B$3:$B$10000,1,0)</f>
        <v>Ruben Costa Ruben Costa</v>
      </c>
    </row>
    <row r="46" spans="1:8" x14ac:dyDescent="0.3">
      <c r="A46">
        <v>45</v>
      </c>
      <c r="B46" t="s">
        <v>43</v>
      </c>
      <c r="C46" s="18">
        <v>18.2</v>
      </c>
      <c r="D46" s="3">
        <v>2</v>
      </c>
      <c r="E46" s="18">
        <v>10</v>
      </c>
      <c r="F46" s="2">
        <v>0.3611111111111111</v>
      </c>
      <c r="G46" s="3">
        <v>320</v>
      </c>
      <c r="H46" t="str">
        <f>VLOOKUP(B46,TOTAL!$B$3:$B$10000,1,0)</f>
        <v>Cristina Morgado Cristina Morgado</v>
      </c>
    </row>
    <row r="47" spans="1:8" x14ac:dyDescent="0.3">
      <c r="A47">
        <v>46</v>
      </c>
      <c r="B47" t="s">
        <v>30</v>
      </c>
      <c r="C47" s="18">
        <v>18</v>
      </c>
      <c r="D47" s="3">
        <v>5</v>
      </c>
      <c r="E47" s="18">
        <v>6.7</v>
      </c>
      <c r="F47" s="2">
        <v>0.25555555555555554</v>
      </c>
      <c r="G47" s="3">
        <v>115</v>
      </c>
      <c r="H47" t="str">
        <f>VLOOKUP(B47,TOTAL!$B$3:$B$10000,1,0)</f>
        <v>António Carlos Teixeira Duarte António Carlos Teixeira Duarte</v>
      </c>
    </row>
    <row r="48" spans="1:8" x14ac:dyDescent="0.3">
      <c r="A48">
        <v>47</v>
      </c>
      <c r="B48" t="s">
        <v>65</v>
      </c>
      <c r="C48" s="18">
        <v>17.5</v>
      </c>
      <c r="D48" s="3">
        <v>2</v>
      </c>
      <c r="E48" s="18">
        <v>10</v>
      </c>
      <c r="F48" s="2">
        <v>0.29305555555555557</v>
      </c>
      <c r="G48" s="3">
        <v>68</v>
      </c>
      <c r="H48" t="str">
        <f>VLOOKUP(B48,TOTAL!$B$3:$B$10000,1,0)</f>
        <v>Fernando Carvalhão ?? Fernando Carvalhão ??</v>
      </c>
    </row>
    <row r="49" spans="1:8" x14ac:dyDescent="0.3">
      <c r="A49">
        <v>48</v>
      </c>
      <c r="B49" t="s">
        <v>17</v>
      </c>
      <c r="C49" s="18">
        <v>16.3</v>
      </c>
      <c r="D49" s="3">
        <v>2</v>
      </c>
      <c r="E49" s="18">
        <v>9.3000000000000007</v>
      </c>
      <c r="F49" s="2">
        <v>0.33819444444444446</v>
      </c>
      <c r="G49" s="3">
        <v>349</v>
      </c>
      <c r="H49" t="str">
        <f>VLOOKUP(B49,TOTAL!$B$3:$B$10000,1,0)</f>
        <v>Guida Monteiro Guida Monteiro</v>
      </c>
    </row>
    <row r="50" spans="1:8" x14ac:dyDescent="0.3">
      <c r="A50">
        <v>49</v>
      </c>
      <c r="B50" t="s">
        <v>72</v>
      </c>
      <c r="C50" s="18">
        <v>16</v>
      </c>
      <c r="D50" s="3">
        <v>2</v>
      </c>
      <c r="E50" s="18">
        <v>11</v>
      </c>
      <c r="F50" s="2">
        <v>0.27847222222222223</v>
      </c>
      <c r="G50" s="3">
        <v>256</v>
      </c>
      <c r="H50" t="str">
        <f>VLOOKUP(B50,TOTAL!$B$3:$B$10000,1,0)</f>
        <v>Ana Melo Ana Melo</v>
      </c>
    </row>
    <row r="51" spans="1:8" x14ac:dyDescent="0.3">
      <c r="A51">
        <v>50</v>
      </c>
      <c r="B51" t="s">
        <v>49</v>
      </c>
      <c r="C51" s="18">
        <v>14.9</v>
      </c>
      <c r="D51" s="3">
        <v>2</v>
      </c>
      <c r="E51" s="18">
        <v>7.6</v>
      </c>
      <c r="F51" s="2">
        <v>0.23541666666666666</v>
      </c>
      <c r="G51" s="3">
        <v>155</v>
      </c>
      <c r="H51" t="str">
        <f>VLOOKUP(B51,TOTAL!$B$3:$B$10000,1,0)</f>
        <v>Paulo Vintém Oliveira Paulo Vintém Oliveira</v>
      </c>
    </row>
    <row r="52" spans="1:8" x14ac:dyDescent="0.3">
      <c r="A52">
        <v>51</v>
      </c>
      <c r="B52" t="s">
        <v>26</v>
      </c>
      <c r="C52" s="18">
        <v>14.1</v>
      </c>
      <c r="D52" s="3">
        <v>1</v>
      </c>
      <c r="E52" s="18">
        <v>14.1</v>
      </c>
      <c r="F52" s="2">
        <v>0.24027777777777778</v>
      </c>
      <c r="G52" s="3">
        <v>34</v>
      </c>
      <c r="H52" t="str">
        <f>VLOOKUP(B52,TOTAL!$B$3:$B$10000,1,0)</f>
        <v>Jorge Paulo Jorge Paulo</v>
      </c>
    </row>
    <row r="53" spans="1:8" x14ac:dyDescent="0.3">
      <c r="A53">
        <v>52</v>
      </c>
      <c r="B53" t="s">
        <v>25</v>
      </c>
      <c r="C53" s="18">
        <v>13</v>
      </c>
      <c r="D53" s="3">
        <v>1</v>
      </c>
      <c r="E53" s="18">
        <v>13</v>
      </c>
      <c r="F53" s="2">
        <v>0.69444444444444442</v>
      </c>
      <c r="G53" s="3">
        <v>683</v>
      </c>
      <c r="H53" t="str">
        <f>VLOOKUP(B53,TOTAL!$B$3:$B$10000,1,0)</f>
        <v>Rui Faria Rui Faria</v>
      </c>
    </row>
    <row r="54" spans="1:8" x14ac:dyDescent="0.3">
      <c r="A54">
        <v>53</v>
      </c>
      <c r="B54" t="s">
        <v>175</v>
      </c>
      <c r="C54" s="18">
        <v>11.1</v>
      </c>
      <c r="D54" s="3">
        <v>1</v>
      </c>
      <c r="E54" s="18">
        <v>11.1</v>
      </c>
      <c r="F54" s="2">
        <v>0.24097222222222223</v>
      </c>
      <c r="G54" s="3">
        <v>117</v>
      </c>
      <c r="H54" t="str">
        <f>VLOOKUP(B54,TOTAL!$B$3:$B$10000,1,0)</f>
        <v>João Bettencourt João Bettencourt</v>
      </c>
    </row>
    <row r="55" spans="1:8" x14ac:dyDescent="0.3">
      <c r="A55">
        <v>54</v>
      </c>
      <c r="B55" t="s">
        <v>404</v>
      </c>
      <c r="C55" s="18">
        <v>10.6</v>
      </c>
      <c r="D55" s="3">
        <v>1</v>
      </c>
      <c r="E55" s="18">
        <v>10.6</v>
      </c>
      <c r="F55" s="2">
        <v>0.23680555555555555</v>
      </c>
      <c r="G55" s="3">
        <v>101</v>
      </c>
      <c r="H55" t="str">
        <f>VLOOKUP(B55,TOTAL!$B$3:$B$10000,1,0)</f>
        <v>Joaquim José Monteiro Joaquim José Monteiro</v>
      </c>
    </row>
    <row r="56" spans="1:8" x14ac:dyDescent="0.3">
      <c r="A56">
        <v>55</v>
      </c>
      <c r="B56" t="s">
        <v>67</v>
      </c>
      <c r="C56" s="18">
        <v>10.199999999999999</v>
      </c>
      <c r="D56" s="3">
        <v>2</v>
      </c>
      <c r="E56" s="18">
        <v>5.0999999999999996</v>
      </c>
      <c r="F56" s="2">
        <v>0.25624999999999998</v>
      </c>
      <c r="G56" s="3">
        <v>59</v>
      </c>
      <c r="H56" t="str">
        <f>VLOOKUP(B56,TOTAL!$B$3:$B$10000,1,0)</f>
        <v>Pedro Fonseca Pedro Fonseca</v>
      </c>
    </row>
    <row r="57" spans="1:8" x14ac:dyDescent="0.3">
      <c r="A57">
        <v>56</v>
      </c>
      <c r="B57" t="s">
        <v>45</v>
      </c>
      <c r="C57" s="18">
        <v>10.199999999999999</v>
      </c>
      <c r="D57" s="3">
        <v>1</v>
      </c>
      <c r="E57" s="18">
        <v>10.199999999999999</v>
      </c>
      <c r="F57" s="2">
        <v>0.36388888888888887</v>
      </c>
      <c r="G57" s="3">
        <v>76</v>
      </c>
      <c r="H57" t="str">
        <f>VLOOKUP(B57,TOTAL!$B$3:$B$10000,1,0)</f>
        <v>Pedro Machado Pedro Machado</v>
      </c>
    </row>
    <row r="58" spans="1:8" x14ac:dyDescent="0.3">
      <c r="A58">
        <v>57</v>
      </c>
      <c r="B58" t="s">
        <v>474</v>
      </c>
      <c r="C58" s="18">
        <v>10.1</v>
      </c>
      <c r="D58" s="3">
        <v>1</v>
      </c>
      <c r="E58" s="18">
        <v>10.1</v>
      </c>
      <c r="F58" s="2">
        <v>0.27291666666666664</v>
      </c>
      <c r="G58" s="3">
        <v>118</v>
      </c>
      <c r="H58" t="str">
        <f>VLOOKUP(B58,TOTAL!$B$3:$B$10000,1,0)</f>
        <v>Débora Almeida Débora Almeida</v>
      </c>
    </row>
    <row r="59" spans="1:8" x14ac:dyDescent="0.3">
      <c r="A59">
        <v>58</v>
      </c>
      <c r="B59" t="s">
        <v>23</v>
      </c>
      <c r="C59" s="18">
        <v>10.1</v>
      </c>
      <c r="D59" s="3">
        <v>1</v>
      </c>
      <c r="E59" s="18">
        <v>10.1</v>
      </c>
      <c r="F59" s="2">
        <v>0.26527777777777778</v>
      </c>
      <c r="G59" s="3">
        <v>3</v>
      </c>
      <c r="H59" t="str">
        <f>VLOOKUP(B59,TOTAL!$B$3:$B$10000,1,0)</f>
        <v>Teodoro Trindade Teodoro Trindade</v>
      </c>
    </row>
    <row r="60" spans="1:8" x14ac:dyDescent="0.3">
      <c r="A60">
        <v>59</v>
      </c>
      <c r="B60" t="s">
        <v>76</v>
      </c>
      <c r="C60" s="18">
        <v>10.1</v>
      </c>
      <c r="D60" s="3">
        <v>1</v>
      </c>
      <c r="E60" s="18">
        <v>10.1</v>
      </c>
      <c r="F60" s="2">
        <v>0.26597222222222222</v>
      </c>
      <c r="G60" s="3">
        <v>53</v>
      </c>
      <c r="H60" t="str">
        <f>VLOOKUP(B60,TOTAL!$B$3:$B$10000,1,0)</f>
        <v>Nuno Alves Nuno Alves</v>
      </c>
    </row>
    <row r="61" spans="1:8" x14ac:dyDescent="0.3">
      <c r="A61">
        <v>60</v>
      </c>
      <c r="B61" t="s">
        <v>179</v>
      </c>
      <c r="C61" s="18">
        <v>10</v>
      </c>
      <c r="D61" s="3">
        <v>1</v>
      </c>
      <c r="E61" s="18">
        <v>10</v>
      </c>
      <c r="F61" s="2">
        <v>0.2722222222222222</v>
      </c>
      <c r="G61" s="3">
        <v>121</v>
      </c>
      <c r="H61" t="str">
        <f>VLOOKUP(B61,TOTAL!$B$3:$B$10000,1,0)</f>
        <v>Pedro Silva Pedro Silva</v>
      </c>
    </row>
    <row r="62" spans="1:8" x14ac:dyDescent="0.3">
      <c r="A62">
        <v>61</v>
      </c>
      <c r="B62" t="s">
        <v>70</v>
      </c>
      <c r="C62" s="18">
        <v>9.9</v>
      </c>
      <c r="D62" s="3">
        <v>3</v>
      </c>
      <c r="E62" s="18">
        <v>5.7</v>
      </c>
      <c r="F62" s="2">
        <v>0.29166666666666669</v>
      </c>
      <c r="G62" s="3">
        <v>3</v>
      </c>
      <c r="H62" t="str">
        <f>VLOOKUP(B62,TOTAL!$B$3:$B$10000,1,0)</f>
        <v>Nayara Pinheiro Nayara Pinheiro</v>
      </c>
    </row>
    <row r="63" spans="1:8" x14ac:dyDescent="0.3">
      <c r="A63">
        <v>62</v>
      </c>
      <c r="B63" t="s">
        <v>48</v>
      </c>
      <c r="C63" s="18">
        <v>8.9</v>
      </c>
      <c r="D63" s="3">
        <v>2</v>
      </c>
      <c r="E63" s="18">
        <v>5.6</v>
      </c>
      <c r="F63" s="2">
        <v>0.31597222222222221</v>
      </c>
      <c r="G63" s="3">
        <v>2</v>
      </c>
      <c r="H63" t="str">
        <f>VLOOKUP(B63,TOTAL!$B$3:$B$10000,1,0)</f>
        <v>Ricardo Mateus Ricardo Mateus</v>
      </c>
    </row>
    <row r="64" spans="1:8" x14ac:dyDescent="0.3">
      <c r="A64">
        <v>63</v>
      </c>
      <c r="B64" t="s">
        <v>57</v>
      </c>
      <c r="C64" s="18">
        <v>8.3000000000000007</v>
      </c>
      <c r="D64" s="3">
        <v>2</v>
      </c>
      <c r="E64" s="18">
        <v>7.9</v>
      </c>
      <c r="F64" s="2">
        <v>0.28125</v>
      </c>
      <c r="G64" s="3">
        <v>14</v>
      </c>
      <c r="H64" t="str">
        <f>VLOOKUP(B64,TOTAL!$B$3:$B$10000,1,0)</f>
        <v>Joana Lucas Joana Lucas</v>
      </c>
    </row>
    <row r="65" spans="1:8" x14ac:dyDescent="0.3">
      <c r="A65">
        <v>64</v>
      </c>
      <c r="B65" t="s">
        <v>478</v>
      </c>
      <c r="C65" s="18">
        <v>7</v>
      </c>
      <c r="D65" s="3">
        <v>1</v>
      </c>
      <c r="E65" s="18">
        <v>7</v>
      </c>
      <c r="F65" s="2">
        <v>0.31527777777777777</v>
      </c>
      <c r="G65" s="3">
        <v>8</v>
      </c>
      <c r="H65" t="str">
        <f>VLOOKUP(B65,TOTAL!$B$3:$B$10000,1,0)</f>
        <v>Ana Teresa Lagos Ana Teresa Lagos</v>
      </c>
    </row>
    <row r="66" spans="1:8" x14ac:dyDescent="0.3">
      <c r="A66">
        <v>65</v>
      </c>
      <c r="B66" t="s">
        <v>78</v>
      </c>
      <c r="C66" s="18">
        <v>6.5</v>
      </c>
      <c r="D66" s="3">
        <v>1</v>
      </c>
      <c r="E66" s="18">
        <v>6.5</v>
      </c>
      <c r="F66" s="2">
        <v>0.25624999999999998</v>
      </c>
      <c r="G66" s="3">
        <v>2</v>
      </c>
      <c r="H66" t="str">
        <f>VLOOKUP(B66,TOTAL!$B$3:$B$10000,1,0)</f>
        <v>Zana Duarte Zana Duarte</v>
      </c>
    </row>
    <row r="67" spans="1:8" x14ac:dyDescent="0.3">
      <c r="A67">
        <v>66</v>
      </c>
      <c r="B67" t="s">
        <v>479</v>
      </c>
      <c r="C67" s="18">
        <v>5</v>
      </c>
      <c r="D67" s="3">
        <v>1</v>
      </c>
      <c r="E67" s="18">
        <v>5</v>
      </c>
      <c r="F67" s="2">
        <v>0.62291666666666667</v>
      </c>
      <c r="G67" s="3">
        <v>107</v>
      </c>
      <c r="H67" t="str">
        <f>VLOOKUP(B67,TOTAL!$B$3:$B$10000,1,0)</f>
        <v>Cândida Figueiredo Cândida Figueiredo</v>
      </c>
    </row>
    <row r="68" spans="1:8" x14ac:dyDescent="0.3">
      <c r="A68">
        <v>67</v>
      </c>
      <c r="B68" t="s">
        <v>176</v>
      </c>
      <c r="C68" s="18">
        <v>4.5</v>
      </c>
      <c r="D68" s="3">
        <v>1</v>
      </c>
      <c r="E68" s="18">
        <v>4.5</v>
      </c>
      <c r="F68" s="2">
        <v>0.28402777777777777</v>
      </c>
      <c r="G68" s="3">
        <v>52</v>
      </c>
      <c r="H68" t="str">
        <f>VLOOKUP(B68,TOTAL!$B$3:$B$10000,1,0)</f>
        <v>Pedro Rodrigues Pedro Rodrigues</v>
      </c>
    </row>
    <row r="69" spans="1:8" x14ac:dyDescent="0.3">
      <c r="A69">
        <v>68</v>
      </c>
      <c r="B69" t="s">
        <v>80</v>
      </c>
      <c r="C69" s="18">
        <v>2.7</v>
      </c>
      <c r="D69" s="3">
        <v>1</v>
      </c>
      <c r="E69" s="18">
        <v>2.7</v>
      </c>
      <c r="F69" s="2">
        <v>0.26666666666666666</v>
      </c>
      <c r="G69" s="3">
        <v>1</v>
      </c>
      <c r="H69" t="str">
        <f>VLOOKUP(B69,TOTAL!$B$3:$B$10000,1,0)</f>
        <v>Luis Matos Ferreira | dorsal1967.blogspot.com Luis Matos Ferreira | dorsal1967.blogspot.com</v>
      </c>
    </row>
  </sheetData>
  <autoFilter ref="A1:I69" xr:uid="{D7DE90D2-E864-4B93-AD52-54E442BD8DD9}"/>
  <pageMargins left="0.7" right="0.7" top="0.75" bottom="0.75" header="0.3" footer="0.3"/>
  <headerFooter>
    <oddFooter>&amp;C_x000D_&amp;1#&amp;"Calibri"&amp;8&amp;K000000 Public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094CD-F097-408E-955D-FD10640C7065}">
  <dimension ref="A1:F143"/>
  <sheetViews>
    <sheetView workbookViewId="0">
      <selection activeCell="A3" sqref="A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D1" t="s">
        <v>2</v>
      </c>
    </row>
    <row r="2" spans="1:6" x14ac:dyDescent="0.3">
      <c r="A2">
        <v>1</v>
      </c>
    </row>
    <row r="3" spans="1:6" x14ac:dyDescent="0.3">
      <c r="A3" t="s">
        <v>4</v>
      </c>
      <c r="B3" t="s">
        <v>224</v>
      </c>
      <c r="C3">
        <v>8</v>
      </c>
      <c r="D3" t="s">
        <v>225</v>
      </c>
      <c r="E3" t="s">
        <v>226</v>
      </c>
      <c r="F3" t="s">
        <v>227</v>
      </c>
    </row>
    <row r="4" spans="1:6" x14ac:dyDescent="0.3">
      <c r="A4">
        <v>2</v>
      </c>
    </row>
    <row r="5" spans="1:6" x14ac:dyDescent="0.3">
      <c r="A5" t="s">
        <v>9</v>
      </c>
      <c r="B5" t="s">
        <v>228</v>
      </c>
      <c r="C5">
        <v>6</v>
      </c>
      <c r="D5" t="s">
        <v>229</v>
      </c>
      <c r="E5" t="s">
        <v>230</v>
      </c>
      <c r="F5" t="s">
        <v>231</v>
      </c>
    </row>
    <row r="6" spans="1:6" x14ac:dyDescent="0.3">
      <c r="A6">
        <v>3</v>
      </c>
    </row>
    <row r="7" spans="1:6" x14ac:dyDescent="0.3">
      <c r="A7" t="s">
        <v>19</v>
      </c>
      <c r="B7" t="s">
        <v>232</v>
      </c>
      <c r="C7">
        <v>4</v>
      </c>
      <c r="D7" t="s">
        <v>233</v>
      </c>
      <c r="E7" t="s">
        <v>234</v>
      </c>
      <c r="F7" t="s">
        <v>235</v>
      </c>
    </row>
    <row r="8" spans="1:6" x14ac:dyDescent="0.3">
      <c r="A8">
        <v>4</v>
      </c>
    </row>
    <row r="9" spans="1:6" x14ac:dyDescent="0.3">
      <c r="A9" t="s">
        <v>10</v>
      </c>
      <c r="B9" t="s">
        <v>236</v>
      </c>
      <c r="C9">
        <v>4</v>
      </c>
      <c r="D9" t="s">
        <v>237</v>
      </c>
      <c r="E9" t="s">
        <v>238</v>
      </c>
      <c r="F9" t="s">
        <v>239</v>
      </c>
    </row>
    <row r="10" spans="1:6" x14ac:dyDescent="0.3">
      <c r="A10">
        <v>5</v>
      </c>
    </row>
    <row r="11" spans="1:6" x14ac:dyDescent="0.3">
      <c r="A11" t="s">
        <v>13</v>
      </c>
      <c r="B11" t="s">
        <v>240</v>
      </c>
      <c r="C11">
        <v>7</v>
      </c>
      <c r="D11" t="s">
        <v>241</v>
      </c>
      <c r="E11" t="s">
        <v>242</v>
      </c>
      <c r="F11" t="s">
        <v>243</v>
      </c>
    </row>
    <row r="12" spans="1:6" x14ac:dyDescent="0.3">
      <c r="A12">
        <v>6</v>
      </c>
    </row>
    <row r="13" spans="1:6" x14ac:dyDescent="0.3">
      <c r="A13" t="s">
        <v>14</v>
      </c>
      <c r="B13" t="s">
        <v>244</v>
      </c>
      <c r="C13">
        <v>4</v>
      </c>
      <c r="D13" t="s">
        <v>245</v>
      </c>
      <c r="E13" t="s">
        <v>246</v>
      </c>
      <c r="F13" t="s">
        <v>247</v>
      </c>
    </row>
    <row r="14" spans="1:6" x14ac:dyDescent="0.3">
      <c r="A14">
        <v>7</v>
      </c>
    </row>
    <row r="15" spans="1:6" x14ac:dyDescent="0.3">
      <c r="A15" t="s">
        <v>42</v>
      </c>
      <c r="B15" t="s">
        <v>248</v>
      </c>
      <c r="C15">
        <v>5</v>
      </c>
      <c r="D15" t="s">
        <v>249</v>
      </c>
      <c r="E15" t="s">
        <v>250</v>
      </c>
      <c r="F15" t="s">
        <v>251</v>
      </c>
    </row>
    <row r="16" spans="1:6" x14ac:dyDescent="0.3">
      <c r="A16">
        <v>8</v>
      </c>
    </row>
    <row r="17" spans="1:6" x14ac:dyDescent="0.3">
      <c r="A17" t="s">
        <v>34</v>
      </c>
      <c r="B17" t="s">
        <v>252</v>
      </c>
      <c r="C17">
        <v>5</v>
      </c>
      <c r="D17" t="s">
        <v>233</v>
      </c>
      <c r="E17" t="s">
        <v>253</v>
      </c>
      <c r="F17" t="s">
        <v>254</v>
      </c>
    </row>
    <row r="18" spans="1:6" x14ac:dyDescent="0.3">
      <c r="A18">
        <v>9</v>
      </c>
    </row>
    <row r="19" spans="1:6" x14ac:dyDescent="0.3">
      <c r="A19" t="s">
        <v>23</v>
      </c>
      <c r="B19" t="s">
        <v>255</v>
      </c>
      <c r="C19">
        <v>4</v>
      </c>
      <c r="D19" t="s">
        <v>256</v>
      </c>
      <c r="E19" t="s">
        <v>257</v>
      </c>
      <c r="F19" t="s">
        <v>258</v>
      </c>
    </row>
    <row r="20" spans="1:6" x14ac:dyDescent="0.3">
      <c r="A20">
        <v>10</v>
      </c>
    </row>
    <row r="21" spans="1:6" x14ac:dyDescent="0.3">
      <c r="A21" t="s">
        <v>15</v>
      </c>
      <c r="B21" t="s">
        <v>259</v>
      </c>
      <c r="C21">
        <v>4</v>
      </c>
      <c r="D21" t="s">
        <v>260</v>
      </c>
      <c r="E21" t="s">
        <v>261</v>
      </c>
      <c r="F21" t="s">
        <v>262</v>
      </c>
    </row>
    <row r="22" spans="1:6" x14ac:dyDescent="0.3">
      <c r="A22">
        <v>11</v>
      </c>
    </row>
    <row r="23" spans="1:6" x14ac:dyDescent="0.3">
      <c r="A23" t="s">
        <v>6</v>
      </c>
      <c r="B23" t="s">
        <v>263</v>
      </c>
      <c r="C23">
        <v>3</v>
      </c>
      <c r="D23" t="s">
        <v>264</v>
      </c>
      <c r="E23" t="s">
        <v>265</v>
      </c>
      <c r="F23" t="s">
        <v>266</v>
      </c>
    </row>
    <row r="24" spans="1:6" x14ac:dyDescent="0.3">
      <c r="A24">
        <v>12</v>
      </c>
    </row>
    <row r="25" spans="1:6" x14ac:dyDescent="0.3">
      <c r="A25" t="s">
        <v>24</v>
      </c>
      <c r="B25" t="s">
        <v>267</v>
      </c>
      <c r="C25">
        <v>3</v>
      </c>
      <c r="D25" t="s">
        <v>268</v>
      </c>
      <c r="E25" t="s">
        <v>269</v>
      </c>
      <c r="F25" t="s">
        <v>270</v>
      </c>
    </row>
    <row r="26" spans="1:6" x14ac:dyDescent="0.3">
      <c r="A26">
        <v>13</v>
      </c>
    </row>
    <row r="27" spans="1:6" x14ac:dyDescent="0.3">
      <c r="A27" t="s">
        <v>27</v>
      </c>
      <c r="B27" t="s">
        <v>271</v>
      </c>
      <c r="C27">
        <v>3</v>
      </c>
      <c r="D27" t="s">
        <v>272</v>
      </c>
      <c r="E27" t="s">
        <v>273</v>
      </c>
      <c r="F27" t="s">
        <v>274</v>
      </c>
    </row>
    <row r="28" spans="1:6" x14ac:dyDescent="0.3">
      <c r="A28">
        <v>14</v>
      </c>
    </row>
    <row r="29" spans="1:6" x14ac:dyDescent="0.3">
      <c r="A29" t="s">
        <v>8</v>
      </c>
      <c r="B29" t="s">
        <v>275</v>
      </c>
      <c r="C29">
        <v>3</v>
      </c>
      <c r="D29" t="s">
        <v>276</v>
      </c>
      <c r="E29" t="s">
        <v>277</v>
      </c>
      <c r="F29" t="s">
        <v>278</v>
      </c>
    </row>
    <row r="30" spans="1:6" x14ac:dyDescent="0.3">
      <c r="A30">
        <v>15</v>
      </c>
    </row>
    <row r="31" spans="1:6" x14ac:dyDescent="0.3">
      <c r="A31" t="s">
        <v>47</v>
      </c>
      <c r="B31" t="s">
        <v>279</v>
      </c>
      <c r="C31">
        <v>14</v>
      </c>
      <c r="D31" t="s">
        <v>280</v>
      </c>
      <c r="E31" t="s">
        <v>281</v>
      </c>
      <c r="F31" t="s">
        <v>282</v>
      </c>
    </row>
    <row r="32" spans="1:6" x14ac:dyDescent="0.3">
      <c r="A32">
        <v>16</v>
      </c>
    </row>
    <row r="33" spans="1:6" x14ac:dyDescent="0.3">
      <c r="A33" t="s">
        <v>5</v>
      </c>
      <c r="B33" t="s">
        <v>283</v>
      </c>
      <c r="C33">
        <v>4</v>
      </c>
      <c r="D33" t="s">
        <v>284</v>
      </c>
      <c r="E33" t="s">
        <v>285</v>
      </c>
      <c r="F33" t="s">
        <v>286</v>
      </c>
    </row>
    <row r="34" spans="1:6" x14ac:dyDescent="0.3">
      <c r="A34">
        <v>17</v>
      </c>
    </row>
    <row r="35" spans="1:6" x14ac:dyDescent="0.3">
      <c r="A35" t="s">
        <v>44</v>
      </c>
      <c r="B35" t="s">
        <v>287</v>
      </c>
      <c r="C35">
        <v>3</v>
      </c>
      <c r="D35" t="s">
        <v>288</v>
      </c>
      <c r="E35" t="s">
        <v>289</v>
      </c>
      <c r="F35" t="s">
        <v>290</v>
      </c>
    </row>
    <row r="36" spans="1:6" x14ac:dyDescent="0.3">
      <c r="A36">
        <v>18</v>
      </c>
    </row>
    <row r="37" spans="1:6" x14ac:dyDescent="0.3">
      <c r="A37" t="s">
        <v>33</v>
      </c>
      <c r="B37" t="s">
        <v>287</v>
      </c>
      <c r="C37">
        <v>7</v>
      </c>
      <c r="D37" t="s">
        <v>291</v>
      </c>
      <c r="E37" t="s">
        <v>292</v>
      </c>
      <c r="F37" t="s">
        <v>293</v>
      </c>
    </row>
    <row r="38" spans="1:6" x14ac:dyDescent="0.3">
      <c r="A38">
        <v>19</v>
      </c>
    </row>
    <row r="39" spans="1:6" x14ac:dyDescent="0.3">
      <c r="A39" t="s">
        <v>25</v>
      </c>
      <c r="B39" t="s">
        <v>294</v>
      </c>
      <c r="C39">
        <v>3</v>
      </c>
      <c r="D39" t="s">
        <v>233</v>
      </c>
      <c r="E39" t="s">
        <v>295</v>
      </c>
      <c r="F39" t="s">
        <v>296</v>
      </c>
    </row>
    <row r="40" spans="1:6" x14ac:dyDescent="0.3">
      <c r="A40">
        <v>20</v>
      </c>
    </row>
    <row r="41" spans="1:6" x14ac:dyDescent="0.3">
      <c r="A41" t="s">
        <v>51</v>
      </c>
      <c r="B41" t="s">
        <v>297</v>
      </c>
      <c r="C41">
        <v>4</v>
      </c>
      <c r="D41" t="s">
        <v>298</v>
      </c>
      <c r="E41" t="s">
        <v>299</v>
      </c>
      <c r="F41" t="s">
        <v>300</v>
      </c>
    </row>
    <row r="42" spans="1:6" x14ac:dyDescent="0.3">
      <c r="A42">
        <v>21</v>
      </c>
    </row>
    <row r="43" spans="1:6" x14ac:dyDescent="0.3">
      <c r="A43" t="s">
        <v>32</v>
      </c>
      <c r="B43" t="s">
        <v>301</v>
      </c>
      <c r="C43">
        <v>4</v>
      </c>
      <c r="D43" t="s">
        <v>302</v>
      </c>
      <c r="E43" t="s">
        <v>303</v>
      </c>
      <c r="F43" t="s">
        <v>304</v>
      </c>
    </row>
    <row r="44" spans="1:6" x14ac:dyDescent="0.3">
      <c r="A44">
        <v>22</v>
      </c>
    </row>
    <row r="45" spans="1:6" x14ac:dyDescent="0.3">
      <c r="A45" t="s">
        <v>7</v>
      </c>
      <c r="B45" t="s">
        <v>305</v>
      </c>
      <c r="C45">
        <v>3</v>
      </c>
      <c r="D45" t="s">
        <v>306</v>
      </c>
      <c r="E45" t="s">
        <v>307</v>
      </c>
      <c r="F45" t="s">
        <v>308</v>
      </c>
    </row>
    <row r="46" spans="1:6" x14ac:dyDescent="0.3">
      <c r="A46">
        <v>23</v>
      </c>
    </row>
    <row r="47" spans="1:6" x14ac:dyDescent="0.3">
      <c r="A47" t="s">
        <v>12</v>
      </c>
      <c r="B47" t="s">
        <v>309</v>
      </c>
      <c r="C47">
        <v>4</v>
      </c>
      <c r="D47" t="s">
        <v>310</v>
      </c>
      <c r="E47" t="s">
        <v>311</v>
      </c>
      <c r="F47" t="s">
        <v>312</v>
      </c>
    </row>
    <row r="48" spans="1:6" x14ac:dyDescent="0.3">
      <c r="A48">
        <v>24</v>
      </c>
    </row>
    <row r="49" spans="1:6" x14ac:dyDescent="0.3">
      <c r="A49" t="s">
        <v>20</v>
      </c>
      <c r="B49" t="s">
        <v>313</v>
      </c>
      <c r="C49">
        <v>3</v>
      </c>
      <c r="D49" t="s">
        <v>310</v>
      </c>
      <c r="E49" t="s">
        <v>242</v>
      </c>
      <c r="F49" t="s">
        <v>314</v>
      </c>
    </row>
    <row r="50" spans="1:6" x14ac:dyDescent="0.3">
      <c r="A50">
        <v>25</v>
      </c>
    </row>
    <row r="51" spans="1:6" x14ac:dyDescent="0.3">
      <c r="A51" t="s">
        <v>29</v>
      </c>
      <c r="B51" t="s">
        <v>315</v>
      </c>
      <c r="C51">
        <v>2</v>
      </c>
      <c r="D51" t="s">
        <v>288</v>
      </c>
      <c r="E51" t="s">
        <v>316</v>
      </c>
      <c r="F51" t="s">
        <v>317</v>
      </c>
    </row>
    <row r="52" spans="1:6" x14ac:dyDescent="0.3">
      <c r="A52">
        <v>26</v>
      </c>
    </row>
    <row r="53" spans="1:6" x14ac:dyDescent="0.3">
      <c r="A53" t="s">
        <v>39</v>
      </c>
      <c r="B53" t="s">
        <v>318</v>
      </c>
      <c r="C53">
        <v>2</v>
      </c>
      <c r="D53" t="s">
        <v>319</v>
      </c>
      <c r="E53" t="s">
        <v>320</v>
      </c>
      <c r="F53" t="s">
        <v>321</v>
      </c>
    </row>
    <row r="54" spans="1:6" x14ac:dyDescent="0.3">
      <c r="A54">
        <v>27</v>
      </c>
    </row>
    <row r="55" spans="1:6" x14ac:dyDescent="0.3">
      <c r="A55" t="s">
        <v>18</v>
      </c>
      <c r="B55" t="s">
        <v>322</v>
      </c>
      <c r="C55">
        <v>1</v>
      </c>
      <c r="D55" t="s">
        <v>322</v>
      </c>
      <c r="E55" t="s">
        <v>323</v>
      </c>
      <c r="F55" t="s">
        <v>324</v>
      </c>
    </row>
    <row r="56" spans="1:6" x14ac:dyDescent="0.3">
      <c r="A56">
        <v>28</v>
      </c>
    </row>
    <row r="57" spans="1:6" x14ac:dyDescent="0.3">
      <c r="A57" t="s">
        <v>56</v>
      </c>
      <c r="B57" t="s">
        <v>272</v>
      </c>
      <c r="C57">
        <v>2</v>
      </c>
      <c r="D57" t="s">
        <v>325</v>
      </c>
      <c r="E57" t="s">
        <v>326</v>
      </c>
      <c r="F57" t="s">
        <v>327</v>
      </c>
    </row>
    <row r="58" spans="1:6" x14ac:dyDescent="0.3">
      <c r="A58">
        <v>29</v>
      </c>
    </row>
    <row r="59" spans="1:6" x14ac:dyDescent="0.3">
      <c r="A59" t="s">
        <v>61</v>
      </c>
      <c r="B59" t="s">
        <v>328</v>
      </c>
      <c r="C59">
        <v>3</v>
      </c>
      <c r="D59" t="s">
        <v>288</v>
      </c>
      <c r="E59" t="s">
        <v>289</v>
      </c>
      <c r="F59" t="s">
        <v>329</v>
      </c>
    </row>
    <row r="60" spans="1:6" x14ac:dyDescent="0.3">
      <c r="A60">
        <v>30</v>
      </c>
    </row>
    <row r="61" spans="1:6" x14ac:dyDescent="0.3">
      <c r="A61" t="s">
        <v>65</v>
      </c>
      <c r="B61" t="s">
        <v>330</v>
      </c>
      <c r="C61">
        <v>3</v>
      </c>
      <c r="D61" t="s">
        <v>310</v>
      </c>
      <c r="E61" t="s">
        <v>331</v>
      </c>
      <c r="F61" t="s">
        <v>231</v>
      </c>
    </row>
    <row r="62" spans="1:6" x14ac:dyDescent="0.3">
      <c r="A62">
        <v>31</v>
      </c>
    </row>
    <row r="63" spans="1:6" x14ac:dyDescent="0.3">
      <c r="A63" t="s">
        <v>172</v>
      </c>
      <c r="B63" t="s">
        <v>332</v>
      </c>
      <c r="C63">
        <v>2</v>
      </c>
      <c r="D63" t="s">
        <v>333</v>
      </c>
      <c r="E63" t="s">
        <v>334</v>
      </c>
      <c r="F63" t="s">
        <v>335</v>
      </c>
    </row>
    <row r="64" spans="1:6" x14ac:dyDescent="0.3">
      <c r="A64">
        <v>32</v>
      </c>
    </row>
    <row r="65" spans="1:6" x14ac:dyDescent="0.3">
      <c r="A65" t="s">
        <v>31</v>
      </c>
      <c r="B65" t="s">
        <v>249</v>
      </c>
      <c r="C65">
        <v>2</v>
      </c>
      <c r="D65" t="s">
        <v>336</v>
      </c>
      <c r="E65" t="s">
        <v>226</v>
      </c>
      <c r="F65" t="s">
        <v>337</v>
      </c>
    </row>
    <row r="66" spans="1:6" x14ac:dyDescent="0.3">
      <c r="A66">
        <v>33</v>
      </c>
    </row>
    <row r="67" spans="1:6" x14ac:dyDescent="0.3">
      <c r="A67" t="s">
        <v>54</v>
      </c>
      <c r="B67" t="s">
        <v>245</v>
      </c>
      <c r="C67">
        <v>2</v>
      </c>
      <c r="D67" t="s">
        <v>338</v>
      </c>
      <c r="E67" t="s">
        <v>339</v>
      </c>
      <c r="F67" t="s">
        <v>340</v>
      </c>
    </row>
    <row r="68" spans="1:6" x14ac:dyDescent="0.3">
      <c r="A68">
        <v>34</v>
      </c>
    </row>
    <row r="69" spans="1:6" x14ac:dyDescent="0.3">
      <c r="A69" t="s">
        <v>30</v>
      </c>
      <c r="B69" t="s">
        <v>341</v>
      </c>
      <c r="C69">
        <v>7</v>
      </c>
      <c r="D69" t="s">
        <v>342</v>
      </c>
      <c r="E69" t="s">
        <v>343</v>
      </c>
      <c r="F69" t="s">
        <v>344</v>
      </c>
    </row>
    <row r="70" spans="1:6" x14ac:dyDescent="0.3">
      <c r="A70">
        <v>35</v>
      </c>
    </row>
    <row r="71" spans="1:6" x14ac:dyDescent="0.3">
      <c r="A71" t="s">
        <v>36</v>
      </c>
      <c r="B71" t="s">
        <v>345</v>
      </c>
      <c r="C71">
        <v>2</v>
      </c>
      <c r="D71" t="s">
        <v>319</v>
      </c>
      <c r="E71" t="s">
        <v>346</v>
      </c>
      <c r="F71" t="s">
        <v>347</v>
      </c>
    </row>
    <row r="72" spans="1:6" x14ac:dyDescent="0.3">
      <c r="A72">
        <v>36</v>
      </c>
    </row>
    <row r="73" spans="1:6" x14ac:dyDescent="0.3">
      <c r="A73" t="s">
        <v>45</v>
      </c>
      <c r="B73" t="s">
        <v>348</v>
      </c>
      <c r="C73">
        <v>2</v>
      </c>
      <c r="D73" t="s">
        <v>349</v>
      </c>
      <c r="E73" t="s">
        <v>350</v>
      </c>
      <c r="F73" t="s">
        <v>351</v>
      </c>
    </row>
    <row r="74" spans="1:6" x14ac:dyDescent="0.3">
      <c r="A74">
        <v>37</v>
      </c>
    </row>
    <row r="75" spans="1:6" x14ac:dyDescent="0.3">
      <c r="A75" t="s">
        <v>38</v>
      </c>
      <c r="B75" t="s">
        <v>352</v>
      </c>
      <c r="C75">
        <v>8</v>
      </c>
      <c r="D75" t="s">
        <v>353</v>
      </c>
      <c r="E75" t="s">
        <v>354</v>
      </c>
      <c r="F75" t="s">
        <v>355</v>
      </c>
    </row>
    <row r="76" spans="1:6" x14ac:dyDescent="0.3">
      <c r="A76">
        <v>38</v>
      </c>
    </row>
    <row r="77" spans="1:6" x14ac:dyDescent="0.3">
      <c r="A77" t="s">
        <v>68</v>
      </c>
      <c r="B77" t="s">
        <v>356</v>
      </c>
      <c r="C77">
        <v>2</v>
      </c>
      <c r="D77" t="s">
        <v>357</v>
      </c>
      <c r="E77" t="s">
        <v>358</v>
      </c>
      <c r="F77" t="s">
        <v>359</v>
      </c>
    </row>
    <row r="78" spans="1:6" x14ac:dyDescent="0.3">
      <c r="A78">
        <v>39</v>
      </c>
    </row>
    <row r="79" spans="1:6" x14ac:dyDescent="0.3">
      <c r="A79" t="s">
        <v>69</v>
      </c>
      <c r="B79" t="s">
        <v>360</v>
      </c>
      <c r="C79">
        <v>1</v>
      </c>
      <c r="D79" t="s">
        <v>360</v>
      </c>
      <c r="E79" t="s">
        <v>361</v>
      </c>
      <c r="F79" t="s">
        <v>362</v>
      </c>
    </row>
    <row r="80" spans="1:6" x14ac:dyDescent="0.3">
      <c r="A80">
        <v>40</v>
      </c>
    </row>
    <row r="81" spans="1:6" x14ac:dyDescent="0.3">
      <c r="A81" t="s">
        <v>52</v>
      </c>
      <c r="B81" t="s">
        <v>363</v>
      </c>
      <c r="C81">
        <v>2</v>
      </c>
      <c r="D81" t="s">
        <v>357</v>
      </c>
      <c r="E81" t="s">
        <v>364</v>
      </c>
      <c r="F81" t="s">
        <v>365</v>
      </c>
    </row>
    <row r="82" spans="1:6" x14ac:dyDescent="0.3">
      <c r="A82">
        <v>41</v>
      </c>
    </row>
    <row r="83" spans="1:6" x14ac:dyDescent="0.3">
      <c r="A83" t="s">
        <v>40</v>
      </c>
      <c r="B83" t="s">
        <v>366</v>
      </c>
      <c r="C83">
        <v>1</v>
      </c>
      <c r="D83" t="s">
        <v>366</v>
      </c>
      <c r="E83" t="s">
        <v>367</v>
      </c>
      <c r="F83" t="s">
        <v>368</v>
      </c>
    </row>
    <row r="84" spans="1:6" x14ac:dyDescent="0.3">
      <c r="A84">
        <v>42</v>
      </c>
    </row>
    <row r="85" spans="1:6" x14ac:dyDescent="0.3">
      <c r="A85" t="s">
        <v>177</v>
      </c>
      <c r="B85" t="s">
        <v>369</v>
      </c>
      <c r="C85">
        <v>2</v>
      </c>
      <c r="D85" t="s">
        <v>370</v>
      </c>
      <c r="E85" t="s">
        <v>371</v>
      </c>
      <c r="F85" t="s">
        <v>372</v>
      </c>
    </row>
    <row r="86" spans="1:6" x14ac:dyDescent="0.3">
      <c r="A86">
        <v>43</v>
      </c>
    </row>
    <row r="87" spans="1:6" x14ac:dyDescent="0.3">
      <c r="A87" t="s">
        <v>17</v>
      </c>
      <c r="B87" t="s">
        <v>373</v>
      </c>
      <c r="C87">
        <v>2</v>
      </c>
      <c r="D87" t="s">
        <v>370</v>
      </c>
      <c r="E87" t="s">
        <v>374</v>
      </c>
      <c r="F87" t="s">
        <v>375</v>
      </c>
    </row>
    <row r="88" spans="1:6" x14ac:dyDescent="0.3">
      <c r="A88">
        <v>44</v>
      </c>
    </row>
    <row r="89" spans="1:6" x14ac:dyDescent="0.3">
      <c r="A89" t="s">
        <v>62</v>
      </c>
      <c r="B89" t="s">
        <v>376</v>
      </c>
      <c r="C89">
        <v>1</v>
      </c>
      <c r="D89" t="s">
        <v>376</v>
      </c>
      <c r="E89" t="s">
        <v>346</v>
      </c>
      <c r="F89" t="s">
        <v>377</v>
      </c>
    </row>
    <row r="90" spans="1:6" x14ac:dyDescent="0.3">
      <c r="A90">
        <v>45</v>
      </c>
    </row>
    <row r="91" spans="1:6" x14ac:dyDescent="0.3">
      <c r="A91" t="s">
        <v>66</v>
      </c>
      <c r="B91" t="s">
        <v>378</v>
      </c>
      <c r="C91">
        <v>1</v>
      </c>
      <c r="D91" t="s">
        <v>378</v>
      </c>
      <c r="E91" t="s">
        <v>379</v>
      </c>
      <c r="F91" t="s">
        <v>380</v>
      </c>
    </row>
    <row r="92" spans="1:6" x14ac:dyDescent="0.3">
      <c r="A92">
        <v>46</v>
      </c>
    </row>
    <row r="93" spans="1:6" x14ac:dyDescent="0.3">
      <c r="A93" t="s">
        <v>73</v>
      </c>
      <c r="B93" t="s">
        <v>378</v>
      </c>
      <c r="C93">
        <v>2</v>
      </c>
      <c r="D93" t="s">
        <v>370</v>
      </c>
      <c r="E93" t="s">
        <v>381</v>
      </c>
      <c r="F93" t="s">
        <v>382</v>
      </c>
    </row>
    <row r="94" spans="1:6" x14ac:dyDescent="0.3">
      <c r="A94">
        <v>47</v>
      </c>
    </row>
    <row r="95" spans="1:6" x14ac:dyDescent="0.3">
      <c r="A95" t="s">
        <v>35</v>
      </c>
      <c r="B95" t="s">
        <v>378</v>
      </c>
      <c r="C95">
        <v>2</v>
      </c>
      <c r="D95" t="s">
        <v>370</v>
      </c>
      <c r="E95" t="s">
        <v>383</v>
      </c>
      <c r="F95" t="s">
        <v>384</v>
      </c>
    </row>
    <row r="96" spans="1:6" x14ac:dyDescent="0.3">
      <c r="A96">
        <v>48</v>
      </c>
    </row>
    <row r="97" spans="1:6" x14ac:dyDescent="0.3">
      <c r="A97" t="s">
        <v>26</v>
      </c>
      <c r="B97" t="s">
        <v>385</v>
      </c>
      <c r="C97">
        <v>2</v>
      </c>
      <c r="D97" t="s">
        <v>386</v>
      </c>
      <c r="E97" t="s">
        <v>387</v>
      </c>
      <c r="F97" t="s">
        <v>388</v>
      </c>
    </row>
    <row r="98" spans="1:6" x14ac:dyDescent="0.3">
      <c r="A98">
        <v>49</v>
      </c>
    </row>
    <row r="99" spans="1:6" x14ac:dyDescent="0.3">
      <c r="A99" t="s">
        <v>49</v>
      </c>
      <c r="B99" t="s">
        <v>385</v>
      </c>
      <c r="C99">
        <v>3</v>
      </c>
      <c r="D99" t="s">
        <v>386</v>
      </c>
      <c r="E99" t="s">
        <v>389</v>
      </c>
      <c r="F99" t="s">
        <v>390</v>
      </c>
    </row>
    <row r="100" spans="1:6" x14ac:dyDescent="0.3">
      <c r="A100">
        <v>50</v>
      </c>
    </row>
    <row r="101" spans="1:6" x14ac:dyDescent="0.3">
      <c r="A101" t="s">
        <v>58</v>
      </c>
      <c r="B101" t="s">
        <v>391</v>
      </c>
      <c r="C101">
        <v>3</v>
      </c>
      <c r="D101" t="s">
        <v>392</v>
      </c>
      <c r="E101" t="s">
        <v>393</v>
      </c>
      <c r="F101" t="s">
        <v>394</v>
      </c>
    </row>
    <row r="102" spans="1:6" x14ac:dyDescent="0.3">
      <c r="A102">
        <v>51</v>
      </c>
    </row>
    <row r="103" spans="1:6" x14ac:dyDescent="0.3">
      <c r="A103" t="s">
        <v>50</v>
      </c>
      <c r="B103" t="s">
        <v>395</v>
      </c>
      <c r="C103">
        <v>1</v>
      </c>
      <c r="D103" t="s">
        <v>395</v>
      </c>
      <c r="E103" t="s">
        <v>396</v>
      </c>
      <c r="F103" t="s">
        <v>3</v>
      </c>
    </row>
    <row r="104" spans="1:6" x14ac:dyDescent="0.3">
      <c r="A104">
        <v>52</v>
      </c>
    </row>
    <row r="105" spans="1:6" x14ac:dyDescent="0.3">
      <c r="A105" t="s">
        <v>175</v>
      </c>
      <c r="B105" t="s">
        <v>397</v>
      </c>
      <c r="C105">
        <v>1</v>
      </c>
      <c r="D105" t="s">
        <v>397</v>
      </c>
      <c r="E105" t="s">
        <v>398</v>
      </c>
      <c r="F105" t="s">
        <v>399</v>
      </c>
    </row>
    <row r="106" spans="1:6" x14ac:dyDescent="0.3">
      <c r="A106">
        <v>53</v>
      </c>
    </row>
    <row r="107" spans="1:6" x14ac:dyDescent="0.3">
      <c r="A107" t="s">
        <v>400</v>
      </c>
      <c r="B107" t="s">
        <v>401</v>
      </c>
      <c r="C107">
        <v>2</v>
      </c>
      <c r="D107" t="s">
        <v>353</v>
      </c>
      <c r="E107" t="s">
        <v>242</v>
      </c>
      <c r="F107" t="s">
        <v>402</v>
      </c>
    </row>
    <row r="108" spans="1:6" x14ac:dyDescent="0.3">
      <c r="A108">
        <v>54</v>
      </c>
    </row>
    <row r="109" spans="1:6" x14ac:dyDescent="0.3">
      <c r="A109" t="s">
        <v>178</v>
      </c>
      <c r="B109" t="s">
        <v>298</v>
      </c>
      <c r="C109">
        <v>1</v>
      </c>
      <c r="D109" t="s">
        <v>298</v>
      </c>
      <c r="E109" t="s">
        <v>398</v>
      </c>
      <c r="F109" t="s">
        <v>403</v>
      </c>
    </row>
    <row r="110" spans="1:6" x14ac:dyDescent="0.3">
      <c r="A110">
        <v>55</v>
      </c>
    </row>
    <row r="111" spans="1:6" x14ac:dyDescent="0.3">
      <c r="A111" t="s">
        <v>404</v>
      </c>
      <c r="B111" t="s">
        <v>370</v>
      </c>
      <c r="C111">
        <v>1</v>
      </c>
      <c r="D111" t="s">
        <v>370</v>
      </c>
      <c r="E111" t="s">
        <v>343</v>
      </c>
      <c r="F111" t="s">
        <v>382</v>
      </c>
    </row>
    <row r="112" spans="1:6" x14ac:dyDescent="0.3">
      <c r="A112">
        <v>56</v>
      </c>
    </row>
    <row r="113" spans="1:6" x14ac:dyDescent="0.3">
      <c r="A113" t="s">
        <v>78</v>
      </c>
      <c r="B113" t="s">
        <v>370</v>
      </c>
      <c r="C113">
        <v>1</v>
      </c>
      <c r="D113" t="s">
        <v>370</v>
      </c>
      <c r="E113" t="s">
        <v>405</v>
      </c>
      <c r="F113" t="s">
        <v>406</v>
      </c>
    </row>
    <row r="114" spans="1:6" x14ac:dyDescent="0.3">
      <c r="A114">
        <v>57</v>
      </c>
    </row>
    <row r="115" spans="1:6" x14ac:dyDescent="0.3">
      <c r="A115" t="s">
        <v>219</v>
      </c>
      <c r="B115" t="s">
        <v>407</v>
      </c>
      <c r="C115">
        <v>3</v>
      </c>
      <c r="D115" t="s">
        <v>408</v>
      </c>
      <c r="E115" t="s">
        <v>409</v>
      </c>
      <c r="F115" t="s">
        <v>410</v>
      </c>
    </row>
    <row r="116" spans="1:6" x14ac:dyDescent="0.3">
      <c r="A116">
        <v>58</v>
      </c>
    </row>
    <row r="117" spans="1:6" x14ac:dyDescent="0.3">
      <c r="A117" t="s">
        <v>53</v>
      </c>
      <c r="B117" t="s">
        <v>411</v>
      </c>
      <c r="C117">
        <v>1</v>
      </c>
      <c r="D117" t="s">
        <v>411</v>
      </c>
      <c r="E117" t="s">
        <v>412</v>
      </c>
      <c r="F117" t="s">
        <v>413</v>
      </c>
    </row>
    <row r="118" spans="1:6" x14ac:dyDescent="0.3">
      <c r="A118">
        <v>59</v>
      </c>
    </row>
    <row r="119" spans="1:6" x14ac:dyDescent="0.3">
      <c r="A119" t="s">
        <v>67</v>
      </c>
      <c r="B119" t="s">
        <v>414</v>
      </c>
      <c r="C119">
        <v>2</v>
      </c>
      <c r="D119" t="s">
        <v>415</v>
      </c>
      <c r="E119" t="s">
        <v>358</v>
      </c>
      <c r="F119" t="s">
        <v>416</v>
      </c>
    </row>
    <row r="120" spans="1:6" x14ac:dyDescent="0.3">
      <c r="A120">
        <v>60</v>
      </c>
    </row>
    <row r="121" spans="1:6" x14ac:dyDescent="0.3">
      <c r="A121" t="s">
        <v>41</v>
      </c>
      <c r="B121" t="s">
        <v>417</v>
      </c>
      <c r="C121">
        <v>1</v>
      </c>
      <c r="D121" t="s">
        <v>417</v>
      </c>
      <c r="E121" t="s">
        <v>418</v>
      </c>
      <c r="F121" t="s">
        <v>419</v>
      </c>
    </row>
    <row r="122" spans="1:6" x14ac:dyDescent="0.3">
      <c r="A122">
        <v>61</v>
      </c>
    </row>
    <row r="123" spans="1:6" x14ac:dyDescent="0.3">
      <c r="A123" t="s">
        <v>194</v>
      </c>
      <c r="B123" t="s">
        <v>420</v>
      </c>
      <c r="C123">
        <v>1</v>
      </c>
      <c r="D123" t="s">
        <v>420</v>
      </c>
      <c r="E123" t="s">
        <v>421</v>
      </c>
      <c r="F123" t="s">
        <v>422</v>
      </c>
    </row>
    <row r="124" spans="1:6" x14ac:dyDescent="0.3">
      <c r="A124">
        <v>62</v>
      </c>
    </row>
    <row r="125" spans="1:6" x14ac:dyDescent="0.3">
      <c r="A125" t="s">
        <v>43</v>
      </c>
      <c r="B125" t="s">
        <v>420</v>
      </c>
      <c r="C125">
        <v>1</v>
      </c>
      <c r="D125" t="s">
        <v>420</v>
      </c>
      <c r="E125" t="s">
        <v>423</v>
      </c>
      <c r="F125" t="s">
        <v>424</v>
      </c>
    </row>
    <row r="126" spans="1:6" x14ac:dyDescent="0.3">
      <c r="A126">
        <v>63</v>
      </c>
    </row>
    <row r="127" spans="1:6" x14ac:dyDescent="0.3">
      <c r="A127" t="s">
        <v>77</v>
      </c>
      <c r="B127" t="s">
        <v>342</v>
      </c>
      <c r="C127">
        <v>1</v>
      </c>
      <c r="D127" t="s">
        <v>342</v>
      </c>
      <c r="E127" t="s">
        <v>425</v>
      </c>
      <c r="F127" t="s">
        <v>426</v>
      </c>
    </row>
    <row r="128" spans="1:6" x14ac:dyDescent="0.3">
      <c r="A128">
        <v>64</v>
      </c>
    </row>
    <row r="129" spans="1:6" x14ac:dyDescent="0.3">
      <c r="A129" t="s">
        <v>195</v>
      </c>
      <c r="B129" t="s">
        <v>427</v>
      </c>
      <c r="C129">
        <v>1</v>
      </c>
      <c r="D129" t="s">
        <v>427</v>
      </c>
      <c r="E129" t="s">
        <v>343</v>
      </c>
      <c r="F129" t="s">
        <v>282</v>
      </c>
    </row>
    <row r="130" spans="1:6" x14ac:dyDescent="0.3">
      <c r="A130">
        <v>65</v>
      </c>
    </row>
    <row r="131" spans="1:6" x14ac:dyDescent="0.3">
      <c r="A131" t="s">
        <v>72</v>
      </c>
      <c r="B131" t="s">
        <v>353</v>
      </c>
      <c r="C131">
        <v>1</v>
      </c>
      <c r="D131" t="s">
        <v>353</v>
      </c>
      <c r="E131" t="s">
        <v>428</v>
      </c>
      <c r="F131" t="s">
        <v>429</v>
      </c>
    </row>
    <row r="132" spans="1:6" x14ac:dyDescent="0.3">
      <c r="A132">
        <v>66</v>
      </c>
    </row>
    <row r="133" spans="1:6" x14ac:dyDescent="0.3">
      <c r="A133" t="s">
        <v>430</v>
      </c>
      <c r="B133" t="s">
        <v>431</v>
      </c>
      <c r="C133">
        <v>2</v>
      </c>
      <c r="D133" t="s">
        <v>432</v>
      </c>
      <c r="E133" t="s">
        <v>433</v>
      </c>
      <c r="F133" t="s">
        <v>434</v>
      </c>
    </row>
    <row r="134" spans="1:6" x14ac:dyDescent="0.3">
      <c r="A134">
        <v>67</v>
      </c>
    </row>
    <row r="135" spans="1:6" x14ac:dyDescent="0.3">
      <c r="A135" t="s">
        <v>79</v>
      </c>
      <c r="B135" t="s">
        <v>435</v>
      </c>
      <c r="C135">
        <v>1</v>
      </c>
      <c r="D135" t="s">
        <v>435</v>
      </c>
      <c r="E135" t="s">
        <v>436</v>
      </c>
      <c r="F135" t="s">
        <v>437</v>
      </c>
    </row>
    <row r="136" spans="1:6" x14ac:dyDescent="0.3">
      <c r="A136">
        <v>68</v>
      </c>
    </row>
    <row r="137" spans="1:6" x14ac:dyDescent="0.3">
      <c r="A137" t="s">
        <v>63</v>
      </c>
      <c r="B137" t="s">
        <v>438</v>
      </c>
      <c r="C137">
        <v>1</v>
      </c>
      <c r="D137" t="s">
        <v>438</v>
      </c>
      <c r="E137" t="s">
        <v>439</v>
      </c>
      <c r="F137" t="s">
        <v>440</v>
      </c>
    </row>
    <row r="138" spans="1:6" x14ac:dyDescent="0.3">
      <c r="A138">
        <v>69</v>
      </c>
    </row>
    <row r="139" spans="1:6" x14ac:dyDescent="0.3">
      <c r="A139" t="s">
        <v>176</v>
      </c>
      <c r="B139" t="s">
        <v>438</v>
      </c>
      <c r="C139">
        <v>1</v>
      </c>
      <c r="D139" t="s">
        <v>438</v>
      </c>
      <c r="E139" t="s">
        <v>441</v>
      </c>
      <c r="F139" t="s">
        <v>442</v>
      </c>
    </row>
    <row r="140" spans="1:6" x14ac:dyDescent="0.3">
      <c r="A140">
        <v>70</v>
      </c>
    </row>
    <row r="141" spans="1:6" x14ac:dyDescent="0.3">
      <c r="A141" t="s">
        <v>81</v>
      </c>
      <c r="B141" t="s">
        <v>443</v>
      </c>
      <c r="C141">
        <v>3</v>
      </c>
      <c r="D141" t="s">
        <v>444</v>
      </c>
      <c r="E141" t="s">
        <v>445</v>
      </c>
      <c r="F141" t="s">
        <v>3</v>
      </c>
    </row>
    <row r="142" spans="1:6" x14ac:dyDescent="0.3">
      <c r="A142">
        <v>71</v>
      </c>
    </row>
    <row r="143" spans="1:6" x14ac:dyDescent="0.3">
      <c r="A143" t="s">
        <v>70</v>
      </c>
      <c r="B143" t="s">
        <v>446</v>
      </c>
      <c r="C143">
        <v>1</v>
      </c>
      <c r="D143" t="s">
        <v>446</v>
      </c>
      <c r="E143" t="s">
        <v>320</v>
      </c>
      <c r="F143" t="s"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bce0314-66d2-465d-a4b8-04cf0abcda4d}" enabled="1" method="Privileged" siteId="{8b86a65e-3c3a-4406-8ac3-19a6b5cc52b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TOTAL</vt:lpstr>
      <vt:lpstr>w1</vt:lpstr>
      <vt:lpstr>w2</vt:lpstr>
      <vt:lpstr>w3</vt:lpstr>
      <vt:lpstr>w4</vt:lpstr>
      <vt:lpstr>w5</vt:lpstr>
      <vt:lpstr>w6</vt:lpstr>
      <vt:lpstr>w7</vt:lpstr>
      <vt:lpstr>w8</vt:lpstr>
      <vt:lpstr>w9</vt:lpstr>
      <vt:lpstr>w10</vt:lpstr>
      <vt:lpstr>w11</vt:lpstr>
      <vt:lpstr>w12</vt:lpstr>
      <vt:lpstr>w13</vt:lpstr>
      <vt:lpstr>w14</vt:lpstr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Antunes, Joao (TABAQUEIRA II, S.A.)</dc:creator>
  <cp:lastModifiedBy>Antunes, Joao (TABAQUEIRA II, S.A.)</cp:lastModifiedBy>
  <dcterms:created xsi:type="dcterms:W3CDTF">2026-01-08T12:50:26Z</dcterms:created>
  <dcterms:modified xsi:type="dcterms:W3CDTF">2026-04-07T10:03:46Z</dcterms:modified>
</cp:coreProperties>
</file>